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sreg-my.sharepoint.com/personal/dvallecillo_spinosoreg_com/Documents/Microsoft Teams Chat Files/"/>
    </mc:Choice>
  </mc:AlternateContent>
  <xr:revisionPtr revIDLastSave="45" documentId="13_ncr:1_{B1B0BDD2-D78B-6543-A388-B17FBFBC8C5E}" xr6:coauthVersionLast="47" xr6:coauthVersionMax="47" xr10:uidLastSave="{AE74702A-5C73-244C-92F3-13393E09BF79}"/>
  <bookViews>
    <workbookView xWindow="0" yWindow="660" windowWidth="17280" windowHeight="21680" xr2:uid="{00000000-000D-0000-FFFF-FFFF00000000}"/>
  </bookViews>
  <sheets>
    <sheet name="Analysis Summary" sheetId="1" r:id="rId1"/>
    <sheet name="Property Summary" sheetId="2" r:id="rId2"/>
    <sheet name="Tenant Lookup" sheetId="3" r:id="rId3"/>
    <sheet name="Category Lookup" sheetId="4" r:id="rId4"/>
    <sheet name="Tenant Data" sheetId="5" r:id="rId5"/>
    <sheet name="Cross Comparison" sheetId="6" r:id="rId6"/>
    <sheet name="Category Matrix" sheetId="7" r:id="rId7"/>
    <sheet name="Clackamas Ranking" sheetId="8" r:id="rId8"/>
    <sheet name="_TenantList" sheetId="9" state="hidden" r:id="rId9"/>
    <sheet name="_CatList" sheetId="10" state="hidden" r:id="rId10"/>
    <sheet name="_CategoryCalc" sheetId="11" state="hidden" r:id="rId11"/>
  </sheets>
  <definedNames>
    <definedName name="_xlnm._FilterDatabase" localSheetId="4" hidden="1">'Tenant Data'!$A$1:$K$4674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D8" i="3"/>
  <c r="C9" i="3"/>
  <c r="D9" i="3"/>
  <c r="C10" i="3"/>
  <c r="E10" i="3" s="1"/>
  <c r="C11" i="3"/>
  <c r="E11" i="3" s="1"/>
  <c r="D11" i="3"/>
  <c r="C55" i="3"/>
  <c r="D55" i="3"/>
  <c r="C54" i="3"/>
  <c r="D54" i="3"/>
  <c r="C53" i="3"/>
  <c r="D53" i="3"/>
  <c r="C52" i="3"/>
  <c r="D52" i="3"/>
  <c r="C51" i="3"/>
  <c r="D51" i="3"/>
  <c r="C50" i="3"/>
  <c r="D50" i="3"/>
  <c r="C49" i="3"/>
  <c r="D49" i="3"/>
  <c r="C48" i="3"/>
  <c r="E48" i="3" s="1"/>
  <c r="C47" i="3"/>
  <c r="D47" i="3"/>
  <c r="C46" i="3"/>
  <c r="E46" i="3" s="1"/>
  <c r="D46" i="3"/>
  <c r="C45" i="3"/>
  <c r="D45" i="3"/>
  <c r="C44" i="3"/>
  <c r="D44" i="3"/>
  <c r="C43" i="3"/>
  <c r="E43" i="3" s="1"/>
  <c r="C42" i="3"/>
  <c r="D42" i="3"/>
  <c r="C41" i="3"/>
  <c r="E41" i="3" s="1"/>
  <c r="D41" i="3"/>
  <c r="C40" i="3"/>
  <c r="D40" i="3"/>
  <c r="C39" i="3"/>
  <c r="E39" i="3" s="1"/>
  <c r="D39" i="3"/>
  <c r="C38" i="3"/>
  <c r="E38" i="3" s="1"/>
  <c r="C37" i="3"/>
  <c r="D37" i="3"/>
  <c r="C36" i="3"/>
  <c r="E36" i="3" s="1"/>
  <c r="D36" i="3"/>
  <c r="C35" i="3"/>
  <c r="E35" i="3" s="1"/>
  <c r="D35" i="3"/>
  <c r="C34" i="3"/>
  <c r="D34" i="3"/>
  <c r="C33" i="3"/>
  <c r="D33" i="3"/>
  <c r="C32" i="3"/>
  <c r="E32" i="3" s="1"/>
  <c r="D32" i="3"/>
  <c r="C31" i="3"/>
  <c r="D31" i="3"/>
  <c r="C30" i="3"/>
  <c r="E30" i="3" s="1"/>
  <c r="D30" i="3"/>
  <c r="C29" i="3"/>
  <c r="E29" i="3" s="1"/>
  <c r="C28" i="3"/>
  <c r="E28" i="3" s="1"/>
  <c r="C27" i="3"/>
  <c r="E27" i="3" s="1"/>
  <c r="D27" i="3"/>
  <c r="C26" i="3"/>
  <c r="D26" i="3"/>
  <c r="C25" i="3"/>
  <c r="D25" i="3"/>
  <c r="C24" i="3"/>
  <c r="D24" i="3"/>
  <c r="C23" i="3"/>
  <c r="D23" i="3"/>
  <c r="C22" i="3"/>
  <c r="D22" i="3"/>
  <c r="C21" i="3"/>
  <c r="D21" i="3"/>
  <c r="C20" i="3"/>
  <c r="D20" i="3"/>
  <c r="C19" i="3"/>
  <c r="D19" i="3"/>
  <c r="C18" i="3"/>
  <c r="D18" i="3"/>
  <c r="C17" i="3"/>
  <c r="D17" i="3"/>
  <c r="C16" i="3"/>
  <c r="D16" i="3"/>
  <c r="C15" i="3"/>
  <c r="E15" i="3" s="1"/>
  <c r="D15" i="3"/>
  <c r="C14" i="3"/>
  <c r="D14" i="3"/>
  <c r="C13" i="3"/>
  <c r="E13" i="3" s="1"/>
  <c r="D13" i="3"/>
  <c r="C12" i="3"/>
  <c r="AY49" i="11"/>
  <c r="AW49" i="11"/>
  <c r="AV49" i="11"/>
  <c r="AU49" i="11"/>
  <c r="AT49" i="11"/>
  <c r="AS49" i="11"/>
  <c r="AR49" i="11"/>
  <c r="AQ49" i="11"/>
  <c r="AP49" i="11"/>
  <c r="AO49" i="11"/>
  <c r="E49" i="11" s="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G49" i="11"/>
  <c r="F49" i="11"/>
  <c r="D49" i="11"/>
  <c r="AY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Y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Y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Y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Y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Y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Z43" i="11" s="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Y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Z42" i="11" s="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Y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Z41" i="11" s="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Y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AY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Z39" i="11" s="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Y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Y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Z37" i="11" s="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Y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Z36" i="11" s="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Y35" i="11"/>
  <c r="AW35" i="11"/>
  <c r="AV35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Y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J34" i="11" s="1"/>
  <c r="AG34" i="11"/>
  <c r="I34" i="11" s="1"/>
  <c r="AF34" i="11"/>
  <c r="H34" i="11" s="1"/>
  <c r="AE34" i="11"/>
  <c r="G34" i="11" s="1"/>
  <c r="AD34" i="11"/>
  <c r="F34" i="11" s="1"/>
  <c r="AC34" i="11"/>
  <c r="E34" i="11" s="1"/>
  <c r="AB34" i="11"/>
  <c r="D34" i="11" s="1"/>
  <c r="AA34" i="11"/>
  <c r="C34" i="11" s="1"/>
  <c r="Z34" i="11"/>
  <c r="B34" i="11" s="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AY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Z33" i="11" s="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Y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Y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Y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Y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Y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Z28" i="11" s="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Y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M27" i="11" s="1"/>
  <c r="AJ27" i="11"/>
  <c r="L27" i="11" s="1"/>
  <c r="AI27" i="11"/>
  <c r="K27" i="11" s="1"/>
  <c r="AH27" i="11"/>
  <c r="J27" i="11" s="1"/>
  <c r="AG27" i="11"/>
  <c r="I27" i="11" s="1"/>
  <c r="AF27" i="11"/>
  <c r="H27" i="11" s="1"/>
  <c r="AE27" i="11"/>
  <c r="G27" i="11" s="1"/>
  <c r="AD27" i="11"/>
  <c r="F27" i="11" s="1"/>
  <c r="AC27" i="11"/>
  <c r="E27" i="11" s="1"/>
  <c r="AB27" i="11"/>
  <c r="D27" i="11" s="1"/>
  <c r="AA27" i="11"/>
  <c r="C27" i="11" s="1"/>
  <c r="Z27" i="11"/>
  <c r="B27" i="11" s="1"/>
  <c r="Y27" i="11"/>
  <c r="X27" i="11"/>
  <c r="W27" i="11"/>
  <c r="V27" i="11"/>
  <c r="U27" i="11"/>
  <c r="T27" i="11"/>
  <c r="S27" i="11"/>
  <c r="R27" i="11"/>
  <c r="Q27" i="11"/>
  <c r="P27" i="11"/>
  <c r="O27" i="11"/>
  <c r="N27" i="11"/>
  <c r="AY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Z26" i="11" s="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Y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Y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Z24" i="11" s="1"/>
  <c r="AK24" i="11"/>
  <c r="M24" i="11" s="1"/>
  <c r="AJ24" i="11"/>
  <c r="L24" i="11" s="1"/>
  <c r="AI24" i="11"/>
  <c r="K24" i="11" s="1"/>
  <c r="AH24" i="11"/>
  <c r="J24" i="11" s="1"/>
  <c r="AG24" i="11"/>
  <c r="I24" i="11" s="1"/>
  <c r="AF24" i="11"/>
  <c r="H24" i="11" s="1"/>
  <c r="AE24" i="11"/>
  <c r="G24" i="11" s="1"/>
  <c r="AD24" i="11"/>
  <c r="F24" i="11" s="1"/>
  <c r="AC24" i="11"/>
  <c r="E24" i="11" s="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AY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Z23" i="11" s="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Y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Z22" i="11" s="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Y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Y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Z20" i="11" s="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Y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Z19" i="11" s="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Y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Z18" i="11" s="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Y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Z17" i="11" s="1"/>
  <c r="AK17" i="11"/>
  <c r="M17" i="11" s="1"/>
  <c r="AJ17" i="11"/>
  <c r="L17" i="11" s="1"/>
  <c r="AI17" i="11"/>
  <c r="K17" i="11" s="1"/>
  <c r="AH17" i="11"/>
  <c r="J17" i="11" s="1"/>
  <c r="AG17" i="11"/>
  <c r="I17" i="11" s="1"/>
  <c r="AF17" i="11"/>
  <c r="H17" i="11" s="1"/>
  <c r="AE17" i="11"/>
  <c r="G17" i="11" s="1"/>
  <c r="AD17" i="11"/>
  <c r="F17" i="11" s="1"/>
  <c r="AC17" i="11"/>
  <c r="E17" i="11" s="1"/>
  <c r="AB17" i="11"/>
  <c r="D17" i="11" s="1"/>
  <c r="AA17" i="11"/>
  <c r="C17" i="11" s="1"/>
  <c r="Z17" i="11"/>
  <c r="B17" i="11" s="1"/>
  <c r="Y17" i="11"/>
  <c r="X17" i="11"/>
  <c r="W17" i="11"/>
  <c r="V17" i="11"/>
  <c r="U17" i="11"/>
  <c r="T17" i="11"/>
  <c r="S17" i="11"/>
  <c r="R17" i="11"/>
  <c r="Q17" i="11"/>
  <c r="P17" i="11"/>
  <c r="O17" i="11"/>
  <c r="N17" i="11"/>
  <c r="AY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Z16" i="11" s="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Y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M15" i="11" s="1"/>
  <c r="AJ15" i="11"/>
  <c r="L15" i="11" s="1"/>
  <c r="AI15" i="11"/>
  <c r="K15" i="11" s="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J15" i="11"/>
  <c r="I15" i="11"/>
  <c r="H15" i="11"/>
  <c r="G15" i="11"/>
  <c r="F15" i="11"/>
  <c r="E15" i="11"/>
  <c r="D15" i="11"/>
  <c r="C15" i="11"/>
  <c r="B15" i="11"/>
  <c r="AY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Z14" i="11" s="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Y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Z13" i="11" s="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Y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Y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Z11" i="11" s="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Y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Z10" i="11" s="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Y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Z9" i="11" s="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Y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Z8" i="11" s="1"/>
  <c r="AK8" i="11"/>
  <c r="M8" i="11" s="1"/>
  <c r="AJ8" i="11"/>
  <c r="L8" i="11" s="1"/>
  <c r="AI8" i="11"/>
  <c r="K8" i="11" s="1"/>
  <c r="AH8" i="11"/>
  <c r="J8" i="11" s="1"/>
  <c r="AG8" i="11"/>
  <c r="I8" i="11" s="1"/>
  <c r="AF8" i="11"/>
  <c r="H8" i="11" s="1"/>
  <c r="AE8" i="11"/>
  <c r="G8" i="11" s="1"/>
  <c r="AD8" i="11"/>
  <c r="F8" i="11" s="1"/>
  <c r="AC8" i="11"/>
  <c r="E8" i="11" s="1"/>
  <c r="AB8" i="11"/>
  <c r="D8" i="11" s="1"/>
  <c r="AA8" i="11"/>
  <c r="C8" i="11" s="1"/>
  <c r="Z8" i="11"/>
  <c r="B8" i="11" s="1"/>
  <c r="Y8" i="11"/>
  <c r="X8" i="11"/>
  <c r="W8" i="11"/>
  <c r="V8" i="11"/>
  <c r="U8" i="11"/>
  <c r="T8" i="11"/>
  <c r="S8" i="11"/>
  <c r="R8" i="11"/>
  <c r="Q8" i="11"/>
  <c r="P8" i="11"/>
  <c r="O8" i="11"/>
  <c r="N8" i="11"/>
  <c r="AY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G7" i="11"/>
  <c r="F7" i="11"/>
  <c r="E7" i="11"/>
  <c r="D7" i="11"/>
  <c r="C7" i="11"/>
  <c r="B7" i="11"/>
  <c r="AY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Z6" i="11" s="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Y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Z5" i="11" s="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Y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Z4" i="11" s="1"/>
  <c r="AK4" i="11"/>
  <c r="M4" i="11" s="1"/>
  <c r="AJ4" i="11"/>
  <c r="L4" i="11" s="1"/>
  <c r="AI4" i="11"/>
  <c r="K4" i="11" s="1"/>
  <c r="AH4" i="11"/>
  <c r="J4" i="11" s="1"/>
  <c r="AG4" i="11"/>
  <c r="I4" i="11" s="1"/>
  <c r="AF4" i="11"/>
  <c r="H4" i="11" s="1"/>
  <c r="AE4" i="11"/>
  <c r="G4" i="11" s="1"/>
  <c r="AD4" i="11"/>
  <c r="F4" i="11" s="1"/>
  <c r="AC4" i="11"/>
  <c r="E4" i="11" s="1"/>
  <c r="AB4" i="11"/>
  <c r="D4" i="11" s="1"/>
  <c r="AA4" i="11"/>
  <c r="C4" i="11" s="1"/>
  <c r="Z4" i="11"/>
  <c r="B4" i="11" s="1"/>
  <c r="Y4" i="11"/>
  <c r="X4" i="11"/>
  <c r="W4" i="11"/>
  <c r="V4" i="11"/>
  <c r="U4" i="11"/>
  <c r="T4" i="11"/>
  <c r="S4" i="11"/>
  <c r="R4" i="11"/>
  <c r="Q4" i="11"/>
  <c r="P4" i="11"/>
  <c r="O4" i="11"/>
  <c r="N4" i="11"/>
  <c r="AY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Y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C78" i="1"/>
  <c r="L2" i="11"/>
  <c r="C77" i="1"/>
  <c r="K2" i="11"/>
  <c r="C76" i="1"/>
  <c r="J2" i="11"/>
  <c r="C75" i="1"/>
  <c r="I2" i="11"/>
  <c r="C74" i="1"/>
  <c r="H2" i="11"/>
  <c r="C73" i="1"/>
  <c r="G2" i="11"/>
  <c r="C72" i="1"/>
  <c r="F2" i="11"/>
  <c r="C71" i="1"/>
  <c r="E2" i="11"/>
  <c r="C70" i="1"/>
  <c r="D2" i="11"/>
  <c r="C69" i="1"/>
  <c r="C2" i="11"/>
  <c r="C68" i="1"/>
  <c r="B2" i="11"/>
  <c r="C67" i="1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B75" i="6"/>
  <c r="BB74" i="6"/>
  <c r="BB73" i="6"/>
  <c r="BB72" i="6"/>
  <c r="BB71" i="6"/>
  <c r="BB65" i="6"/>
  <c r="BB56" i="6"/>
  <c r="BB38" i="6"/>
  <c r="BB18" i="6"/>
  <c r="AY3" i="6"/>
  <c r="AX3" i="6"/>
  <c r="AW3" i="6"/>
  <c r="AV3" i="6"/>
  <c r="AU3" i="6"/>
  <c r="BB62" i="6"/>
  <c r="AT3" i="6"/>
  <c r="BB67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BB52" i="6"/>
  <c r="AF3" i="6"/>
  <c r="AE3" i="6"/>
  <c r="AD3" i="6"/>
  <c r="AC3" i="6"/>
  <c r="AB3" i="6"/>
  <c r="BB70" i="6"/>
  <c r="AA3" i="6"/>
  <c r="Z3" i="6"/>
  <c r="Y3" i="6"/>
  <c r="X3" i="6"/>
  <c r="W3" i="6"/>
  <c r="V3" i="6"/>
  <c r="BB58" i="6"/>
  <c r="U3" i="6"/>
  <c r="BB32" i="6"/>
  <c r="T3" i="6"/>
  <c r="S3" i="6"/>
  <c r="R3" i="6"/>
  <c r="Q3" i="6"/>
  <c r="P3" i="6"/>
  <c r="O3" i="6"/>
  <c r="N3" i="6"/>
  <c r="M3" i="6"/>
  <c r="L3" i="6"/>
  <c r="K3" i="6"/>
  <c r="J3" i="6"/>
  <c r="I3" i="6"/>
  <c r="H3" i="6"/>
  <c r="BB46" i="6"/>
  <c r="G3" i="6"/>
  <c r="F3" i="6"/>
  <c r="BB42" i="6"/>
  <c r="E3" i="6"/>
  <c r="D3" i="6"/>
  <c r="E54" i="4"/>
  <c r="D54" i="4"/>
  <c r="F54" i="4" s="1"/>
  <c r="C54" i="4"/>
  <c r="B54" i="4"/>
  <c r="E53" i="4"/>
  <c r="D53" i="4"/>
  <c r="F53" i="4" s="1"/>
  <c r="C53" i="4"/>
  <c r="B53" i="4"/>
  <c r="E52" i="4"/>
  <c r="D52" i="4"/>
  <c r="F52" i="4" s="1"/>
  <c r="C52" i="4"/>
  <c r="B52" i="4"/>
  <c r="E51" i="4"/>
  <c r="D51" i="4"/>
  <c r="F51" i="4" s="1"/>
  <c r="C51" i="4"/>
  <c r="B51" i="4"/>
  <c r="E50" i="4"/>
  <c r="D50" i="4"/>
  <c r="F50" i="4" s="1"/>
  <c r="C50" i="4"/>
  <c r="B50" i="4"/>
  <c r="E49" i="4"/>
  <c r="D49" i="4"/>
  <c r="F49" i="4" s="1"/>
  <c r="C49" i="4"/>
  <c r="B49" i="4"/>
  <c r="E48" i="4"/>
  <c r="D48" i="4"/>
  <c r="F48" i="4" s="1"/>
  <c r="C48" i="4"/>
  <c r="B48" i="4"/>
  <c r="E47" i="4"/>
  <c r="D47" i="4"/>
  <c r="F47" i="4" s="1"/>
  <c r="C47" i="4"/>
  <c r="B47" i="4"/>
  <c r="E46" i="4"/>
  <c r="D46" i="4"/>
  <c r="F46" i="4" s="1"/>
  <c r="C46" i="4"/>
  <c r="B46" i="4"/>
  <c r="E45" i="4"/>
  <c r="D45" i="4"/>
  <c r="F45" i="4" s="1"/>
  <c r="C45" i="4"/>
  <c r="B45" i="4"/>
  <c r="E44" i="4"/>
  <c r="D44" i="4"/>
  <c r="C44" i="4"/>
  <c r="B44" i="4"/>
  <c r="E43" i="4"/>
  <c r="D43" i="4"/>
  <c r="F43" i="4" s="1"/>
  <c r="C43" i="4"/>
  <c r="B43" i="4"/>
  <c r="E42" i="4"/>
  <c r="D42" i="4"/>
  <c r="F42" i="4" s="1"/>
  <c r="C42" i="4"/>
  <c r="B42" i="4"/>
  <c r="E41" i="4"/>
  <c r="D41" i="4"/>
  <c r="F41" i="4" s="1"/>
  <c r="C41" i="4"/>
  <c r="B41" i="4"/>
  <c r="E40" i="4"/>
  <c r="D40" i="4"/>
  <c r="C40" i="4"/>
  <c r="B40" i="4"/>
  <c r="E39" i="4"/>
  <c r="D39" i="4"/>
  <c r="C39" i="4"/>
  <c r="B39" i="4"/>
  <c r="E38" i="4"/>
  <c r="D38" i="4"/>
  <c r="F38" i="4" s="1"/>
  <c r="C38" i="4"/>
  <c r="B38" i="4"/>
  <c r="E37" i="4"/>
  <c r="D37" i="4"/>
  <c r="F37" i="4" s="1"/>
  <c r="C37" i="4"/>
  <c r="B37" i="4"/>
  <c r="E36" i="4"/>
  <c r="D36" i="4"/>
  <c r="F36" i="4" s="1"/>
  <c r="C36" i="4"/>
  <c r="B36" i="4"/>
  <c r="E35" i="4"/>
  <c r="D35" i="4"/>
  <c r="F35" i="4" s="1"/>
  <c r="C35" i="4"/>
  <c r="B35" i="4"/>
  <c r="E34" i="4"/>
  <c r="D34" i="4"/>
  <c r="F34" i="4" s="1"/>
  <c r="C34" i="4"/>
  <c r="B34" i="4"/>
  <c r="E33" i="4"/>
  <c r="D33" i="4"/>
  <c r="C33" i="4"/>
  <c r="B33" i="4"/>
  <c r="E32" i="4"/>
  <c r="D32" i="4"/>
  <c r="C32" i="4"/>
  <c r="B32" i="4"/>
  <c r="E31" i="4"/>
  <c r="D31" i="4"/>
  <c r="F31" i="4" s="1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F27" i="4" s="1"/>
  <c r="C27" i="4"/>
  <c r="B27" i="4"/>
  <c r="E26" i="4"/>
  <c r="D26" i="4"/>
  <c r="C26" i="4"/>
  <c r="B26" i="4"/>
  <c r="E25" i="4"/>
  <c r="D25" i="4"/>
  <c r="F25" i="4" s="1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F21" i="4" s="1"/>
  <c r="C21" i="4"/>
  <c r="B21" i="4"/>
  <c r="E20" i="4"/>
  <c r="D20" i="4"/>
  <c r="F20" i="4" s="1"/>
  <c r="C20" i="4"/>
  <c r="B20" i="4"/>
  <c r="E19" i="4"/>
  <c r="D19" i="4"/>
  <c r="C19" i="4"/>
  <c r="B19" i="4"/>
  <c r="E18" i="4"/>
  <c r="D18" i="4"/>
  <c r="F18" i="4" s="1"/>
  <c r="C18" i="4"/>
  <c r="B18" i="4"/>
  <c r="E17" i="4"/>
  <c r="D17" i="4"/>
  <c r="F17" i="4" s="1"/>
  <c r="C17" i="4"/>
  <c r="B17" i="4"/>
  <c r="E16" i="4"/>
  <c r="D16" i="4"/>
  <c r="F16" i="4" s="1"/>
  <c r="C16" i="4"/>
  <c r="B16" i="4"/>
  <c r="E15" i="4"/>
  <c r="D15" i="4"/>
  <c r="C15" i="4"/>
  <c r="B15" i="4"/>
  <c r="E14" i="4"/>
  <c r="D14" i="4"/>
  <c r="F14" i="4" s="1"/>
  <c r="C14" i="4"/>
  <c r="B14" i="4"/>
  <c r="E13" i="4"/>
  <c r="D13" i="4"/>
  <c r="C13" i="4"/>
  <c r="B13" i="4"/>
  <c r="E12" i="4"/>
  <c r="D12" i="4"/>
  <c r="F12" i="4" s="1"/>
  <c r="C12" i="4"/>
  <c r="B12" i="4"/>
  <c r="E11" i="4"/>
  <c r="D11" i="4"/>
  <c r="C11" i="4"/>
  <c r="B11" i="4"/>
  <c r="E10" i="4"/>
  <c r="D10" i="4"/>
  <c r="F10" i="4" s="1"/>
  <c r="C10" i="4"/>
  <c r="B10" i="4"/>
  <c r="E9" i="4"/>
  <c r="D9" i="4"/>
  <c r="C9" i="4"/>
  <c r="B9" i="4"/>
  <c r="E8" i="4"/>
  <c r="D8" i="4"/>
  <c r="F8" i="4" s="1"/>
  <c r="C8" i="4"/>
  <c r="B8" i="4"/>
  <c r="E7" i="4"/>
  <c r="D7" i="4"/>
  <c r="C7" i="4"/>
  <c r="B7" i="4"/>
  <c r="G55" i="3"/>
  <c r="F55" i="3"/>
  <c r="B55" i="3"/>
  <c r="G54" i="3"/>
  <c r="F54" i="3"/>
  <c r="B54" i="3"/>
  <c r="G53" i="3"/>
  <c r="F53" i="3"/>
  <c r="B53" i="3"/>
  <c r="G52" i="3"/>
  <c r="F52" i="3"/>
  <c r="B52" i="3"/>
  <c r="G51" i="3"/>
  <c r="F51" i="3"/>
  <c r="B51" i="3"/>
  <c r="G50" i="3"/>
  <c r="F50" i="3"/>
  <c r="B50" i="3"/>
  <c r="G49" i="3"/>
  <c r="F49" i="3"/>
  <c r="B49" i="3"/>
  <c r="G48" i="3"/>
  <c r="F48" i="3"/>
  <c r="D48" i="3"/>
  <c r="B48" i="3"/>
  <c r="G47" i="3"/>
  <c r="F47" i="3"/>
  <c r="B47" i="3"/>
  <c r="G46" i="3"/>
  <c r="F46" i="3"/>
  <c r="B46" i="3"/>
  <c r="G45" i="3"/>
  <c r="F45" i="3"/>
  <c r="B45" i="3"/>
  <c r="G44" i="3"/>
  <c r="F44" i="3"/>
  <c r="B44" i="3"/>
  <c r="G43" i="3"/>
  <c r="F43" i="3"/>
  <c r="D43" i="3"/>
  <c r="B43" i="3"/>
  <c r="G42" i="3"/>
  <c r="F42" i="3"/>
  <c r="B42" i="3"/>
  <c r="G41" i="3"/>
  <c r="F41" i="3"/>
  <c r="B41" i="3"/>
  <c r="G40" i="3"/>
  <c r="F40" i="3"/>
  <c r="B40" i="3"/>
  <c r="G39" i="3"/>
  <c r="F39" i="3"/>
  <c r="B39" i="3"/>
  <c r="G38" i="3"/>
  <c r="F38" i="3"/>
  <c r="D38" i="3"/>
  <c r="B38" i="3"/>
  <c r="G37" i="3"/>
  <c r="F37" i="3"/>
  <c r="B37" i="3"/>
  <c r="G36" i="3"/>
  <c r="F36" i="3"/>
  <c r="B36" i="3"/>
  <c r="G35" i="3"/>
  <c r="F35" i="3"/>
  <c r="B35" i="3"/>
  <c r="G34" i="3"/>
  <c r="F34" i="3"/>
  <c r="B34" i="3"/>
  <c r="G33" i="3"/>
  <c r="F33" i="3"/>
  <c r="B33" i="3"/>
  <c r="G32" i="3"/>
  <c r="F32" i="3"/>
  <c r="B32" i="3"/>
  <c r="G31" i="3"/>
  <c r="F31" i="3"/>
  <c r="B31" i="3"/>
  <c r="G30" i="3"/>
  <c r="F30" i="3"/>
  <c r="B30" i="3"/>
  <c r="G29" i="3"/>
  <c r="F29" i="3"/>
  <c r="D29" i="3"/>
  <c r="B29" i="3"/>
  <c r="G28" i="3"/>
  <c r="F28" i="3"/>
  <c r="D28" i="3"/>
  <c r="B28" i="3"/>
  <c r="G27" i="3"/>
  <c r="F27" i="3"/>
  <c r="B27" i="3"/>
  <c r="G26" i="3"/>
  <c r="F26" i="3"/>
  <c r="B26" i="3"/>
  <c r="G25" i="3"/>
  <c r="F25" i="3"/>
  <c r="B25" i="3"/>
  <c r="G24" i="3"/>
  <c r="F24" i="3"/>
  <c r="B24" i="3"/>
  <c r="G23" i="3"/>
  <c r="F23" i="3"/>
  <c r="B23" i="3"/>
  <c r="G22" i="3"/>
  <c r="F22" i="3"/>
  <c r="B22" i="3"/>
  <c r="G21" i="3"/>
  <c r="F21" i="3"/>
  <c r="B21" i="3"/>
  <c r="G20" i="3"/>
  <c r="F20" i="3"/>
  <c r="B20" i="3"/>
  <c r="G19" i="3"/>
  <c r="F19" i="3"/>
  <c r="B19" i="3"/>
  <c r="G18" i="3"/>
  <c r="F18" i="3"/>
  <c r="B18" i="3"/>
  <c r="G17" i="3"/>
  <c r="F17" i="3"/>
  <c r="B17" i="3"/>
  <c r="G16" i="3"/>
  <c r="F16" i="3"/>
  <c r="B16" i="3"/>
  <c r="G15" i="3"/>
  <c r="F15" i="3"/>
  <c r="B15" i="3"/>
  <c r="G14" i="3"/>
  <c r="F14" i="3"/>
  <c r="B14" i="3"/>
  <c r="G13" i="3"/>
  <c r="F13" i="3"/>
  <c r="B13" i="3"/>
  <c r="G12" i="3"/>
  <c r="F12" i="3"/>
  <c r="D12" i="3"/>
  <c r="B12" i="3"/>
  <c r="G11" i="3"/>
  <c r="F11" i="3"/>
  <c r="B11" i="3"/>
  <c r="G10" i="3"/>
  <c r="F10" i="3"/>
  <c r="D10" i="3"/>
  <c r="B10" i="3"/>
  <c r="G9" i="3"/>
  <c r="F9" i="3"/>
  <c r="B9" i="3"/>
  <c r="G8" i="3"/>
  <c r="F8" i="3"/>
  <c r="B8" i="3"/>
  <c r="L49" i="2"/>
  <c r="G24" i="1" s="1"/>
  <c r="K49" i="2"/>
  <c r="D24" i="1" s="1"/>
  <c r="J49" i="2"/>
  <c r="I49" i="2"/>
  <c r="C24" i="1" s="1"/>
  <c r="H49" i="2"/>
  <c r="L48" i="2"/>
  <c r="G58" i="1" s="1"/>
  <c r="K48" i="2"/>
  <c r="D58" i="1" s="1"/>
  <c r="J48" i="2"/>
  <c r="I48" i="2"/>
  <c r="C58" i="1"/>
  <c r="H48" i="2"/>
  <c r="L47" i="2"/>
  <c r="G26" i="1"/>
  <c r="K47" i="2"/>
  <c r="D26" i="1" s="1"/>
  <c r="J47" i="2"/>
  <c r="I47" i="2"/>
  <c r="C26" i="1"/>
  <c r="H47" i="2"/>
  <c r="L46" i="2"/>
  <c r="G33" i="1"/>
  <c r="K46" i="2"/>
  <c r="D33" i="1" s="1"/>
  <c r="J46" i="2"/>
  <c r="I46" i="2"/>
  <c r="C33" i="1"/>
  <c r="H46" i="2"/>
  <c r="L45" i="2"/>
  <c r="G51" i="1"/>
  <c r="K45" i="2"/>
  <c r="D51" i="1" s="1"/>
  <c r="J45" i="2"/>
  <c r="I45" i="2"/>
  <c r="C51" i="1"/>
  <c r="H45" i="2"/>
  <c r="L44" i="2"/>
  <c r="G61" i="1"/>
  <c r="K44" i="2"/>
  <c r="D61" i="1" s="1"/>
  <c r="J44" i="2"/>
  <c r="I44" i="2"/>
  <c r="C61" i="1"/>
  <c r="H44" i="2"/>
  <c r="L43" i="2"/>
  <c r="G55" i="1"/>
  <c r="K43" i="2"/>
  <c r="D55" i="1" s="1"/>
  <c r="J43" i="2"/>
  <c r="I43" i="2"/>
  <c r="C55" i="1"/>
  <c r="H43" i="2"/>
  <c r="L42" i="2"/>
  <c r="G34" i="1"/>
  <c r="K42" i="2"/>
  <c r="D34" i="1" s="1"/>
  <c r="J42" i="2"/>
  <c r="I42" i="2"/>
  <c r="C34" i="1"/>
  <c r="H42" i="2"/>
  <c r="L41" i="2"/>
  <c r="G60" i="1"/>
  <c r="K41" i="2"/>
  <c r="D60" i="1" s="1"/>
  <c r="J41" i="2"/>
  <c r="I41" i="2"/>
  <c r="C60" i="1"/>
  <c r="H41" i="2"/>
  <c r="L40" i="2"/>
  <c r="G43" i="1"/>
  <c r="K40" i="2"/>
  <c r="D43" i="1" s="1"/>
  <c r="J40" i="2"/>
  <c r="I40" i="2"/>
  <c r="C43" i="1"/>
  <c r="H40" i="2"/>
  <c r="L39" i="2"/>
  <c r="G29" i="1"/>
  <c r="K39" i="2"/>
  <c r="D29" i="1" s="1"/>
  <c r="J39" i="2"/>
  <c r="I39" i="2"/>
  <c r="C29" i="1"/>
  <c r="H39" i="2"/>
  <c r="L38" i="2"/>
  <c r="G59" i="1"/>
  <c r="K38" i="2"/>
  <c r="D59" i="1" s="1"/>
  <c r="J38" i="2"/>
  <c r="I38" i="2"/>
  <c r="C59" i="1"/>
  <c r="H38" i="2"/>
  <c r="L37" i="2"/>
  <c r="G25" i="1"/>
  <c r="K37" i="2"/>
  <c r="D25" i="1" s="1"/>
  <c r="J37" i="2"/>
  <c r="I37" i="2"/>
  <c r="C25" i="1"/>
  <c r="H37" i="2"/>
  <c r="L36" i="2"/>
  <c r="G41" i="1"/>
  <c r="K36" i="2"/>
  <c r="D41" i="1" s="1"/>
  <c r="J36" i="2"/>
  <c r="I36" i="2"/>
  <c r="C41" i="1"/>
  <c r="H36" i="2"/>
  <c r="L35" i="2"/>
  <c r="G28" i="1"/>
  <c r="K35" i="2"/>
  <c r="D28" i="1" s="1"/>
  <c r="J35" i="2"/>
  <c r="I35" i="2"/>
  <c r="C28" i="1"/>
  <c r="H35" i="2"/>
  <c r="L34" i="2"/>
  <c r="G56" i="1"/>
  <c r="K34" i="2"/>
  <c r="D56" i="1" s="1"/>
  <c r="J34" i="2"/>
  <c r="I34" i="2"/>
  <c r="C56" i="1"/>
  <c r="H34" i="2"/>
  <c r="L33" i="2"/>
  <c r="G42" i="1"/>
  <c r="K33" i="2"/>
  <c r="D42" i="1" s="1"/>
  <c r="J33" i="2"/>
  <c r="I33" i="2"/>
  <c r="C42" i="1"/>
  <c r="H33" i="2"/>
  <c r="L32" i="2"/>
  <c r="G15" i="1"/>
  <c r="K32" i="2"/>
  <c r="D15" i="1" s="1"/>
  <c r="J32" i="2"/>
  <c r="I32" i="2"/>
  <c r="C15" i="1"/>
  <c r="H32" i="2"/>
  <c r="L31" i="2"/>
  <c r="G31" i="1"/>
  <c r="K31" i="2"/>
  <c r="D31" i="1" s="1"/>
  <c r="J31" i="2"/>
  <c r="I31" i="2"/>
  <c r="C31" i="1"/>
  <c r="H31" i="2"/>
  <c r="L30" i="2"/>
  <c r="G22" i="1"/>
  <c r="K30" i="2"/>
  <c r="D22" i="1" s="1"/>
  <c r="J30" i="2"/>
  <c r="I30" i="2"/>
  <c r="C22" i="1"/>
  <c r="H30" i="2"/>
  <c r="L29" i="2"/>
  <c r="G19" i="1"/>
  <c r="K29" i="2"/>
  <c r="D19" i="1" s="1"/>
  <c r="J29" i="2"/>
  <c r="I29" i="2"/>
  <c r="C19" i="1"/>
  <c r="H29" i="2"/>
  <c r="L28" i="2"/>
  <c r="G38" i="1"/>
  <c r="K28" i="2"/>
  <c r="D38" i="1" s="1"/>
  <c r="J28" i="2"/>
  <c r="I28" i="2"/>
  <c r="C38" i="1"/>
  <c r="H28" i="2"/>
  <c r="L27" i="2"/>
  <c r="G20" i="1"/>
  <c r="K27" i="2"/>
  <c r="D20" i="1" s="1"/>
  <c r="J27" i="2"/>
  <c r="I27" i="2"/>
  <c r="C20" i="1" s="1"/>
  <c r="H27" i="2"/>
  <c r="L26" i="2"/>
  <c r="G57" i="1" s="1"/>
  <c r="K26" i="2"/>
  <c r="D57" i="1" s="1"/>
  <c r="J26" i="2"/>
  <c r="I26" i="2"/>
  <c r="C57" i="1" s="1"/>
  <c r="H26" i="2"/>
  <c r="L25" i="2"/>
  <c r="G21" i="1" s="1"/>
  <c r="K25" i="2"/>
  <c r="D21" i="1" s="1"/>
  <c r="J25" i="2"/>
  <c r="I25" i="2"/>
  <c r="C21" i="1" s="1"/>
  <c r="H25" i="2"/>
  <c r="L24" i="2"/>
  <c r="G32" i="1" s="1"/>
  <c r="K24" i="2"/>
  <c r="D32" i="1" s="1"/>
  <c r="J24" i="2"/>
  <c r="I24" i="2"/>
  <c r="C32" i="1" s="1"/>
  <c r="H24" i="2"/>
  <c r="L23" i="2"/>
  <c r="G17" i="1" s="1"/>
  <c r="K23" i="2"/>
  <c r="D17" i="1" s="1"/>
  <c r="J23" i="2"/>
  <c r="I23" i="2"/>
  <c r="C17" i="1" s="1"/>
  <c r="H23" i="2"/>
  <c r="L22" i="2"/>
  <c r="G46" i="1" s="1"/>
  <c r="K22" i="2"/>
  <c r="D46" i="1" s="1"/>
  <c r="J22" i="2"/>
  <c r="I22" i="2"/>
  <c r="C46" i="1" s="1"/>
  <c r="H22" i="2"/>
  <c r="L21" i="2"/>
  <c r="G35" i="1" s="1"/>
  <c r="K21" i="2"/>
  <c r="D35" i="1" s="1"/>
  <c r="J21" i="2"/>
  <c r="I21" i="2"/>
  <c r="C35" i="1" s="1"/>
  <c r="H21" i="2"/>
  <c r="L20" i="2"/>
  <c r="G23" i="1" s="1"/>
  <c r="K20" i="2"/>
  <c r="D23" i="1" s="1"/>
  <c r="J20" i="2"/>
  <c r="I20" i="2"/>
  <c r="C23" i="1" s="1"/>
  <c r="H20" i="2"/>
  <c r="L19" i="2"/>
  <c r="G52" i="1" s="1"/>
  <c r="K19" i="2"/>
  <c r="D52" i="1" s="1"/>
  <c r="J19" i="2"/>
  <c r="I19" i="2"/>
  <c r="C52" i="1" s="1"/>
  <c r="H19" i="2"/>
  <c r="L18" i="2"/>
  <c r="G39" i="1" s="1"/>
  <c r="K18" i="2"/>
  <c r="D39" i="1" s="1"/>
  <c r="J18" i="2"/>
  <c r="I18" i="2"/>
  <c r="C39" i="1" s="1"/>
  <c r="H18" i="2"/>
  <c r="L17" i="2"/>
  <c r="G47" i="1" s="1"/>
  <c r="K17" i="2"/>
  <c r="D47" i="1" s="1"/>
  <c r="J17" i="2"/>
  <c r="I17" i="2"/>
  <c r="C47" i="1" s="1"/>
  <c r="H17" i="2"/>
  <c r="L16" i="2"/>
  <c r="G30" i="1" s="1"/>
  <c r="K16" i="2"/>
  <c r="D30" i="1" s="1"/>
  <c r="J16" i="2"/>
  <c r="I16" i="2"/>
  <c r="C30" i="1" s="1"/>
  <c r="H16" i="2"/>
  <c r="L15" i="2"/>
  <c r="G53" i="1" s="1"/>
  <c r="K15" i="2"/>
  <c r="D53" i="1" s="1"/>
  <c r="J15" i="2"/>
  <c r="I15" i="2"/>
  <c r="C53" i="1" s="1"/>
  <c r="H15" i="2"/>
  <c r="L14" i="2"/>
  <c r="G45" i="1" s="1"/>
  <c r="K14" i="2"/>
  <c r="D45" i="1" s="1"/>
  <c r="J14" i="2"/>
  <c r="I14" i="2"/>
  <c r="C45" i="1" s="1"/>
  <c r="H14" i="2"/>
  <c r="L13" i="2"/>
  <c r="G44" i="1" s="1"/>
  <c r="K13" i="2"/>
  <c r="D44" i="1" s="1"/>
  <c r="J13" i="2"/>
  <c r="I13" i="2"/>
  <c r="C44" i="1" s="1"/>
  <c r="H13" i="2"/>
  <c r="L12" i="2"/>
  <c r="G37" i="1" s="1"/>
  <c r="K12" i="2"/>
  <c r="D37" i="1" s="1"/>
  <c r="J12" i="2"/>
  <c r="I12" i="2"/>
  <c r="C37" i="1" s="1"/>
  <c r="H12" i="2"/>
  <c r="L11" i="2"/>
  <c r="G40" i="1" s="1"/>
  <c r="K11" i="2"/>
  <c r="D40" i="1" s="1"/>
  <c r="J11" i="2"/>
  <c r="I11" i="2"/>
  <c r="C40" i="1" s="1"/>
  <c r="H11" i="2"/>
  <c r="L10" i="2"/>
  <c r="G48" i="1" s="1"/>
  <c r="K10" i="2"/>
  <c r="D48" i="1" s="1"/>
  <c r="J10" i="2"/>
  <c r="I10" i="2"/>
  <c r="C48" i="1" s="1"/>
  <c r="H10" i="2"/>
  <c r="L9" i="2"/>
  <c r="G18" i="1" s="1"/>
  <c r="K9" i="2"/>
  <c r="D18" i="1" s="1"/>
  <c r="J9" i="2"/>
  <c r="I9" i="2"/>
  <c r="C18" i="1" s="1"/>
  <c r="H9" i="2"/>
  <c r="L8" i="2"/>
  <c r="G62" i="1" s="1"/>
  <c r="K8" i="2"/>
  <c r="D62" i="1" s="1"/>
  <c r="J8" i="2"/>
  <c r="I8" i="2"/>
  <c r="C62" i="1" s="1"/>
  <c r="H8" i="2"/>
  <c r="L7" i="2"/>
  <c r="G27" i="1" s="1"/>
  <c r="K7" i="2"/>
  <c r="D27" i="1" s="1"/>
  <c r="J7" i="2"/>
  <c r="I7" i="2"/>
  <c r="C27" i="1" s="1"/>
  <c r="H7" i="2"/>
  <c r="L6" i="2"/>
  <c r="G16" i="1" s="1"/>
  <c r="K6" i="2"/>
  <c r="D16" i="1" s="1"/>
  <c r="J6" i="2"/>
  <c r="I6" i="2"/>
  <c r="C16" i="1" s="1"/>
  <c r="H6" i="2"/>
  <c r="L5" i="2"/>
  <c r="G49" i="1" s="1"/>
  <c r="K5" i="2"/>
  <c r="D49" i="1" s="1"/>
  <c r="J5" i="2"/>
  <c r="I5" i="2"/>
  <c r="C49" i="1" s="1"/>
  <c r="H5" i="2"/>
  <c r="L4" i="2"/>
  <c r="G36" i="1" s="1"/>
  <c r="K4" i="2"/>
  <c r="D36" i="1" s="1"/>
  <c r="J4" i="2"/>
  <c r="I4" i="2"/>
  <c r="C36" i="1" s="1"/>
  <c r="H4" i="2"/>
  <c r="L3" i="2"/>
  <c r="G54" i="1" s="1"/>
  <c r="K3" i="2"/>
  <c r="D54" i="1" s="1"/>
  <c r="J3" i="2"/>
  <c r="I3" i="2"/>
  <c r="C54" i="1" s="1"/>
  <c r="H3" i="2"/>
  <c r="L2" i="2"/>
  <c r="G50" i="1" s="1"/>
  <c r="K2" i="2"/>
  <c r="J2" i="2"/>
  <c r="I7" i="1" s="1"/>
  <c r="I2" i="2"/>
  <c r="H2" i="2"/>
  <c r="C124" i="1"/>
  <c r="C123" i="1"/>
  <c r="C122" i="1"/>
  <c r="C121" i="1"/>
  <c r="C120" i="1"/>
  <c r="C119" i="1"/>
  <c r="C118" i="1"/>
  <c r="C117" i="1"/>
  <c r="C116" i="1"/>
  <c r="C115" i="1"/>
  <c r="C114" i="1"/>
  <c r="C113" i="1"/>
  <c r="C93" i="1"/>
  <c r="C92" i="1"/>
  <c r="C91" i="1"/>
  <c r="C90" i="1"/>
  <c r="C89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7" i="1"/>
  <c r="I6" i="1"/>
  <c r="F6" i="1"/>
  <c r="C6" i="1"/>
  <c r="AY9" i="7"/>
  <c r="AY12" i="7"/>
  <c r="AY8" i="7"/>
  <c r="AY13" i="7"/>
  <c r="AY6" i="7"/>
  <c r="AY10" i="7"/>
  <c r="AY14" i="7"/>
  <c r="AY11" i="7"/>
  <c r="AY5" i="7"/>
  <c r="AY15" i="7"/>
  <c r="AY4" i="7"/>
  <c r="AY7" i="7"/>
  <c r="BB57" i="6"/>
  <c r="BB19" i="6"/>
  <c r="BB41" i="6"/>
  <c r="BB69" i="6"/>
  <c r="BB25" i="6"/>
  <c r="BB54" i="6"/>
  <c r="BB43" i="6"/>
  <c r="BB61" i="6"/>
  <c r="BB7" i="6"/>
  <c r="BB44" i="6"/>
  <c r="BB48" i="6"/>
  <c r="BB37" i="6"/>
  <c r="BB30" i="6"/>
  <c r="BB29" i="6"/>
  <c r="BB60" i="6"/>
  <c r="BB35" i="6"/>
  <c r="BB5" i="6"/>
  <c r="BB34" i="6"/>
  <c r="BB33" i="6"/>
  <c r="BB39" i="6"/>
  <c r="BB13" i="6"/>
  <c r="BB59" i="6"/>
  <c r="BB27" i="6"/>
  <c r="BB9" i="6"/>
  <c r="BB26" i="6"/>
  <c r="BB11" i="6"/>
  <c r="BB24" i="6"/>
  <c r="BB21" i="6"/>
  <c r="BB17" i="6"/>
  <c r="BB22" i="6"/>
  <c r="BB15" i="6"/>
  <c r="BB14" i="6"/>
  <c r="BB68" i="6"/>
  <c r="BB66" i="6"/>
  <c r="BB20" i="6"/>
  <c r="BB51" i="6"/>
  <c r="BB53" i="6"/>
  <c r="BB50" i="6"/>
  <c r="BB55" i="6"/>
  <c r="BB28" i="6"/>
  <c r="BB6" i="6"/>
  <c r="BB8" i="6"/>
  <c r="BB10" i="6"/>
  <c r="BB63" i="6"/>
  <c r="BB12" i="6"/>
  <c r="BB64" i="6"/>
  <c r="BB49" i="6"/>
  <c r="BB47" i="6"/>
  <c r="BB23" i="6"/>
  <c r="BB31" i="6"/>
  <c r="BB45" i="6"/>
  <c r="BB40" i="6"/>
  <c r="BB16" i="6"/>
  <c r="BB36" i="6"/>
  <c r="BB4" i="6"/>
  <c r="BC71" i="6"/>
  <c r="AZ42" i="6"/>
  <c r="BA42" i="6"/>
  <c r="AZ20" i="6"/>
  <c r="BA20" i="6"/>
  <c r="BC19" i="6"/>
  <c r="AZ21" i="6"/>
  <c r="BA21" i="6"/>
  <c r="AZ19" i="6"/>
  <c r="BA19" i="6"/>
  <c r="BC18" i="6"/>
  <c r="AZ18" i="6"/>
  <c r="BA18" i="6"/>
  <c r="BC17" i="6"/>
  <c r="BC21" i="6"/>
  <c r="AZ17" i="6"/>
  <c r="BA17" i="6"/>
  <c r="BC16" i="6"/>
  <c r="AZ22" i="6"/>
  <c r="BA22" i="6"/>
  <c r="AZ16" i="6"/>
  <c r="BA16" i="6"/>
  <c r="BC15" i="6"/>
  <c r="BC22" i="6"/>
  <c r="AZ15" i="6"/>
  <c r="BA15" i="6"/>
  <c r="BC14" i="6"/>
  <c r="AZ23" i="6"/>
  <c r="BA23" i="6"/>
  <c r="BC23" i="6"/>
  <c r="AZ24" i="6"/>
  <c r="BA24" i="6"/>
  <c r="BC24" i="6"/>
  <c r="AZ13" i="6"/>
  <c r="BA13" i="6"/>
  <c r="BC12" i="6"/>
  <c r="AZ25" i="6"/>
  <c r="BA25" i="6"/>
  <c r="AZ12" i="6"/>
  <c r="BA12" i="6"/>
  <c r="BC11" i="6"/>
  <c r="BC25" i="6"/>
  <c r="BC70" i="6"/>
  <c r="BC10" i="6"/>
  <c r="AZ26" i="6"/>
  <c r="BA26" i="6"/>
  <c r="AZ10" i="6"/>
  <c r="BA10" i="6"/>
  <c r="BC9" i="6"/>
  <c r="BC26" i="6"/>
  <c r="AZ9" i="6"/>
  <c r="BA9" i="6"/>
  <c r="BC8" i="6"/>
  <c r="AZ27" i="6"/>
  <c r="BA27" i="6"/>
  <c r="AZ8" i="6"/>
  <c r="BA8" i="6"/>
  <c r="BC7" i="6"/>
  <c r="BC27" i="6"/>
  <c r="AZ7" i="6"/>
  <c r="BA7" i="6"/>
  <c r="BC6" i="6"/>
  <c r="AZ28" i="6"/>
  <c r="BA28" i="6"/>
  <c r="AZ6" i="6"/>
  <c r="BA6" i="6"/>
  <c r="BC5" i="6"/>
  <c r="BC28" i="6"/>
  <c r="AZ5" i="6"/>
  <c r="BA5" i="6"/>
  <c r="BC4" i="6"/>
  <c r="AZ29" i="6"/>
  <c r="BA29" i="6"/>
  <c r="AZ4" i="6"/>
  <c r="BA4" i="6"/>
  <c r="AZ14" i="6"/>
  <c r="BA14" i="6"/>
  <c r="AZ71" i="6"/>
  <c r="BA71" i="6"/>
  <c r="AZ70" i="6"/>
  <c r="BA70" i="6"/>
  <c r="BC69" i="6"/>
  <c r="AZ69" i="6"/>
  <c r="BA69" i="6"/>
  <c r="BC68" i="6"/>
  <c r="AZ68" i="6"/>
  <c r="BA68" i="6"/>
  <c r="BC67" i="6"/>
  <c r="AZ67" i="6"/>
  <c r="BA67" i="6"/>
  <c r="BC66" i="6"/>
  <c r="AZ66" i="6"/>
  <c r="BA66" i="6"/>
  <c r="BC65" i="6"/>
  <c r="AZ65" i="6"/>
  <c r="BA65" i="6"/>
  <c r="BC64" i="6"/>
  <c r="AZ64" i="6"/>
  <c r="BA64" i="6"/>
  <c r="BC63" i="6"/>
  <c r="AZ63" i="6"/>
  <c r="BA63" i="6"/>
  <c r="BC62" i="6"/>
  <c r="AZ62" i="6"/>
  <c r="BA62" i="6"/>
  <c r="BC61" i="6"/>
  <c r="AZ61" i="6"/>
  <c r="BA61" i="6"/>
  <c r="BC60" i="6"/>
  <c r="AZ60" i="6"/>
  <c r="BA60" i="6"/>
  <c r="BC59" i="6"/>
  <c r="AZ59" i="6"/>
  <c r="BA59" i="6"/>
  <c r="BC58" i="6"/>
  <c r="AZ58" i="6"/>
  <c r="BA58" i="6"/>
  <c r="BC57" i="6"/>
  <c r="AZ57" i="6"/>
  <c r="BA57" i="6"/>
  <c r="BC56" i="6"/>
  <c r="AZ56" i="6"/>
  <c r="BA56" i="6"/>
  <c r="BC55" i="6"/>
  <c r="AZ55" i="6"/>
  <c r="BA55" i="6"/>
  <c r="BC54" i="6"/>
  <c r="AZ54" i="6"/>
  <c r="BA54" i="6"/>
  <c r="BC53" i="6"/>
  <c r="AZ53" i="6"/>
  <c r="BA53" i="6"/>
  <c r="BC52" i="6"/>
  <c r="AZ52" i="6"/>
  <c r="BA52" i="6"/>
  <c r="BC51" i="6"/>
  <c r="AZ51" i="6"/>
  <c r="BA51" i="6"/>
  <c r="BC50" i="6"/>
  <c r="AZ50" i="6"/>
  <c r="BA50" i="6"/>
  <c r="BC49" i="6"/>
  <c r="AZ49" i="6"/>
  <c r="BA49" i="6"/>
  <c r="BC48" i="6"/>
  <c r="AZ48" i="6"/>
  <c r="BA48" i="6"/>
  <c r="BC47" i="6"/>
  <c r="AZ47" i="6"/>
  <c r="BA47" i="6"/>
  <c r="BC46" i="6"/>
  <c r="AZ72" i="6"/>
  <c r="BA72" i="6"/>
  <c r="BC29" i="6"/>
  <c r="BC20" i="6"/>
  <c r="AZ11" i="6"/>
  <c r="BA11" i="6"/>
  <c r="AZ46" i="6"/>
  <c r="BA46" i="6"/>
  <c r="BC45" i="6"/>
  <c r="AZ45" i="6"/>
  <c r="BA45" i="6"/>
  <c r="BC44" i="6"/>
  <c r="AZ44" i="6"/>
  <c r="BA44" i="6"/>
  <c r="BC43" i="6"/>
  <c r="AZ43" i="6"/>
  <c r="BA43" i="6"/>
  <c r="BC42" i="6"/>
  <c r="AZ30" i="6"/>
  <c r="BA30" i="6"/>
  <c r="BC30" i="6"/>
  <c r="BC72" i="6"/>
  <c r="AZ73" i="6"/>
  <c r="BA73" i="6"/>
  <c r="BC73" i="6"/>
  <c r="AZ74" i="6"/>
  <c r="BA74" i="6"/>
  <c r="BC74" i="6"/>
  <c r="AZ75" i="6"/>
  <c r="BA75" i="6"/>
  <c r="BC75" i="6"/>
  <c r="AZ31" i="6"/>
  <c r="BA31" i="6"/>
  <c r="BC31" i="6"/>
  <c r="AZ32" i="6"/>
  <c r="BA32" i="6"/>
  <c r="BC32" i="6"/>
  <c r="AZ33" i="6"/>
  <c r="BA33" i="6"/>
  <c r="BC33" i="6"/>
  <c r="AZ34" i="6"/>
  <c r="BA34" i="6"/>
  <c r="BC34" i="6"/>
  <c r="AZ35" i="6"/>
  <c r="BA35" i="6"/>
  <c r="BC35" i="6"/>
  <c r="AZ36" i="6"/>
  <c r="BA36" i="6"/>
  <c r="BC36" i="6"/>
  <c r="AZ37" i="6"/>
  <c r="BA37" i="6"/>
  <c r="BC37" i="6"/>
  <c r="AZ38" i="6"/>
  <c r="BA38" i="6"/>
  <c r="BC38" i="6"/>
  <c r="AZ39" i="6"/>
  <c r="BA39" i="6"/>
  <c r="BC39" i="6"/>
  <c r="AZ40" i="6"/>
  <c r="BA40" i="6"/>
  <c r="BC40" i="6"/>
  <c r="AZ41" i="6"/>
  <c r="BA41" i="6"/>
  <c r="BC41" i="6"/>
  <c r="BC13" i="6"/>
  <c r="I49" i="11" l="1"/>
  <c r="F13" i="4"/>
  <c r="F23" i="4"/>
  <c r="B4" i="4"/>
  <c r="AZ31" i="11"/>
  <c r="AZ48" i="11"/>
  <c r="D24" i="11"/>
  <c r="C24" i="11"/>
  <c r="F30" i="4"/>
  <c r="F44" i="4"/>
  <c r="AZ21" i="11"/>
  <c r="AZ35" i="11"/>
  <c r="AZ40" i="11"/>
  <c r="B24" i="11"/>
  <c r="F28" i="4"/>
  <c r="F33" i="4"/>
  <c r="AZ25" i="11"/>
  <c r="AZ12" i="11"/>
  <c r="M40" i="11"/>
  <c r="L40" i="11"/>
  <c r="AZ15" i="11"/>
  <c r="F24" i="4"/>
  <c r="AZ32" i="11"/>
  <c r="E9" i="3"/>
  <c r="C49" i="11"/>
  <c r="AZ47" i="11"/>
  <c r="E53" i="3"/>
  <c r="AZ30" i="11"/>
  <c r="AZ29" i="11"/>
  <c r="K40" i="11"/>
  <c r="J40" i="11"/>
  <c r="I40" i="11"/>
  <c r="H40" i="11"/>
  <c r="F11" i="4"/>
  <c r="AZ38" i="11"/>
  <c r="AZ34" i="11"/>
  <c r="G40" i="11"/>
  <c r="F40" i="11"/>
  <c r="E40" i="11"/>
  <c r="F116" i="1" s="1"/>
  <c r="G116" i="1" s="1"/>
  <c r="D40" i="11"/>
  <c r="C40" i="11"/>
  <c r="B40" i="11"/>
  <c r="M7" i="11"/>
  <c r="L7" i="11"/>
  <c r="K7" i="11"/>
  <c r="E23" i="3"/>
  <c r="E47" i="3"/>
  <c r="E37" i="3"/>
  <c r="AZ3" i="11"/>
  <c r="F9" i="4"/>
  <c r="E18" i="3"/>
  <c r="E45" i="3"/>
  <c r="F40" i="4"/>
  <c r="F39" i="4"/>
  <c r="F15" i="4"/>
  <c r="E51" i="3"/>
  <c r="E17" i="3"/>
  <c r="E26" i="3"/>
  <c r="E52" i="3"/>
  <c r="AZ27" i="11"/>
  <c r="J7" i="11"/>
  <c r="I7" i="11"/>
  <c r="H7" i="11"/>
  <c r="F22" i="4"/>
  <c r="AZ44" i="11"/>
  <c r="D56" i="3"/>
  <c r="E55" i="3"/>
  <c r="E21" i="3"/>
  <c r="H49" i="11"/>
  <c r="F32" i="4"/>
  <c r="E8" i="3"/>
  <c r="E50" i="3"/>
  <c r="E42" i="3"/>
  <c r="E31" i="3"/>
  <c r="AZ46" i="11"/>
  <c r="E40" i="3"/>
  <c r="E34" i="3"/>
  <c r="E24" i="3"/>
  <c r="E20" i="3"/>
  <c r="E49" i="3"/>
  <c r="F26" i="4"/>
  <c r="E55" i="4"/>
  <c r="E54" i="3"/>
  <c r="E44" i="3"/>
  <c r="E33" i="3"/>
  <c r="E14" i="3"/>
  <c r="E25" i="3"/>
  <c r="E22" i="3"/>
  <c r="E19" i="3"/>
  <c r="E16" i="3"/>
  <c r="AZ45" i="11"/>
  <c r="F19" i="4"/>
  <c r="F29" i="4"/>
  <c r="AZ7" i="11"/>
  <c r="AZ49" i="11"/>
  <c r="B49" i="11"/>
  <c r="C56" i="3"/>
  <c r="E12" i="3"/>
  <c r="C88" i="1"/>
  <c r="C87" i="1"/>
  <c r="C86" i="1"/>
  <c r="C85" i="1"/>
  <c r="C84" i="1"/>
  <c r="D84" i="1"/>
  <c r="D83" i="1"/>
  <c r="C83" i="1"/>
  <c r="C82" i="1"/>
  <c r="AZ2" i="11"/>
  <c r="D82" i="1"/>
  <c r="D78" i="1"/>
  <c r="E78" i="1" s="1"/>
  <c r="F78" i="1" s="1"/>
  <c r="D124" i="1"/>
  <c r="E124" i="1" s="1"/>
  <c r="F124" i="1"/>
  <c r="G124" i="1" s="1"/>
  <c r="D123" i="1"/>
  <c r="E123" i="1" s="1"/>
  <c r="D77" i="1"/>
  <c r="E77" i="1" s="1"/>
  <c r="F77" i="1" s="1"/>
  <c r="F123" i="1"/>
  <c r="G123" i="1" s="1"/>
  <c r="D76" i="1"/>
  <c r="D122" i="1"/>
  <c r="E122" i="1" s="1"/>
  <c r="F122" i="1"/>
  <c r="G122" i="1" s="1"/>
  <c r="D75" i="1"/>
  <c r="D121" i="1"/>
  <c r="E121" i="1" s="1"/>
  <c r="F121" i="1"/>
  <c r="G121" i="1" s="1"/>
  <c r="F120" i="1"/>
  <c r="G120" i="1" s="1"/>
  <c r="D74" i="1"/>
  <c r="D120" i="1"/>
  <c r="E120" i="1" s="1"/>
  <c r="D73" i="1"/>
  <c r="D70" i="1"/>
  <c r="D116" i="1"/>
  <c r="E116" i="1" s="1"/>
  <c r="F115" i="1"/>
  <c r="G115" i="1" s="1"/>
  <c r="D69" i="1"/>
  <c r="D115" i="1"/>
  <c r="E115" i="1" s="1"/>
  <c r="F114" i="1"/>
  <c r="G114" i="1" s="1"/>
  <c r="D68" i="1"/>
  <c r="D114" i="1"/>
  <c r="E114" i="1" s="1"/>
  <c r="F113" i="1"/>
  <c r="G113" i="1" s="1"/>
  <c r="C138" i="1"/>
  <c r="B139" i="1"/>
  <c r="B138" i="1"/>
  <c r="C137" i="1"/>
  <c r="B137" i="1"/>
  <c r="C136" i="1"/>
  <c r="B128" i="1"/>
  <c r="B136" i="1"/>
  <c r="C139" i="1"/>
  <c r="C132" i="1"/>
  <c r="B132" i="1"/>
  <c r="C131" i="1"/>
  <c r="B131" i="1"/>
  <c r="B140" i="1"/>
  <c r="C130" i="1"/>
  <c r="B130" i="1"/>
  <c r="C140" i="1"/>
  <c r="C129" i="1"/>
  <c r="C128" i="1"/>
  <c r="B129" i="1"/>
  <c r="D55" i="4"/>
  <c r="F55" i="4" s="1"/>
  <c r="F7" i="4"/>
  <c r="C7" i="1"/>
  <c r="C63" i="1"/>
  <c r="C50" i="1"/>
  <c r="C108" i="1"/>
  <c r="D108" i="1"/>
  <c r="C107" i="1"/>
  <c r="D107" i="1"/>
  <c r="D106" i="1"/>
  <c r="C106" i="1"/>
  <c r="C105" i="1"/>
  <c r="D105" i="1"/>
  <c r="C104" i="1"/>
  <c r="D104" i="1"/>
  <c r="C103" i="1"/>
  <c r="D103" i="1"/>
  <c r="C102" i="1"/>
  <c r="D102" i="1"/>
  <c r="C101" i="1"/>
  <c r="D101" i="1"/>
  <c r="C100" i="1"/>
  <c r="D100" i="1"/>
  <c r="D99" i="1"/>
  <c r="C99" i="1"/>
  <c r="D98" i="1"/>
  <c r="C98" i="1"/>
  <c r="C97" i="1"/>
  <c r="D97" i="1"/>
  <c r="D50" i="1"/>
  <c r="D63" i="1"/>
  <c r="C8" i="1"/>
  <c r="F8" i="1"/>
  <c r="I8" i="1"/>
  <c r="D72" i="1" l="1"/>
  <c r="D118" i="1"/>
  <c r="E118" i="1" s="1"/>
  <c r="F118" i="1"/>
  <c r="G118" i="1" s="1"/>
  <c r="D117" i="1"/>
  <c r="E117" i="1" s="1"/>
  <c r="D71" i="1"/>
  <c r="F117" i="1"/>
  <c r="G117" i="1" s="1"/>
  <c r="F119" i="1"/>
  <c r="G119" i="1" s="1"/>
  <c r="D119" i="1"/>
  <c r="E119" i="1" s="1"/>
  <c r="D87" i="1"/>
  <c r="D86" i="1"/>
  <c r="E86" i="1" s="1"/>
  <c r="E56" i="3"/>
  <c r="D85" i="1"/>
  <c r="E85" i="1" s="1"/>
  <c r="D88" i="1"/>
  <c r="E88" i="1" s="1"/>
  <c r="D67" i="1"/>
  <c r="D113" i="1"/>
  <c r="E113" i="1" s="1"/>
  <c r="E73" i="1"/>
  <c r="F73" i="1" s="1"/>
  <c r="D138" i="1"/>
  <c r="E138" i="1" s="1"/>
  <c r="F138" i="1" s="1"/>
  <c r="E70" i="1"/>
  <c r="F70" i="1" s="1"/>
  <c r="D128" i="1"/>
  <c r="E128" i="1" s="1"/>
  <c r="F128" i="1" s="1"/>
  <c r="E75" i="1"/>
  <c r="F75" i="1" s="1"/>
  <c r="D140" i="1"/>
  <c r="E140" i="1" s="1"/>
  <c r="F140" i="1" s="1"/>
  <c r="E72" i="1"/>
  <c r="F72" i="1" s="1"/>
  <c r="D131" i="1"/>
  <c r="E131" i="1" s="1"/>
  <c r="F131" i="1" s="1"/>
  <c r="E74" i="1"/>
  <c r="F74" i="1" s="1"/>
  <c r="E71" i="1"/>
  <c r="F71" i="1" s="1"/>
  <c r="D130" i="1"/>
  <c r="E130" i="1" s="1"/>
  <c r="F130" i="1" s="1"/>
  <c r="E69" i="1"/>
  <c r="F69" i="1" s="1"/>
  <c r="D129" i="1"/>
  <c r="E129" i="1" s="1"/>
  <c r="F129" i="1" s="1"/>
  <c r="E68" i="1"/>
  <c r="F68" i="1" s="1"/>
  <c r="D132" i="1"/>
  <c r="E132" i="1" s="1"/>
  <c r="F132" i="1" s="1"/>
  <c r="D136" i="1"/>
  <c r="E136" i="1" s="1"/>
  <c r="F136" i="1" s="1"/>
  <c r="D90" i="1"/>
  <c r="E90" i="1" s="1"/>
  <c r="D92" i="1"/>
  <c r="E92" i="1" s="1"/>
  <c r="D93" i="1"/>
  <c r="E93" i="1" s="1"/>
  <c r="D89" i="1"/>
  <c r="E89" i="1" s="1"/>
  <c r="D91" i="1"/>
  <c r="E91" i="1" s="1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E82" i="1"/>
  <c r="E87" i="1"/>
  <c r="E83" i="1"/>
  <c r="E84" i="1"/>
  <c r="B107" i="3"/>
  <c r="B102" i="3"/>
  <c r="C98" i="3"/>
  <c r="B91" i="3"/>
  <c r="C80" i="3"/>
  <c r="C87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B4" i="3"/>
  <c r="C74" i="3"/>
  <c r="C104" i="3"/>
  <c r="C99" i="3"/>
  <c r="C95" i="3"/>
  <c r="C93" i="3"/>
  <c r="B92" i="3"/>
  <c r="B89" i="3"/>
  <c r="B87" i="3"/>
  <c r="C85" i="3"/>
  <c r="C83" i="3"/>
  <c r="B82" i="3"/>
  <c r="B80" i="3"/>
  <c r="B78" i="3"/>
  <c r="C76" i="3"/>
  <c r="C72" i="3"/>
  <c r="B70" i="3"/>
  <c r="B104" i="3"/>
  <c r="C69" i="3"/>
  <c r="C92" i="3"/>
  <c r="C75" i="3"/>
  <c r="C71" i="3"/>
  <c r="C102" i="3"/>
  <c r="C94" i="3"/>
  <c r="C89" i="3"/>
  <c r="C103" i="3"/>
  <c r="C79" i="3"/>
  <c r="B69" i="3"/>
  <c r="B94" i="3"/>
  <c r="B99" i="3"/>
  <c r="C101" i="3"/>
  <c r="B106" i="3"/>
  <c r="B72" i="3"/>
  <c r="C73" i="3"/>
  <c r="C68" i="3"/>
  <c r="C81" i="3"/>
  <c r="C82" i="3"/>
  <c r="B84" i="3"/>
  <c r="B85" i="3"/>
  <c r="B86" i="3"/>
  <c r="B88" i="3"/>
  <c r="B90" i="3"/>
  <c r="C96" i="3"/>
  <c r="C100" i="3"/>
  <c r="B103" i="3"/>
  <c r="C107" i="3"/>
  <c r="B75" i="3"/>
  <c r="B77" i="3"/>
  <c r="B95" i="3"/>
  <c r="C91" i="3"/>
  <c r="C106" i="3"/>
  <c r="C97" i="3"/>
  <c r="B79" i="3"/>
  <c r="B105" i="3"/>
  <c r="B100" i="3"/>
  <c r="B97" i="3"/>
  <c r="B93" i="3"/>
  <c r="B71" i="3"/>
  <c r="C90" i="3"/>
  <c r="C88" i="3"/>
  <c r="C86" i="3"/>
  <c r="C84" i="3"/>
  <c r="B83" i="3"/>
  <c r="B81" i="3"/>
  <c r="C78" i="3"/>
  <c r="C77" i="3"/>
  <c r="B76" i="3"/>
  <c r="B74" i="3"/>
  <c r="B73" i="3"/>
  <c r="C70" i="3"/>
  <c r="C105" i="3"/>
  <c r="B101" i="3"/>
  <c r="B98" i="3"/>
  <c r="B96" i="3"/>
  <c r="E76" i="1"/>
  <c r="F76" i="1" s="1"/>
  <c r="D139" i="1"/>
  <c r="E139" i="1" s="1"/>
  <c r="F139" i="1" s="1"/>
  <c r="E99" i="1"/>
  <c r="E106" i="1"/>
  <c r="E103" i="1"/>
  <c r="E108" i="1"/>
  <c r="E97" i="1"/>
  <c r="E98" i="1"/>
  <c r="E105" i="1"/>
  <c r="E101" i="1"/>
  <c r="E100" i="1"/>
  <c r="E107" i="1"/>
  <c r="E102" i="1"/>
  <c r="E104" i="1"/>
  <c r="E67" i="1" l="1"/>
  <c r="F67" i="1" s="1"/>
  <c r="D137" i="1"/>
  <c r="E137" i="1" s="1"/>
  <c r="F137" i="1" s="1"/>
  <c r="K137" i="1"/>
  <c r="L137" i="1"/>
  <c r="H138" i="1"/>
  <c r="I138" i="1"/>
  <c r="J138" i="1"/>
  <c r="K138" i="1"/>
  <c r="L138" i="1"/>
  <c r="H139" i="1"/>
  <c r="I139" i="1"/>
  <c r="J139" i="1"/>
  <c r="K139" i="1"/>
  <c r="L139" i="1"/>
  <c r="H140" i="1"/>
  <c r="I140" i="1"/>
  <c r="J140" i="1"/>
  <c r="K140" i="1"/>
  <c r="L140" i="1"/>
  <c r="L129" i="1"/>
  <c r="J137" i="1"/>
  <c r="J136" i="1"/>
  <c r="H137" i="1"/>
  <c r="I128" i="1"/>
  <c r="K128" i="1"/>
  <c r="H129" i="1"/>
  <c r="J129" i="1"/>
  <c r="J131" i="1"/>
  <c r="I130" i="1"/>
  <c r="K130" i="1"/>
  <c r="H131" i="1"/>
  <c r="K131" i="1"/>
  <c r="I132" i="1"/>
  <c r="H136" i="1"/>
  <c r="K136" i="1"/>
  <c r="I137" i="1"/>
  <c r="H128" i="1"/>
  <c r="J128" i="1"/>
  <c r="L128" i="1"/>
  <c r="J132" i="1"/>
  <c r="I136" i="1"/>
  <c r="H132" i="1"/>
  <c r="L136" i="1"/>
  <c r="K132" i="1"/>
  <c r="L132" i="1"/>
  <c r="I129" i="1" l="1"/>
  <c r="K129" i="1"/>
  <c r="H130" i="1"/>
  <c r="J130" i="1"/>
  <c r="L130" i="1"/>
  <c r="I131" i="1"/>
  <c r="L131" i="1"/>
</calcChain>
</file>

<file path=xl/sharedStrings.xml><?xml version="1.0" encoding="utf-8"?>
<sst xmlns="http://schemas.openxmlformats.org/spreadsheetml/2006/main" count="20015" uniqueCount="6412">
  <si>
    <t>Clackamas Town Center - Sales Analysis Summary</t>
  </si>
  <si>
    <t>Property Overview</t>
  </si>
  <si>
    <t>T-12 Period:</t>
  </si>
  <si>
    <t>Placer Visits:</t>
  </si>
  <si>
    <t>Trade Area Pop:</t>
  </si>
  <si>
    <t>Inline Sales PSF:</t>
  </si>
  <si>
    <t>AHHI:</t>
  </si>
  <si>
    <t>Gross Rent PSF:</t>
  </si>
  <si>
    <t>Total Occ Cost:</t>
  </si>
  <si>
    <t>Set Avg Occ Cost:</t>
  </si>
  <si>
    <t>Spread:</t>
  </si>
  <si>
    <t>Methodology</t>
  </si>
  <si>
    <t>Comp set: 48 properties from the Select Asset Sales Comp. Inline tenants only (&lt;10,000 SF). Sales PSF = total category sales / total category SQFT per property, averaged across set (excluding properties with $0 in category). All formulas reference the Tenant Data sheet. Toggle property inclusion on Property Summary col B.</t>
  </si>
  <si>
    <t>Total Inline Occupancy Cost - All Properties (Reporting Tenants Only)</t>
  </si>
  <si>
    <t>Property</t>
  </si>
  <si>
    <t>Sales PSF (ex Apple)</t>
  </si>
  <si>
    <t>Occ Cost</t>
  </si>
  <si>
    <t>Placer Visits</t>
  </si>
  <si>
    <t>AHHI</t>
  </si>
  <si>
    <t>Tenant Count</t>
  </si>
  <si>
    <t>Oklahoma City Collection</t>
  </si>
  <si>
    <t>Belmar</t>
  </si>
  <si>
    <t>LaCenterra at Cinco Ranch</t>
  </si>
  <si>
    <t>Bridge Street Towne Centre</t>
  </si>
  <si>
    <t>Mayfaire Town Center</t>
  </si>
  <si>
    <t>Mall at Wellington Green</t>
  </si>
  <si>
    <t>Mall at Partridge Creek</t>
  </si>
  <si>
    <t>Mesa Mall</t>
  </si>
  <si>
    <t>Hamilton Place Mall</t>
  </si>
  <si>
    <t>Willow Grove Park</t>
  </si>
  <si>
    <t>Scottsdale Quarter</t>
  </si>
  <si>
    <t>West Towne Mall</t>
  </si>
  <si>
    <t>Brandon Exchange</t>
  </si>
  <si>
    <t>Pearland Town Center</t>
  </si>
  <si>
    <t>SouthPark Mall (OH)</t>
  </si>
  <si>
    <t>Crossgates Center</t>
  </si>
  <si>
    <t>Oak Park Mall</t>
  </si>
  <si>
    <t>Liberty Center</t>
  </si>
  <si>
    <t>West County Center</t>
  </si>
  <si>
    <t>The Shops At Evergreen Walk</t>
  </si>
  <si>
    <t>Hanes Mall</t>
  </si>
  <si>
    <t>Annapolis Town Center</t>
  </si>
  <si>
    <t>Coastal Grand Mall</t>
  </si>
  <si>
    <t>Mall del Norte</t>
  </si>
  <si>
    <t>Fayette Mall</t>
  </si>
  <si>
    <t>Capital City Mall</t>
  </si>
  <si>
    <t>Providence Place</t>
  </si>
  <si>
    <t>Paddock Mall</t>
  </si>
  <si>
    <t>Southgate Mall</t>
  </si>
  <si>
    <t>CoolSprings Galleria</t>
  </si>
  <si>
    <t>Crabtree Valley Mall</t>
  </si>
  <si>
    <t>Kansas City Collection</t>
  </si>
  <si>
    <t>Destiny USA</t>
  </si>
  <si>
    <t>Bridgewater Commons</t>
  </si>
  <si>
    <t>Arden Fair Mall</t>
  </si>
  <si>
    <t>Clackamas Town Center</t>
  </si>
  <si>
    <t>&lt;-</t>
  </si>
  <si>
    <t>Walden Galleria</t>
  </si>
  <si>
    <t>Galleria at Tyler</t>
  </si>
  <si>
    <t>Cross Creek Mall</t>
  </si>
  <si>
    <t>Annapolis Mall</t>
  </si>
  <si>
    <t>Towson Town Center</t>
  </si>
  <si>
    <t>Palisades Center</t>
  </si>
  <si>
    <t>Mall at Prince Georges</t>
  </si>
  <si>
    <t>Westfarms Mall</t>
  </si>
  <si>
    <t>SoNo Collection</t>
  </si>
  <si>
    <t>Staten Island Mall</t>
  </si>
  <si>
    <t>Tysons Corner</t>
  </si>
  <si>
    <t>Briarwood Mall</t>
  </si>
  <si>
    <t>Set Average</t>
  </si>
  <si>
    <t>Clackamas Town Center vs Set Average (Sales PSF by Category)</t>
  </si>
  <si>
    <t>Category</t>
  </si>
  <si>
    <t>Clackamas PSF</t>
  </si>
  <si>
    <t>Set Avg PSF</t>
  </si>
  <si>
    <t>Variance</t>
  </si>
  <si>
    <t>% Diff</t>
  </si>
  <si>
    <t>Apparel</t>
  </si>
  <si>
    <t>Shoes</t>
  </si>
  <si>
    <t>Jewelry</t>
  </si>
  <si>
    <t>Health &amp; Beauty</t>
  </si>
  <si>
    <t>Food &amp; Beverage</t>
  </si>
  <si>
    <t>Restaurant</t>
  </si>
  <si>
    <t>Hobby &amp; Novelty</t>
  </si>
  <si>
    <t>Service</t>
  </si>
  <si>
    <t>Tech</t>
  </si>
  <si>
    <t>Major</t>
  </si>
  <si>
    <t>Anchor</t>
  </si>
  <si>
    <t>Apple</t>
  </si>
  <si>
    <t>SQFT Allocation - Clackamas Town Center vs Set Average</t>
  </si>
  <si>
    <t>Clackamas %</t>
  </si>
  <si>
    <t>Set Avg %</t>
  </si>
  <si>
    <t>Difference</t>
  </si>
  <si>
    <t>Occupancy Cost by Category - Clackamas Town Center vs Set Avg (Reporting Tenants Only)</t>
  </si>
  <si>
    <t>Clackamas</t>
  </si>
  <si>
    <t>Set Avg</t>
  </si>
  <si>
    <t>Spread</t>
  </si>
  <si>
    <t>Clackamas Town Center vs Benchmarks (Sales PSF)</t>
  </si>
  <si>
    <t>Total Set = all properties. Enclosed Only = enclosed malls only. Property types from Property Summary.</t>
  </si>
  <si>
    <t>Total Set</t>
  </si>
  <si>
    <t>vs Total</t>
  </si>
  <si>
    <t>Enclosed Only</t>
  </si>
  <si>
    <t>vs Enclosed</t>
  </si>
  <si>
    <t>Top 5 Categories - by Sales PSF</t>
  </si>
  <si>
    <t>Top 5 - Where Clackamas Most Outperforms Set Avg</t>
  </si>
  <si>
    <t>Bottom 5 Categories - by Sales PSF</t>
  </si>
  <si>
    <t>Bottom 5 - Where Clackamas Most Underperforms Set Avg</t>
  </si>
  <si>
    <t>Include</t>
  </si>
  <si>
    <t>Property Type</t>
  </si>
  <si>
    <t>T-12 Period</t>
  </si>
  <si>
    <t>Trade Area Pop</t>
  </si>
  <si>
    <t>Inline Sales PSF</t>
  </si>
  <si>
    <t>Inline Sales PSF (ex Apple)</t>
  </si>
  <si>
    <t>Inline Rent PSF</t>
  </si>
  <si>
    <t>Inline Occ Cost %</t>
  </si>
  <si>
    <t>Inline Count</t>
  </si>
  <si>
    <t>Y</t>
  </si>
  <si>
    <t>Enclosed Mall</t>
  </si>
  <si>
    <t>6/2024-5/2025</t>
  </si>
  <si>
    <t>2/2022-1/2023</t>
  </si>
  <si>
    <t>Open Air</t>
  </si>
  <si>
    <t>3/2023-2/2024</t>
  </si>
  <si>
    <t>11/2019-10/2020</t>
  </si>
  <si>
    <t>7/2020-6/2021</t>
  </si>
  <si>
    <t>10/2021-9/2022</t>
  </si>
  <si>
    <t>3/2022-2/2023</t>
  </si>
  <si>
    <t>7/2021-6/2022</t>
  </si>
  <si>
    <t>5/2024-6/2025</t>
  </si>
  <si>
    <t>12/2024-11/2025</t>
  </si>
  <si>
    <t>12/2023-11/2024</t>
  </si>
  <si>
    <t>11/2022-10/2023</t>
  </si>
  <si>
    <t>4/2024-3/2025</t>
  </si>
  <si>
    <t>1/2025-12/2025</t>
  </si>
  <si>
    <t>10/2023-9/2024</t>
  </si>
  <si>
    <t>8/2024-7/2025</t>
  </si>
  <si>
    <t>3/2025-2/2026</t>
  </si>
  <si>
    <t>7/2024-6/2025</t>
  </si>
  <si>
    <t>9/2023-8/2024</t>
  </si>
  <si>
    <t>2/2024-1/2025</t>
  </si>
  <si>
    <t>Tenant Sales PSF Summary</t>
  </si>
  <si>
    <t>Select Tenant:</t>
  </si>
  <si>
    <t>Hollister</t>
  </si>
  <si>
    <t># of Locations:</t>
  </si>
  <si>
    <t>Property Details</t>
  </si>
  <si>
    <t>Size (SF)</t>
  </si>
  <si>
    <t>T-12 Sales</t>
  </si>
  <si>
    <t>Sales PSF</t>
  </si>
  <si>
    <t>Rent PSF</t>
  </si>
  <si>
    <t>Occ Cost %</t>
  </si>
  <si>
    <t>Total / Weighted Avg</t>
  </si>
  <si>
    <t>Sales PSF Ranking (Highest to Lowest)</t>
  </si>
  <si>
    <t>Rank</t>
  </si>
  <si>
    <t>Category Sales PSF Summary</t>
  </si>
  <si>
    <t>Select Category:</t>
  </si>
  <si>
    <t># Properties with this Category:</t>
  </si>
  <si>
    <t>Tenants in Cat</t>
  </si>
  <si>
    <t>Total Cat SF</t>
  </si>
  <si>
    <t>Total Cat Sales</t>
  </si>
  <si>
    <t>Wtd Sales PSF</t>
  </si>
  <si>
    <t>Tenant</t>
  </si>
  <si>
    <t>Tenant Type</t>
  </si>
  <si>
    <t>SQFT</t>
  </si>
  <si>
    <t>YoY %</t>
  </si>
  <si>
    <t>Gross Rent PSF</t>
  </si>
  <si>
    <t>_LookupKey</t>
  </si>
  <si>
    <t>Aerie</t>
  </si>
  <si>
    <t>Clackamas Town Center|Aerie</t>
  </si>
  <si>
    <t>Aeropostale</t>
  </si>
  <si>
    <t>Clackamas Town Center|Aeropostale</t>
  </si>
  <si>
    <t>Aldo</t>
  </si>
  <si>
    <t>American Eagle Outfitters</t>
  </si>
  <si>
    <t>Clackamas Town Center|American Eagle Outfitters</t>
  </si>
  <si>
    <t>AT&amp;T</t>
  </si>
  <si>
    <t>Clackamas Town Center|AT&amp;T</t>
  </si>
  <si>
    <t>Auntie Annes</t>
  </si>
  <si>
    <t>Clackamas Town Center|Auntie Annes</t>
  </si>
  <si>
    <t>Banter By Piercing Pagoda</t>
  </si>
  <si>
    <t>Clackamas Town Center|Banter By Piercing Pagoda</t>
  </si>
  <si>
    <t>Barnes &amp; Noble</t>
  </si>
  <si>
    <t>Clackamas Town Center|Barnes &amp; Noble</t>
  </si>
  <si>
    <t>Bath &amp; Body Works</t>
  </si>
  <si>
    <t>Clackamas Town Center|Bath &amp; Body Works</t>
  </si>
  <si>
    <t>Belle Brows &amp; Beauty</t>
  </si>
  <si>
    <t>Clackamas Town Center|Belle Brows &amp; Beauty</t>
  </si>
  <si>
    <t>BOBA TEA CREW</t>
  </si>
  <si>
    <t>Clackamas Town Center|BOBA TEA CREW</t>
  </si>
  <si>
    <t>Bonchon</t>
  </si>
  <si>
    <t>Clackamas Town Center|Bonchon</t>
  </si>
  <si>
    <t>Box Lunch</t>
  </si>
  <si>
    <t>Clackamas Town Center|Box Lunch</t>
  </si>
  <si>
    <t>BRAGANZA PEARL TEA</t>
  </si>
  <si>
    <t>Clackamas Town Center|BRAGANZA PEARL TEA</t>
  </si>
  <si>
    <t>Buckle</t>
  </si>
  <si>
    <t>Clackamas Town Center|Buckle</t>
  </si>
  <si>
    <t>Build-A-Bear Workshop</t>
  </si>
  <si>
    <t>Clackamas Town Center|Build-A-Bear Workshop</t>
  </si>
  <si>
    <t>CANDY TYME</t>
  </si>
  <si>
    <t>Clackamas Town Center|CANDY TYME</t>
  </si>
  <si>
    <t>Carters</t>
  </si>
  <si>
    <t>Century Theatres</t>
  </si>
  <si>
    <t>Clackamas Town Center|Century Theatres</t>
  </si>
  <si>
    <t>Champs Sports</t>
  </si>
  <si>
    <t>Clackamas Town Center|Champs Sports</t>
  </si>
  <si>
    <t>Charley's Philly Steaks</t>
  </si>
  <si>
    <t>Clackamas Town Center|Charley's Philly Steaks</t>
  </si>
  <si>
    <t>Chipotle Mexican Grill</t>
  </si>
  <si>
    <t>Clackamas Town Center|Chipotle Mexican Grill</t>
  </si>
  <si>
    <t>Cinnabon</t>
  </si>
  <si>
    <t>Clackamas Town Center|Cinnabon</t>
  </si>
  <si>
    <t>Claire's</t>
  </si>
  <si>
    <t>Clackamas Town Center|Claire's</t>
  </si>
  <si>
    <t>Claw City</t>
  </si>
  <si>
    <t>Clackamas Town Center|Claw City</t>
  </si>
  <si>
    <t>Coach</t>
  </si>
  <si>
    <t>Clackamas Town Center|Coach</t>
  </si>
  <si>
    <t>CRAZY FRUITS</t>
  </si>
  <si>
    <t>Clackamas Town Center|CRAZY FRUITS</t>
  </si>
  <si>
    <t>Cricket Wireless</t>
  </si>
  <si>
    <t>Clackamas Town Center|Cricket Wireless</t>
  </si>
  <si>
    <t>CROFFLE CREW CAFÉ</t>
  </si>
  <si>
    <t>Clackamas Town Center|CROFFLE CREW CAFÉ</t>
  </si>
  <si>
    <t>Dave &amp; Busters</t>
  </si>
  <si>
    <t>Clackamas Town Center|Dave &amp; Busters</t>
  </si>
  <si>
    <t>DOSHA SALON SPA</t>
  </si>
  <si>
    <t>Clackamas Town Center|DOSHA SALON SPA</t>
  </si>
  <si>
    <t>DOUGH ZONE</t>
  </si>
  <si>
    <t>Clackamas Town Center|DOUGH ZONE</t>
  </si>
  <si>
    <t>DUCK STORE, THE</t>
  </si>
  <si>
    <t>Clackamas Town Center|DUCK STORE, THE</t>
  </si>
  <si>
    <t>Eddie Bauer</t>
  </si>
  <si>
    <t>EUPHORIA BODY PIERCING &amp; TATTOO</t>
  </si>
  <si>
    <t>Clackamas Town Center|EUPHORIA BODY PIERCING &amp; TATTOO</t>
  </si>
  <si>
    <t>Express</t>
  </si>
  <si>
    <t>Clackamas Town Center|Express</t>
  </si>
  <si>
    <t>Famous Footwear</t>
  </si>
  <si>
    <t>Clackamas Town Center|Famous Footwear</t>
  </si>
  <si>
    <t>Foot Locker</t>
  </si>
  <si>
    <t>Clackamas Town Center|Foot Locker</t>
  </si>
  <si>
    <t>Foxy Nails</t>
  </si>
  <si>
    <t>Clackamas Town Center|Foxy Nails</t>
  </si>
  <si>
    <t>FUEGO</t>
  </si>
  <si>
    <t>Funtastic Playtorium</t>
  </si>
  <si>
    <t>Clackamas Town Center|Funtastic Playtorium</t>
  </si>
  <si>
    <t>FYE Music &amp; Movies</t>
  </si>
  <si>
    <t>GameStop</t>
  </si>
  <si>
    <t>Clackamas Town Center|GameStop</t>
  </si>
  <si>
    <t>GNC</t>
  </si>
  <si>
    <t>Clackamas Town Center|GNC</t>
  </si>
  <si>
    <t>H&amp;M</t>
  </si>
  <si>
    <t>Clackamas Town Center|H&amp;M</t>
  </si>
  <si>
    <t>Hallmark</t>
  </si>
  <si>
    <t>Clackamas Town Center|Hallmark</t>
  </si>
  <si>
    <t>HEARTH</t>
  </si>
  <si>
    <t>Clackamas Town Center|HEARTH</t>
  </si>
  <si>
    <t>HIGHLANDER</t>
  </si>
  <si>
    <t>Clackamas Town Center|HIGHLANDER</t>
  </si>
  <si>
    <t>Clackamas Town Center|Hollister</t>
  </si>
  <si>
    <t>Hot Topic</t>
  </si>
  <si>
    <t>Clackamas Town Center|Hot Topic</t>
  </si>
  <si>
    <t>Icing By Claires</t>
  </si>
  <si>
    <t>Clackamas Town Center|Icing By Claires</t>
  </si>
  <si>
    <t>J. Jill</t>
  </si>
  <si>
    <t>Clackamas Town Center|J. Jill</t>
  </si>
  <si>
    <t>J.Crew</t>
  </si>
  <si>
    <t>Jamba Juice</t>
  </si>
  <si>
    <t>Clackamas Town Center|Jamba Juice</t>
  </si>
  <si>
    <t>JOE KASSAB JEWELERS</t>
  </si>
  <si>
    <t>Clackamas Town Center|JOE KASSAB JEWELERS</t>
  </si>
  <si>
    <t>Journeys</t>
  </si>
  <si>
    <t>Clackamas Town Center|Journeys</t>
  </si>
  <si>
    <t>JUST SPORTS</t>
  </si>
  <si>
    <t>Clackamas Town Center|JUST SPORTS</t>
  </si>
  <si>
    <t>Kay Jewelers</t>
  </si>
  <si>
    <t>Clackamas Town Center|Kay Jewelers</t>
  </si>
  <si>
    <t>Kellys Cajun Grill</t>
  </si>
  <si>
    <t>Clackamas Town Center|Kellys Cajun Grill</t>
  </si>
  <si>
    <t>Lenscrafters</t>
  </si>
  <si>
    <t>Clackamas Town Center|Lenscrafters</t>
  </si>
  <si>
    <t>Lids</t>
  </si>
  <si>
    <t>Clackamas Town Center|Lids</t>
  </si>
  <si>
    <t>Loft</t>
  </si>
  <si>
    <t>Clackamas Town Center|Loft</t>
  </si>
  <si>
    <t>Lolli And Pops</t>
  </si>
  <si>
    <t>Clackamas Town Center|Lolli And Pops</t>
  </si>
  <si>
    <t>Lovisa</t>
  </si>
  <si>
    <t>Clackamas Town Center|Lovisa</t>
  </si>
  <si>
    <t>Lululemon</t>
  </si>
  <si>
    <t>Clackamas Town Center|Lululemon</t>
  </si>
  <si>
    <t>Lush Fresh Handmade Cosmetics</t>
  </si>
  <si>
    <t>Clackamas Town Center|Lush Fresh Handmade Cosmetics</t>
  </si>
  <si>
    <t>M.A.C Cosmetics</t>
  </si>
  <si>
    <t>Clackamas Town Center|M.A.C Cosmetics</t>
  </si>
  <si>
    <t>MADE IN OREGON</t>
  </si>
  <si>
    <t>Clackamas Town Center|MADE IN OREGON</t>
  </si>
  <si>
    <t>Mattress World Northwest</t>
  </si>
  <si>
    <t>Clackamas Town Center|Mattress World Northwest</t>
  </si>
  <si>
    <t>Maurices</t>
  </si>
  <si>
    <t>Clackamas Town Center|Maurices</t>
  </si>
  <si>
    <t>MEZCALUNA</t>
  </si>
  <si>
    <t>Clackamas Town Center|MEZCALUNA</t>
  </si>
  <si>
    <t>MINDTRIX</t>
  </si>
  <si>
    <t>Clackamas Town Center|MINDTRIX</t>
  </si>
  <si>
    <t>Miniso</t>
  </si>
  <si>
    <t>Clackamas Town Center|Miniso</t>
  </si>
  <si>
    <t>MIRAKUTEI SUSHI &amp; RAMEN</t>
  </si>
  <si>
    <t>Clackamas Town Center|MIRAKUTEI SUSHI &amp; RAMEN</t>
  </si>
  <si>
    <t>Morgan Jewelers</t>
  </si>
  <si>
    <t>Clackamas Town Center|Morgan Jewelers</t>
  </si>
  <si>
    <t>Noodles &amp; Company</t>
  </si>
  <si>
    <t>Clackamas Town Center|Noodles &amp; Company</t>
  </si>
  <si>
    <t>Nori Japan</t>
  </si>
  <si>
    <t>Clackamas Town Center|Nori Japan</t>
  </si>
  <si>
    <t>O CHI REFLEXOLOGY</t>
  </si>
  <si>
    <t>Clackamas Town Center|O CHI REFLEXOLOGY</t>
  </si>
  <si>
    <t>OIL &amp; VINEGAR</t>
  </si>
  <si>
    <t>Clackamas Town Center|OIL &amp; VINEGAR</t>
  </si>
  <si>
    <t>OSWEGO GRILL</t>
  </si>
  <si>
    <t>Clackamas Town Center|OSWEGO GRILL</t>
  </si>
  <si>
    <t>Pacific Sunwear</t>
  </si>
  <si>
    <t>Clackamas Town Center|Pacific Sunwear</t>
  </si>
  <si>
    <t>Panda Express</t>
  </si>
  <si>
    <t>Clackamas Town Center|Panda Express</t>
  </si>
  <si>
    <t>Pandora</t>
  </si>
  <si>
    <t>Clackamas Town Center|Pandora</t>
  </si>
  <si>
    <t>Panera Bread</t>
  </si>
  <si>
    <t>Clackamas Town Center|Panera Bread</t>
  </si>
  <si>
    <t>PHAGANS</t>
  </si>
  <si>
    <t>Clackamas Town Center|PHAGANS</t>
  </si>
  <si>
    <t>POKE ZONE</t>
  </si>
  <si>
    <t>Clackamas Town Center|POKE ZONE</t>
  </si>
  <si>
    <t>Pop Mart</t>
  </si>
  <si>
    <t>Clackamas Town Center|Pop Mart</t>
  </si>
  <si>
    <t>Popeyes Louisiana Kitchen</t>
  </si>
  <si>
    <t>Clackamas Town Center|Popeyes Louisiana Kitchen</t>
  </si>
  <si>
    <t>PRIM NAILS SPA</t>
  </si>
  <si>
    <t>Clackamas Town Center|PRIM NAILS SPA</t>
  </si>
  <si>
    <t>Pro Image Sports</t>
  </si>
  <si>
    <t>Clackamas Town Center|Pro Image Sports</t>
  </si>
  <si>
    <t>REI</t>
  </si>
  <si>
    <t>Clackamas Town Center|REI</t>
  </si>
  <si>
    <t>Sbarro The Italian Eatery</t>
  </si>
  <si>
    <t>Clackamas Town Center|Sbarro The Italian Eatery</t>
  </si>
  <si>
    <t>Sees Candies</t>
  </si>
  <si>
    <t>Clackamas Town Center|Sees Candies</t>
  </si>
  <si>
    <t>Sephora</t>
  </si>
  <si>
    <t>Clackamas Town Center|Sephora</t>
  </si>
  <si>
    <t>SHARETEA</t>
  </si>
  <si>
    <t>Clackamas Town Center|SHARETEA</t>
  </si>
  <si>
    <t>SHOE MILL</t>
  </si>
  <si>
    <t>Clackamas Town Center|SHOE MILL</t>
  </si>
  <si>
    <t>SIZZLING INDIAN KITCHEN</t>
  </si>
  <si>
    <t>Clackamas Town Center|SIZZLING INDIAN KITCHEN</t>
  </si>
  <si>
    <t>Sleep Number</t>
  </si>
  <si>
    <t>Clackamas Town Center|Sleep Number</t>
  </si>
  <si>
    <t>Soma Intimates</t>
  </si>
  <si>
    <t>Clackamas Town Center|Soma Intimates</t>
  </si>
  <si>
    <t>Spencer Gifts</t>
  </si>
  <si>
    <t>Clackamas Town Center|Spencer Gifts</t>
  </si>
  <si>
    <t>Sunglass Hut</t>
  </si>
  <si>
    <t>Clackamas Town Center|Sunglass Hut</t>
  </si>
  <si>
    <t>Sushi Burrito</t>
  </si>
  <si>
    <t>Clackamas Town Center|Sushi Burrito</t>
  </si>
  <si>
    <t>SWEET MOCHI</t>
  </si>
  <si>
    <t>Clackamas Town Center|SWEET MOCHI</t>
  </si>
  <si>
    <t>TACO TIME</t>
  </si>
  <si>
    <t>Clackamas Town Center|TACO TIME</t>
  </si>
  <si>
    <t>The Cheesecake Factory</t>
  </si>
  <si>
    <t>Clackamas Town Center|The Cheesecake Factory</t>
  </si>
  <si>
    <t>Tillys</t>
  </si>
  <si>
    <t>Clackamas Town Center|Tillys</t>
  </si>
  <si>
    <t>T-Mobile</t>
  </si>
  <si>
    <t>Clackamas Town Center|T-Mobile</t>
  </si>
  <si>
    <t>Torrid</t>
  </si>
  <si>
    <t>Clackamas Town Center|Torrid</t>
  </si>
  <si>
    <t>TOUS LES JOURS</t>
  </si>
  <si>
    <t>Clackamas Town Center|TOUS LES JOURS</t>
  </si>
  <si>
    <t>TREND SHOES</t>
  </si>
  <si>
    <t>Ulta Beauty</t>
  </si>
  <si>
    <t>Clackamas Town Center|Ulta Beauty</t>
  </si>
  <si>
    <t>UNIQUE IMPORTS</t>
  </si>
  <si>
    <t>Clackamas Town Center|UNIQUE IMPORTS</t>
  </si>
  <si>
    <t>Urban Planet</t>
  </si>
  <si>
    <t>Clackamas Town Center|Urban Planet</t>
  </si>
  <si>
    <t>US Bank</t>
  </si>
  <si>
    <t>Clackamas Town Center|US Bank</t>
  </si>
  <si>
    <t>Vans</t>
  </si>
  <si>
    <t>Clackamas Town Center|Vans</t>
  </si>
  <si>
    <t>Verizon Wireless</t>
  </si>
  <si>
    <t>Clackamas Town Center|Verizon Wireless</t>
  </si>
  <si>
    <t>Victorias Secret</t>
  </si>
  <si>
    <t>Clackamas Town Center|Victorias Secret</t>
  </si>
  <si>
    <t>Visionworks</t>
  </si>
  <si>
    <t>Clackamas Town Center|Visionworks</t>
  </si>
  <si>
    <t>Windsor</t>
  </si>
  <si>
    <t>Clackamas Town Center|Windsor</t>
  </si>
  <si>
    <t>XFINITY</t>
  </si>
  <si>
    <t>Clackamas Town Center|XFINITY</t>
  </si>
  <si>
    <t>Zales Jewelers</t>
  </si>
  <si>
    <t>Clackamas Town Center|Zales Jewelers</t>
  </si>
  <si>
    <t>Zumiez</t>
  </si>
  <si>
    <t>Clackamas Town Center|Zumiez</t>
  </si>
  <si>
    <t>7-Eleven</t>
  </si>
  <si>
    <t>Annapolis Mall|7-Eleven</t>
  </si>
  <si>
    <t>Annapolis Mall|Aldo</t>
  </si>
  <si>
    <t>AMC Theatres</t>
  </si>
  <si>
    <t>Annapolis Mall|AMC Theatres</t>
  </si>
  <si>
    <t>Annapolis Mall|American Eagle Outfitters</t>
  </si>
  <si>
    <t>Ann Taylor</t>
  </si>
  <si>
    <t>Annapolis Mall|Ann Taylor</t>
  </si>
  <si>
    <t>Ann Taylor Loft</t>
  </si>
  <si>
    <t>Annapolis Mall|Ann Taylor Loft</t>
  </si>
  <si>
    <t>Annapolis Mall|Apple</t>
  </si>
  <si>
    <t>Ardene</t>
  </si>
  <si>
    <t>Annapolis Mall|Ardene</t>
  </si>
  <si>
    <t>Annapolis Mall|AT&amp;T</t>
  </si>
  <si>
    <t>Annapolis Mall|Auntie Annes</t>
  </si>
  <si>
    <t>Bank of America</t>
  </si>
  <si>
    <t>Annapolis Mall|Bank of America</t>
  </si>
  <si>
    <t>Annapolis Mall|Banter By Piercing Pagoda</t>
  </si>
  <si>
    <t>Annapolis Mall|Bath &amp; Body Works</t>
  </si>
  <si>
    <t>Annapolis Mall|Box Lunch</t>
  </si>
  <si>
    <t>Brighton Collectibles</t>
  </si>
  <si>
    <t>Annapolis Mall|Brighton Collectibles</t>
  </si>
  <si>
    <t>Brow Art 23</t>
  </si>
  <si>
    <t>Annapolis Mall|Brow Art 23</t>
  </si>
  <si>
    <t>Annapolis Mall|Buckle</t>
  </si>
  <si>
    <t>Annapolis Mall|Build-A-Bear Workshop</t>
  </si>
  <si>
    <t>California Pizza Kitchen</t>
  </si>
  <si>
    <t>Annapolis Mall|California Pizza Kitchen</t>
  </si>
  <si>
    <t>Cellairis</t>
  </si>
  <si>
    <t>Annapolis Mall|Cellairis</t>
  </si>
  <si>
    <t>Annapolis Mall|Champs Sports</t>
  </si>
  <si>
    <t>Annapolis Mall|Charley's Philly Steaks</t>
  </si>
  <si>
    <t>Chick-Fil-A</t>
  </si>
  <si>
    <t>Annapolis Mall|Chick-Fil-A</t>
  </si>
  <si>
    <t>Annapolis Mall|Chipotle Mexican Grill</t>
  </si>
  <si>
    <t>Annapolis Mall|Cinnabon</t>
  </si>
  <si>
    <t>Annapolis Mall|Claire's</t>
  </si>
  <si>
    <t>Clarks</t>
  </si>
  <si>
    <t>Annapolis Mall|Clarks</t>
  </si>
  <si>
    <t>Crate &amp; Barrel</t>
  </si>
  <si>
    <t>Annapolis Mall|Crate &amp; Barrel</t>
  </si>
  <si>
    <t>Custom Ink</t>
  </si>
  <si>
    <t>Annapolis Mall|Custom Ink</t>
  </si>
  <si>
    <t>Downtown Locker Room</t>
  </si>
  <si>
    <t>Annapolis Mall|Downtown Locker Room</t>
  </si>
  <si>
    <t>Earthbound Trading Company</t>
  </si>
  <si>
    <t>Annapolis Mall|Earthbound Trading Company</t>
  </si>
  <si>
    <t>Annapolis Mall|Eddie Bauer</t>
  </si>
  <si>
    <t>Annapolis Mall|Express</t>
  </si>
  <si>
    <t>Five Guys</t>
  </si>
  <si>
    <t>Annapolis Mall|Five Guys</t>
  </si>
  <si>
    <t>Floyds 99 Barbershop</t>
  </si>
  <si>
    <t>Annapolis Mall|Floyds 99 Barbershop</t>
  </si>
  <si>
    <t>Annapolis Mall|Foot Locker</t>
  </si>
  <si>
    <t>Forever 21</t>
  </si>
  <si>
    <t>Annapolis Mall|Forever 21</t>
  </si>
  <si>
    <t>Francesca's</t>
  </si>
  <si>
    <t>Annapolis Mall|Francesca's</t>
  </si>
  <si>
    <t>Free People</t>
  </si>
  <si>
    <t>Annapolis Mall|Free People</t>
  </si>
  <si>
    <t>Annapolis Mall|GameStop</t>
  </si>
  <si>
    <t>Garage</t>
  </si>
  <si>
    <t>Annapolis Mall|Garage</t>
  </si>
  <si>
    <t>Annapolis Mall|H&amp;M</t>
  </si>
  <si>
    <t>Haagen-Dazs</t>
  </si>
  <si>
    <t>Annapolis Mall|Haagen-Dazs</t>
  </si>
  <si>
    <t>Annapolis Mall|Hallmark</t>
  </si>
  <si>
    <t>Helzberg Diamonds</t>
  </si>
  <si>
    <t>Annapolis Mall|Helzberg Diamonds</t>
  </si>
  <si>
    <t>Hermetise</t>
  </si>
  <si>
    <t>Annapolis Mall|Hermetise</t>
  </si>
  <si>
    <t>Annapolis Mall|Hollister</t>
  </si>
  <si>
    <t>Annapolis Mall|Hot Topic</t>
  </si>
  <si>
    <t>J.C. Penney</t>
  </si>
  <si>
    <t>Annapolis Mall|J.C. Penney</t>
  </si>
  <si>
    <t>Janie &amp; Jack</t>
  </si>
  <si>
    <t>Annapolis Mall|Janie &amp; Jack</t>
  </si>
  <si>
    <t>Jared The Galleria of Jewelry</t>
  </si>
  <si>
    <t>Annapolis Mall|Jared The Galleria of Jewelry</t>
  </si>
  <si>
    <t>JD Sports</t>
  </si>
  <si>
    <t>Annapolis Mall|JD Sports</t>
  </si>
  <si>
    <t>Johnston &amp; Murphy</t>
  </si>
  <si>
    <t>Annapolis Mall|Johnston &amp; Murphy</t>
  </si>
  <si>
    <t>Annapolis Mall|Journeys</t>
  </si>
  <si>
    <t>Journeys Kidz</t>
  </si>
  <si>
    <t>Annapolis Mall|Journeys Kidz</t>
  </si>
  <si>
    <t>Annapolis Mall|Kay Jewelers</t>
  </si>
  <si>
    <t>Kids Foot Locker</t>
  </si>
  <si>
    <t>Annapolis Mall|Kids Foot Locker</t>
  </si>
  <si>
    <t>LEGO</t>
  </si>
  <si>
    <t>Annapolis Mall|LEGO</t>
  </si>
  <si>
    <t>Annapolis Mall|Lenscrafters</t>
  </si>
  <si>
    <t>Annapolis Mall|Lids</t>
  </si>
  <si>
    <t>Annapolis Mall|Lolli And Pops</t>
  </si>
  <si>
    <t>LoveSac</t>
  </si>
  <si>
    <t>Annapolis Mall|LoveSac</t>
  </si>
  <si>
    <t>Annapolis Mall|Lovisa</t>
  </si>
  <si>
    <t>Lucky Brand Jeans</t>
  </si>
  <si>
    <t>Annapolis Mall|Lucky Brand Jeans</t>
  </si>
  <si>
    <t>Annapolis Mall|Lululemon</t>
  </si>
  <si>
    <t>Annapolis Mall|Lush Fresh Handmade Cosmetics</t>
  </si>
  <si>
    <t>Annapolis Mall|M.A.C Cosmetics</t>
  </si>
  <si>
    <t>Macys</t>
  </si>
  <si>
    <t>Annapolis Mall|Macys</t>
  </si>
  <si>
    <t>Maggianos Little Italy</t>
  </si>
  <si>
    <t>Annapolis Mall|Maggianos Little Italy</t>
  </si>
  <si>
    <t>Mattress Warehouse</t>
  </si>
  <si>
    <t>Annapolis Mall|Mattress Warehouse</t>
  </si>
  <si>
    <t>Michael Kors</t>
  </si>
  <si>
    <t>Annapolis Mall|Michael Kors</t>
  </si>
  <si>
    <t>Millers Ale House</t>
  </si>
  <si>
    <t>Annapolis Mall|Millers Ale House</t>
  </si>
  <si>
    <t>Annapolis Mall|Noodles &amp; Company</t>
  </si>
  <si>
    <t>Annapolis Mall|Pacific Sunwear</t>
  </si>
  <si>
    <t>Annapolis Mall|Pandora</t>
  </si>
  <si>
    <t>Papaya Clothing Company</t>
  </si>
  <si>
    <t>Annapolis Mall|Papaya Clothing Company</t>
  </si>
  <si>
    <t>Annapolis Mall|Popeyes Louisiana Kitchen</t>
  </si>
  <si>
    <t>Potbelly Sandwich Works</t>
  </si>
  <si>
    <t>Annapolis Mall|Potbelly Sandwich Works</t>
  </si>
  <si>
    <t>Rack Room Shoes</t>
  </si>
  <si>
    <t>Annapolis Mall|Rack Room Shoes</t>
  </si>
  <si>
    <t>Retro Fitness</t>
  </si>
  <si>
    <t>Annapolis Mall|Retro Fitness</t>
  </si>
  <si>
    <t>Rodizio Grill</t>
  </si>
  <si>
    <t>Annapolis Mall|Rodizio Grill</t>
  </si>
  <si>
    <t>Annapolis Mall|Sbarro The Italian Eatery</t>
  </si>
  <si>
    <t>Sears</t>
  </si>
  <si>
    <t>Annapolis Mall|Sears</t>
  </si>
  <si>
    <t>Annapolis Mall|Sephora</t>
  </si>
  <si>
    <t>Skechers</t>
  </si>
  <si>
    <t>Annapolis Mall|Skechers</t>
  </si>
  <si>
    <t>Annapolis Mall|Sleep Number</t>
  </si>
  <si>
    <t>Soft Surroundings</t>
  </si>
  <si>
    <t>Annapolis Mall|Soft Surroundings</t>
  </si>
  <si>
    <t>Sola Salon Studios</t>
  </si>
  <si>
    <t>Annapolis Mall|Sola Salon Studios</t>
  </si>
  <si>
    <t>Annapolis Mall|Spencer Gifts</t>
  </si>
  <si>
    <t>Starbucks Coffee</t>
  </si>
  <si>
    <t>Annapolis Mall|Starbucks Coffee</t>
  </si>
  <si>
    <t>Stoney River Legendary Steaks</t>
  </si>
  <si>
    <t>Annapolis Mall|Stoney River Legendary Steaks</t>
  </si>
  <si>
    <t>Annapolis Mall|Sunglass Hut</t>
  </si>
  <si>
    <t>Supreme</t>
  </si>
  <si>
    <t>Annapolis Mall|Supreme</t>
  </si>
  <si>
    <t>Talbots</t>
  </si>
  <si>
    <t>Annapolis Mall|Talbots</t>
  </si>
  <si>
    <t>The Body Shop</t>
  </si>
  <si>
    <t>Annapolis Mall|The Body Shop</t>
  </si>
  <si>
    <t>Annapolis Mall|The Cheesecake Factory</t>
  </si>
  <si>
    <t>The Childrens Place</t>
  </si>
  <si>
    <t>Annapolis Mall|The Childrens Place</t>
  </si>
  <si>
    <t>The Container Store</t>
  </si>
  <si>
    <t>Annapolis Mall|The Container Store</t>
  </si>
  <si>
    <t>The North Face</t>
  </si>
  <si>
    <t>Annapolis Mall|The North Face</t>
  </si>
  <si>
    <t>The Original Pancake House</t>
  </si>
  <si>
    <t>Annapolis Mall|The Original Pancake House</t>
  </si>
  <si>
    <t>Annapolis Mall|Tillys</t>
  </si>
  <si>
    <t>Annapolis Mall|T-Mobile</t>
  </si>
  <si>
    <t>Annapolis Mall|Torrid</t>
  </si>
  <si>
    <t>Tumi</t>
  </si>
  <si>
    <t>Annapolis Mall|Tumi</t>
  </si>
  <si>
    <t>Under Armour</t>
  </si>
  <si>
    <t>Annapolis Mall|Under Armour</t>
  </si>
  <si>
    <t>Urban Outfitters</t>
  </si>
  <si>
    <t>Annapolis Mall|Urban Outfitters</t>
  </si>
  <si>
    <t>Annapolis Mall|Vans</t>
  </si>
  <si>
    <t>Vera Bradley</t>
  </si>
  <si>
    <t>Annapolis Mall|Vera Bradley</t>
  </si>
  <si>
    <t>Annapolis Mall|Victorias Secret</t>
  </si>
  <si>
    <t>White House | Black Market</t>
  </si>
  <si>
    <t>Annapolis Mall|White House | Black Market</t>
  </si>
  <si>
    <t>Annapolis Mall|Windsor</t>
  </si>
  <si>
    <t>Yankee Candle</t>
  </si>
  <si>
    <t>Annapolis Mall|Yankee Candle</t>
  </si>
  <si>
    <t>Zagg</t>
  </si>
  <si>
    <t>Annapolis Mall|Zagg</t>
  </si>
  <si>
    <t>Annapolis Mall|Zales Jewelers</t>
  </si>
  <si>
    <t>Zara</t>
  </si>
  <si>
    <t>Annapolis Mall|Zara</t>
  </si>
  <si>
    <t>Annapolis Mall|Zumiez</t>
  </si>
  <si>
    <t>Anthropologie</t>
  </si>
  <si>
    <t>Annapolis Town Center|Anthropologie</t>
  </si>
  <si>
    <t>Baltimore Coffee &amp; Tea</t>
  </si>
  <si>
    <t>Annapolis Town Center|Baltimore Coffee &amp; Tea</t>
  </si>
  <si>
    <t>Bassett Furniture</t>
  </si>
  <si>
    <t>Annapolis Town Center|Bassett Furniture</t>
  </si>
  <si>
    <t>Bin 201 Wine Sellers</t>
  </si>
  <si>
    <t>Annapolis Town Center|Bin 201 Wine Sellers</t>
  </si>
  <si>
    <t>Coopers Hawk Winery &amp; Restaurant</t>
  </si>
  <si>
    <t>Annapolis Town Center|Coopers Hawk Winery &amp; Restaurant</t>
  </si>
  <si>
    <t>Ethan Allen</t>
  </si>
  <si>
    <t>Annapolis Town Center|Ethan Allen</t>
  </si>
  <si>
    <t>J. Alexander's</t>
  </si>
  <si>
    <t>Annapolis Town Center|J. Alexander's</t>
  </si>
  <si>
    <t>Annapolis Town Center|J. Jill</t>
  </si>
  <si>
    <t>Kendra Scott</t>
  </si>
  <si>
    <t>Annapolis Town Center|Kendra Scott</t>
  </si>
  <si>
    <t>LifeTime Fitness</t>
  </si>
  <si>
    <t>Annapolis Town Center|LifeTime Fitness</t>
  </si>
  <si>
    <t>Neo's Craft Pizza</t>
  </si>
  <si>
    <t>Annapolis Town Center|Neo's Craft Pizza</t>
  </si>
  <si>
    <t>P.F. Changs</t>
  </si>
  <si>
    <t>Annapolis Town Center|P.F. Changs</t>
  </si>
  <si>
    <t>Paper Source</t>
  </si>
  <si>
    <t>Annapolis Town Center|Paper Source</t>
  </si>
  <si>
    <t>Pottery Barn</t>
  </si>
  <si>
    <t>Annapolis Town Center|Pottery Barn</t>
  </si>
  <si>
    <t>Restoration Hardware</t>
  </si>
  <si>
    <t>Annapolis Town Center|Restoration Hardware</t>
  </si>
  <si>
    <t>Rowan</t>
  </si>
  <si>
    <t>Annapolis Town Center|Rowan</t>
  </si>
  <si>
    <t>Salon Unlimited</t>
  </si>
  <si>
    <t>Annapolis Town Center|Salon Unlimited</t>
  </si>
  <si>
    <t>Annapolis Town Center|Sephora</t>
  </si>
  <si>
    <t>SkinSpirit</t>
  </si>
  <si>
    <t>Annapolis Town Center|SkinSpirit</t>
  </si>
  <si>
    <t>Smyth Jewelers</t>
  </si>
  <si>
    <t>Annapolis Town Center|Smyth Jewelers</t>
  </si>
  <si>
    <t>South Moon Under</t>
  </si>
  <si>
    <t>Annapolis Town Center|South Moon Under</t>
  </si>
  <si>
    <t>Summer Classics</t>
  </si>
  <si>
    <t>Annapolis Town Center|Summer Classics</t>
  </si>
  <si>
    <t>Tatte Bakery</t>
  </si>
  <si>
    <t>Annapolis Town Center|Tatte Bakery</t>
  </si>
  <si>
    <t>Tempur-Pedic</t>
  </si>
  <si>
    <t>Annapolis Town Center|Tempur-Pedic</t>
  </si>
  <si>
    <t>The Shade Store</t>
  </si>
  <si>
    <t>Annapolis Town Center|The Shade Store</t>
  </si>
  <si>
    <t>Toastique</t>
  </si>
  <si>
    <t>Annapolis Town Center|Toastique</t>
  </si>
  <si>
    <t>True Food Kitchen</t>
  </si>
  <si>
    <t>Annapolis Town Center|True Food Kitchen</t>
  </si>
  <si>
    <t>Tuscan Prime</t>
  </si>
  <si>
    <t>Annapolis Town Center|Tuscan Prime</t>
  </si>
  <si>
    <t>Urbano</t>
  </si>
  <si>
    <t>Annapolis Town Center|Urbano</t>
  </si>
  <si>
    <t>Vibe</t>
  </si>
  <si>
    <t>Annapolis Town Center|Vibe</t>
  </si>
  <si>
    <t>Warby Parker</t>
  </si>
  <si>
    <t>Annapolis Town Center|Warby Parker</t>
  </si>
  <si>
    <t>Whole Foods</t>
  </si>
  <si>
    <t>Annapolis Town Center|Whole Foods</t>
  </si>
  <si>
    <t>Williams Sonoma</t>
  </si>
  <si>
    <t>Annapolis Town Center|Williams Sonoma</t>
  </si>
  <si>
    <t>Ziki Japanese Steak House</t>
  </si>
  <si>
    <t>Annapolis Town Center|Ziki Japanese Steak House</t>
  </si>
  <si>
    <t>85C Bakery Café</t>
  </si>
  <si>
    <t>Arden Fair Mall|85C Bakery Café</t>
  </si>
  <si>
    <t>Abercrombie &amp; Fitch</t>
  </si>
  <si>
    <t>Arden Fair Mall|Abercrombie &amp; Fitch</t>
  </si>
  <si>
    <t>Abercrombie Kids</t>
  </si>
  <si>
    <t>Arden Fair Mall|Abercrombie Kids</t>
  </si>
  <si>
    <t>Arden Fair Mall|Aerie</t>
  </si>
  <si>
    <t>Arden Fair Mall|Aeropostale</t>
  </si>
  <si>
    <t>Arden Fair Mall|Aldo</t>
  </si>
  <si>
    <t>Arden Fair Mall|American Eagle Outfitters</t>
  </si>
  <si>
    <t>Arden Fair Mall|Ann Taylor</t>
  </si>
  <si>
    <t>Arden Fair Mall|Apple</t>
  </si>
  <si>
    <t>Arden Fair Mall|Auntie Annes</t>
  </si>
  <si>
    <t>Banana Republic</t>
  </si>
  <si>
    <t>Arden Fair Mall|Banana Republic</t>
  </si>
  <si>
    <t>Arden Fair Mall|Banter By Piercing Pagoda</t>
  </si>
  <si>
    <t>Arden Fair Mall|Bath &amp; Body Works</t>
  </si>
  <si>
    <t>BJ's Restaurant Brewhouse</t>
  </si>
  <si>
    <t>Arden Fair Mall|BJ's Restaurant Brewhouse</t>
  </si>
  <si>
    <t>Arden Fair Mall|Box Lunch</t>
  </si>
  <si>
    <t>Arden Fair Mall|Buckle</t>
  </si>
  <si>
    <t>Arden Fair Mall|Champs Sports</t>
  </si>
  <si>
    <t>Arden Fair Mall|Charley's Philly Steaks</t>
  </si>
  <si>
    <t>Arden Fair Mall|Cinnabon</t>
  </si>
  <si>
    <t>Arden Fair Mall|Claire's</t>
  </si>
  <si>
    <t>Arden Fair Mall|Coach</t>
  </si>
  <si>
    <t>Cold Stone Creamery</t>
  </si>
  <si>
    <t>Arden Fair Mall|Cold Stone Creamery</t>
  </si>
  <si>
    <t>Crocs</t>
  </si>
  <si>
    <t>Arden Fair Mall|Crocs</t>
  </si>
  <si>
    <t>Ecco</t>
  </si>
  <si>
    <t>Arden Fair Mall|Ecco</t>
  </si>
  <si>
    <t>Arden Fair Mall|Express</t>
  </si>
  <si>
    <t>Arden Fair Mall|Foot Locker</t>
  </si>
  <si>
    <t>Arden Fair Mall|Forever 21</t>
  </si>
  <si>
    <t>Arden Fair Mall|Francesca's</t>
  </si>
  <si>
    <t>Arden Fair Mall|GameStop</t>
  </si>
  <si>
    <t>Arden Fair Mall|Garage</t>
  </si>
  <si>
    <t>Gen Korean Bbq</t>
  </si>
  <si>
    <t>Arden Fair Mall|Gen Korean Bbq</t>
  </si>
  <si>
    <t>Arden Fair Mall|Hollister</t>
  </si>
  <si>
    <t>Hot Dog On A Stick</t>
  </si>
  <si>
    <t>Arden Fair Mall|Hot Dog On A Stick</t>
  </si>
  <si>
    <t>Arden Fair Mall|Hot Topic</t>
  </si>
  <si>
    <t>Arden Fair Mall|Icing By Claires</t>
  </si>
  <si>
    <t>Arden Fair Mall|J.C. Penney</t>
  </si>
  <si>
    <t>Arden Fair Mall|Jamba Juice</t>
  </si>
  <si>
    <t>Arden Fair Mall|JD Sports</t>
  </si>
  <si>
    <t>Arden Fair Mall|Journeys</t>
  </si>
  <si>
    <t>Arden Fair Mall|Kay Jewelers</t>
  </si>
  <si>
    <t>Arden Fair Mall|Lenscrafters</t>
  </si>
  <si>
    <t>Arden Fair Mall|Lids</t>
  </si>
  <si>
    <t>Arden Fair Mall|Lolli And Pops</t>
  </si>
  <si>
    <t>Arden Fair Mall|Lucky Brand Jeans</t>
  </si>
  <si>
    <t>Arden Fair Mall|Lululemon</t>
  </si>
  <si>
    <t>Arden Fair Mall|Lush Fresh Handmade Cosmetics</t>
  </si>
  <si>
    <t>Arden Fair Mall|M.A.C Cosmetics</t>
  </si>
  <si>
    <t>Arden Fair Mall|Macys</t>
  </si>
  <si>
    <t>Arden Fair Mall|Michael Kors</t>
  </si>
  <si>
    <t>Arden Fair Mall|Miniso</t>
  </si>
  <si>
    <t>Mrs. Fields Cookies</t>
  </si>
  <si>
    <t>Arden Fair Mall|Mrs. Fields Cookies</t>
  </si>
  <si>
    <t>Oakley</t>
  </si>
  <si>
    <t>Arden Fair Mall|Oakley</t>
  </si>
  <si>
    <t>Arden Fair Mall|Pacific Sunwear</t>
  </si>
  <si>
    <t>Arden Fair Mall|Panda Express</t>
  </si>
  <si>
    <t>Arden Fair Mall|Pandora</t>
  </si>
  <si>
    <t>Pink</t>
  </si>
  <si>
    <t>Arden Fair Mall|Pink</t>
  </si>
  <si>
    <t>Arden Fair Mall|Pro Image Sports</t>
  </si>
  <si>
    <t>Quay Australia</t>
  </si>
  <si>
    <t>Arden Fair Mall|Quay Australia</t>
  </si>
  <si>
    <t>Arden Fair Mall|Sbarro The Italian Eatery</t>
  </si>
  <si>
    <t>Seasons 52</t>
  </si>
  <si>
    <t>Arden Fair Mall|Seasons 52</t>
  </si>
  <si>
    <t>Arden Fair Mall|Sees Candies</t>
  </si>
  <si>
    <t>Arden Fair Mall|Sephora</t>
  </si>
  <si>
    <t>Shiekh</t>
  </si>
  <si>
    <t>Arden Fair Mall|Shiekh</t>
  </si>
  <si>
    <t>Shoe Palace</t>
  </si>
  <si>
    <t>Arden Fair Mall|Shoe Palace</t>
  </si>
  <si>
    <t>Arden Fair Mall|Spencer Gifts</t>
  </si>
  <si>
    <t>Arden Fair Mall|Sunglass Hut</t>
  </si>
  <si>
    <t>Swarovski</t>
  </si>
  <si>
    <t>Arden Fair Mall|Swarovski</t>
  </si>
  <si>
    <t>Taco Bell</t>
  </si>
  <si>
    <t>Arden Fair Mall|Taco Bell</t>
  </si>
  <si>
    <t>Arden Fair Mall|The Childrens Place</t>
  </si>
  <si>
    <t>Arden Fair Mall|Tillys</t>
  </si>
  <si>
    <t>Arden Fair Mall|T-Mobile</t>
  </si>
  <si>
    <t>Arden Fair Mall|Torrid</t>
  </si>
  <si>
    <t>Arden Fair Mall|Vans</t>
  </si>
  <si>
    <t>Arden Fair Mall|Victorias Secret</t>
  </si>
  <si>
    <t>Wetzels Pretzels</t>
  </si>
  <si>
    <t>Arden Fair Mall|Wetzels Pretzels</t>
  </si>
  <si>
    <t>Arden Fair Mall|White House | Black Market</t>
  </si>
  <si>
    <t>Arden Fair Mall|Windsor</t>
  </si>
  <si>
    <t>Arden Fair Mall|Zales Jewelers</t>
  </si>
  <si>
    <t>Arden Fair Mall|Zumiez</t>
  </si>
  <si>
    <t>Andrus Wagstaff PC</t>
  </si>
  <si>
    <t>Belmar|Andrus Wagstaff PC</t>
  </si>
  <si>
    <t>Apricot Lane</t>
  </si>
  <si>
    <t>Belmar|Apricot Lane</t>
  </si>
  <si>
    <t>Belmar|AT&amp;T</t>
  </si>
  <si>
    <t>Bar Louie</t>
  </si>
  <si>
    <t>Belmar|Bar Louie</t>
  </si>
  <si>
    <t>Belmar|Bath &amp; Body Works</t>
  </si>
  <si>
    <t>Best Buy</t>
  </si>
  <si>
    <t>Belmar|Best Buy</t>
  </si>
  <si>
    <t>Belmar|Brighton Collectibles</t>
  </si>
  <si>
    <t>Belmar|Century Theatres</t>
  </si>
  <si>
    <t>Chico's</t>
  </si>
  <si>
    <t>Belmar|Chico's</t>
  </si>
  <si>
    <t>Belmar|Claire's</t>
  </si>
  <si>
    <t>Colorado Media School</t>
  </si>
  <si>
    <t>Belmar|Colorado Media School</t>
  </si>
  <si>
    <t>D-Cha Cafe</t>
  </si>
  <si>
    <t>Belmar|D-Cha Cafe</t>
  </si>
  <si>
    <t>Dick's Sporting Goods</t>
  </si>
  <si>
    <t>Belmar|Dick's Sporting Goods</t>
  </si>
  <si>
    <t>DSW Shoe Warehouse</t>
  </si>
  <si>
    <t>Belmar|DSW Shoe Warehouse</t>
  </si>
  <si>
    <t>European Wax Center</t>
  </si>
  <si>
    <t>Belmar|European Wax Center</t>
  </si>
  <si>
    <t>Face Shop</t>
  </si>
  <si>
    <t>Belmar|Face Shop</t>
  </si>
  <si>
    <t>Belmar|Foot Locker</t>
  </si>
  <si>
    <t>Golder Associates</t>
  </si>
  <si>
    <t>Belmar|Golder Associates</t>
  </si>
  <si>
    <t>Guess</t>
  </si>
  <si>
    <t>Belmar|Guess</t>
  </si>
  <si>
    <t>Hobby Lobby</t>
  </si>
  <si>
    <t>Belmar|Hobby Lobby</t>
  </si>
  <si>
    <t>Hot Mama</t>
  </si>
  <si>
    <t>Belmar|Hot Mama</t>
  </si>
  <si>
    <t>Ideal Image</t>
  </si>
  <si>
    <t>Belmar|Ideal Image</t>
  </si>
  <si>
    <t>Belmar|Jamba Juice</t>
  </si>
  <si>
    <t>Labcorp</t>
  </si>
  <si>
    <t>Belmar|Labcorp</t>
  </si>
  <si>
    <t>Latherhouse</t>
  </si>
  <si>
    <t>Belmar|Latherhouse</t>
  </si>
  <si>
    <t>Belmar|Lenscrafters</t>
  </si>
  <si>
    <t>Little India Restaurant</t>
  </si>
  <si>
    <t>Belmar|Little India Restaurant</t>
  </si>
  <si>
    <t>Belmar|Loft</t>
  </si>
  <si>
    <t>Me Spa</t>
  </si>
  <si>
    <t>Belmar|Me Spa</t>
  </si>
  <si>
    <t>Menya Ramen &amp; Poke</t>
  </si>
  <si>
    <t>Belmar|Menya Ramen &amp; Poke</t>
  </si>
  <si>
    <t>Mile High Wine &amp; Spirits</t>
  </si>
  <si>
    <t>Belmar|Mile High Wine &amp; Spirits</t>
  </si>
  <si>
    <t>Nordstrom</t>
  </si>
  <si>
    <t>Belmar|Nordstrom</t>
  </si>
  <si>
    <t>Office Evoluation</t>
  </si>
  <si>
    <t>Belmar|Office Evoluation</t>
  </si>
  <si>
    <t>Belmar|P.F. Changs</t>
  </si>
  <si>
    <t>Paciugo</t>
  </si>
  <si>
    <t>Belmar|Paciugo</t>
  </si>
  <si>
    <t>Painting With A Twist</t>
  </si>
  <si>
    <t>Belmar|Painting With A Twist</t>
  </si>
  <si>
    <t>Party City</t>
  </si>
  <si>
    <t>Belmar|Party City</t>
  </si>
  <si>
    <t>Paul Mitchell</t>
  </si>
  <si>
    <t>Belmar|Paul Mitchell</t>
  </si>
  <si>
    <t>Pho Saigon Basil</t>
  </si>
  <si>
    <t>Belmar|Pho Saigon Basil</t>
  </si>
  <si>
    <t>Pink &amp; White Nails</t>
  </si>
  <si>
    <t>Belmar|Pink &amp; White Nails</t>
  </si>
  <si>
    <t>Pure Barre</t>
  </si>
  <si>
    <t>Belmar|Pure Barre</t>
  </si>
  <si>
    <t>Rocky Mountain Chocolate Factory</t>
  </si>
  <si>
    <t>Belmar|Rocky Mountain Chocolate Factory</t>
  </si>
  <si>
    <t>Roosters</t>
  </si>
  <si>
    <t>Belmar|Roosters</t>
  </si>
  <si>
    <t>Belmar|Sephora</t>
  </si>
  <si>
    <t>Share Tea</t>
  </si>
  <si>
    <t>Belmar|Share Tea</t>
  </si>
  <si>
    <t>Stack Subs</t>
  </si>
  <si>
    <t>Belmar|Stack Subs</t>
  </si>
  <si>
    <t>Staples</t>
  </si>
  <si>
    <t>Belmar|Staples</t>
  </si>
  <si>
    <t>Target</t>
  </si>
  <si>
    <t>Belmar|Target</t>
  </si>
  <si>
    <t>Ted's Montana Grill</t>
  </si>
  <si>
    <t>Belmar|Ted's Montana Grill</t>
  </si>
  <si>
    <t>Teller Street Kitchen</t>
  </si>
  <si>
    <t>Belmar|Teller Street Kitchen</t>
  </si>
  <si>
    <t>The French Press</t>
  </si>
  <si>
    <t>Belmar|The French Press</t>
  </si>
  <si>
    <t>The Integer</t>
  </si>
  <si>
    <t>Belmar|The Integer</t>
  </si>
  <si>
    <t>The Joint Chiropractic</t>
  </si>
  <si>
    <t>Belmar|The Joint Chiropractic</t>
  </si>
  <si>
    <t>The Rock Wood Fired Pizza</t>
  </si>
  <si>
    <t>Belmar|The Rock Wood Fired Pizza</t>
  </si>
  <si>
    <t>Vito Pini Salon</t>
  </si>
  <si>
    <t>Belmar|Vito Pini Salon</t>
  </si>
  <si>
    <t>Wasabi</t>
  </si>
  <si>
    <t>Belmar|Wasabi</t>
  </si>
  <si>
    <t>Belmar|White House | Black Market</t>
  </si>
  <si>
    <t>Belmar|Whole Foods</t>
  </si>
  <si>
    <t>Zenails</t>
  </si>
  <si>
    <t>Belmar|Zenails</t>
  </si>
  <si>
    <t>Brandon Exchange|7-Eleven</t>
  </si>
  <si>
    <t>Brandon Exchange|Abercrombie &amp; Fitch</t>
  </si>
  <si>
    <t>Brandon Exchange|Aerie</t>
  </si>
  <si>
    <t>Brandon Exchange|Aeropostale</t>
  </si>
  <si>
    <t>Brandon Exchange|Aldo</t>
  </si>
  <si>
    <t>Brandon Exchange|American Eagle Outfitters</t>
  </si>
  <si>
    <t>Brandon Exchange|Ann Taylor Loft</t>
  </si>
  <si>
    <t>Brandon Exchange|Apple</t>
  </si>
  <si>
    <t>Brandon Exchange|Ardene</t>
  </si>
  <si>
    <t>Brandon Exchange|Auntie Annes</t>
  </si>
  <si>
    <t>Avis Budget Car Rental</t>
  </si>
  <si>
    <t>Brandon Exchange|Avis Budget Car Rental</t>
  </si>
  <si>
    <t>Bahama Breeze</t>
  </si>
  <si>
    <t>Brandon Exchange|Bahama Breeze</t>
  </si>
  <si>
    <t>Brandon Exchange|Banter By Piercing Pagoda</t>
  </si>
  <si>
    <t>Brandon Exchange|Bath &amp; Body Works</t>
  </si>
  <si>
    <t>Books-A-Million</t>
  </si>
  <si>
    <t>Brandon Exchange|Books-A-Million</t>
  </si>
  <si>
    <t>Brandon Exchange|Box Lunch</t>
  </si>
  <si>
    <t>Brandon Exchange|Brow Art 23</t>
  </si>
  <si>
    <t>Brandon Exchange|Buckle</t>
  </si>
  <si>
    <t>Brandon Exchange|Build-A-Bear Workshop</t>
  </si>
  <si>
    <t>Brandon Exchange|Carters</t>
  </si>
  <si>
    <t>Brandon Exchange|Champs Sports</t>
  </si>
  <si>
    <t>Brandon Exchange|Charley's Philly Steaks</t>
  </si>
  <si>
    <t>Charlotte Russe</t>
  </si>
  <si>
    <t>Brandon Exchange|Charlotte Russe</t>
  </si>
  <si>
    <t>Brandon Exchange|Chick-Fil-A</t>
  </si>
  <si>
    <t>Brandon Exchange|Chico's</t>
  </si>
  <si>
    <t>Brandon Exchange|Chipotle Mexican Grill</t>
  </si>
  <si>
    <t>Brandon Exchange|Cinnabon</t>
  </si>
  <si>
    <t>Brandon Exchange|Claire's</t>
  </si>
  <si>
    <t>Cotton On</t>
  </si>
  <si>
    <t>Brandon Exchange|Cotton On</t>
  </si>
  <si>
    <t>Brandon Exchange|Crocs</t>
  </si>
  <si>
    <t>Brandon Exchange|Dick's Sporting Goods</t>
  </si>
  <si>
    <t>Dillard's</t>
  </si>
  <si>
    <t>Brandon Exchange|Dillard's</t>
  </si>
  <si>
    <t>Brandon Exchange|DSW Shoe Warehouse</t>
  </si>
  <si>
    <t>Brandon Exchange|Earthbound Trading Company</t>
  </si>
  <si>
    <t>Brandon Exchange|Express</t>
  </si>
  <si>
    <t>Fast-Fix Jewelry And Watch Repair</t>
  </si>
  <si>
    <t>Brandon Exchange|Fast-Fix Jewelry And Watch Repair</t>
  </si>
  <si>
    <t>Finish Line</t>
  </si>
  <si>
    <t>Brandon Exchange|Finish Line</t>
  </si>
  <si>
    <t>Fit 2 Run</t>
  </si>
  <si>
    <t>Brandon Exchange|Fit 2 Run</t>
  </si>
  <si>
    <t>Brandon Exchange|Foot Locker</t>
  </si>
  <si>
    <t>Brandon Exchange|Forever 21</t>
  </si>
  <si>
    <t>Fossil</t>
  </si>
  <si>
    <t>Brandon Exchange|Fossil</t>
  </si>
  <si>
    <t>Brandon Exchange|Francesca's</t>
  </si>
  <si>
    <t>Brandon Exchange|FYE Music &amp; Movies</t>
  </si>
  <si>
    <t>G By Guess</t>
  </si>
  <si>
    <t>Brandon Exchange|G By Guess</t>
  </si>
  <si>
    <t>Brandon Exchange|GameStop</t>
  </si>
  <si>
    <t>Great American Cookies</t>
  </si>
  <si>
    <t>Brandon Exchange|Great American Cookies</t>
  </si>
  <si>
    <t>Brandon Exchange|Haagen-Dazs</t>
  </si>
  <si>
    <t>Brandon Exchange|Helzberg Diamonds</t>
  </si>
  <si>
    <t>Brandon Exchange|Hollister</t>
  </si>
  <si>
    <t>Brandon Exchange|Hot Topic</t>
  </si>
  <si>
    <t>Brandon Exchange|Icing By Claires</t>
  </si>
  <si>
    <t>Intimissimi Italian Lingerie</t>
  </si>
  <si>
    <t>Brandon Exchange|Intimissimi Italian Lingerie</t>
  </si>
  <si>
    <t>Invicta</t>
  </si>
  <si>
    <t>Brandon Exchange|Invicta</t>
  </si>
  <si>
    <t>Brandon Exchange|J.C. Penney</t>
  </si>
  <si>
    <t>Jimmy Jazz</t>
  </si>
  <si>
    <t>Brandon Exchange|Jimmy Jazz</t>
  </si>
  <si>
    <t>Brandon Exchange|Journeys</t>
  </si>
  <si>
    <t>Brandon Exchange|Journeys Kidz</t>
  </si>
  <si>
    <t>Brandon Exchange|Kay Jewelers</t>
  </si>
  <si>
    <t>Brandon Exchange|Kids Foot Locker</t>
  </si>
  <si>
    <t>Brandon Exchange|LEGO</t>
  </si>
  <si>
    <t>Brandon Exchange|Lenscrafters</t>
  </si>
  <si>
    <t>Brandon Exchange|Lids</t>
  </si>
  <si>
    <t>Brandon Exchange|Lush Fresh Handmade Cosmetics</t>
  </si>
  <si>
    <t>Brandon Exchange|M.A.C Cosmetics</t>
  </si>
  <si>
    <t>Brandon Exchange|Macys</t>
  </si>
  <si>
    <t>Brandon Exchange|Michael Kors</t>
  </si>
  <si>
    <t>Native</t>
  </si>
  <si>
    <t>Brandon Exchange|Native</t>
  </si>
  <si>
    <t>Brandon Exchange|Oakley</t>
  </si>
  <si>
    <t>Brandon Exchange|P.F. Changs</t>
  </si>
  <si>
    <t>Brandon Exchange|Pacific Sunwear</t>
  </si>
  <si>
    <t>Brandon Exchange|Pandora</t>
  </si>
  <si>
    <t>Brandon Exchange|Panera Bread</t>
  </si>
  <si>
    <t>Brandon Exchange|Papaya Clothing Company</t>
  </si>
  <si>
    <t>Pretzelmaker</t>
  </si>
  <si>
    <t>Brandon Exchange|Pretzelmaker</t>
  </si>
  <si>
    <t>Brandon Exchange|Rack Room Shoes</t>
  </si>
  <si>
    <t>Red Robin Gourmet Burgers</t>
  </si>
  <si>
    <t>Brandon Exchange|Red Robin Gourmet Burgers</t>
  </si>
  <si>
    <t>Reeds Jewelers</t>
  </si>
  <si>
    <t>Brandon Exchange|Reeds Jewelers</t>
  </si>
  <si>
    <t>Rue21</t>
  </si>
  <si>
    <t>Brandon Exchange|Rue21</t>
  </si>
  <si>
    <t>Sarku Japan</t>
  </si>
  <si>
    <t>Brandon Exchange|Sarku Japan</t>
  </si>
  <si>
    <t>Brandon Exchange|Sephora</t>
  </si>
  <si>
    <t>Simplicity Esports</t>
  </si>
  <si>
    <t>Brandon Exchange|Simplicity Esports</t>
  </si>
  <si>
    <t>Brandon Exchange|Skechers</t>
  </si>
  <si>
    <t>Brandon Exchange|Sleep Number</t>
  </si>
  <si>
    <t>Spectrum</t>
  </si>
  <si>
    <t>Brandon Exchange|Spectrum</t>
  </si>
  <si>
    <t>Brandon Exchange|Spencer Gifts</t>
  </si>
  <si>
    <t>Brandon Exchange|Starbucks Coffee</t>
  </si>
  <si>
    <t>Brandon Exchange|Sunglass Hut</t>
  </si>
  <si>
    <t>Brandon Exchange|The Cheesecake Factory</t>
  </si>
  <si>
    <t>Brandon Exchange|The Childrens Place</t>
  </si>
  <si>
    <t>Things Remembered</t>
  </si>
  <si>
    <t>Brandon Exchange|Things Remembered</t>
  </si>
  <si>
    <t>Brandon Exchange|Tillys</t>
  </si>
  <si>
    <t>Brandon Exchange|T-Mobile</t>
  </si>
  <si>
    <t>Brandon Exchange|Torrid</t>
  </si>
  <si>
    <t>Trollbeads</t>
  </si>
  <si>
    <t>Brandon Exchange|Trollbeads</t>
  </si>
  <si>
    <t>Brandon Exchange|Vans</t>
  </si>
  <si>
    <t>Brandon Exchange|Verizon Wireless</t>
  </si>
  <si>
    <t>Brandon Exchange|Victorias Secret</t>
  </si>
  <si>
    <t>Villa Pizza</t>
  </si>
  <si>
    <t>Brandon Exchange|Villa Pizza</t>
  </si>
  <si>
    <t>Brandon Exchange|Visionworks</t>
  </si>
  <si>
    <t>Brandon Exchange|Windsor</t>
  </si>
  <si>
    <t>Brandon Exchange|Zales Jewelers</t>
  </si>
  <si>
    <t>Brandon Exchange|Zumiez</t>
  </si>
  <si>
    <t>Briarwood Mall|Aeropostale</t>
  </si>
  <si>
    <t>Altar'd State</t>
  </si>
  <si>
    <t>Briarwood Mall|Altar'd State</t>
  </si>
  <si>
    <t>Briarwood Mall|Ann Taylor</t>
  </si>
  <si>
    <t>Briarwood Mall|Apple</t>
  </si>
  <si>
    <t>Athleta</t>
  </si>
  <si>
    <t>Briarwood Mall|Athleta</t>
  </si>
  <si>
    <t>Briarwood Mall|Auntie Annes</t>
  </si>
  <si>
    <t>Briarwood Mall|Banter By Piercing Pagoda</t>
  </si>
  <si>
    <t>Briarwood Mall|Bath &amp; Body Works</t>
  </si>
  <si>
    <t>Briarwood Mall|Brighton Collectibles</t>
  </si>
  <si>
    <t>Briarwood Mall|Brow Art 23</t>
  </si>
  <si>
    <t>Briarwood Mall|Buckle</t>
  </si>
  <si>
    <t>Briarwood Mall|California Pizza Kitchen</t>
  </si>
  <si>
    <t>Briarwood Mall|Champs Sports</t>
  </si>
  <si>
    <t>Briarwood Mall|Chico's</t>
  </si>
  <si>
    <t>Briarwood Mall|Cinnabon</t>
  </si>
  <si>
    <t>Briarwood Mall|Claire's</t>
  </si>
  <si>
    <t>Briarwood Mall|Coach</t>
  </si>
  <si>
    <t>Crepe Delicious</t>
  </si>
  <si>
    <t>Briarwood Mall|Crepe Delicious</t>
  </si>
  <si>
    <t>Dry Goods</t>
  </si>
  <si>
    <t>Briarwood Mall|Dry Goods</t>
  </si>
  <si>
    <t>Briarwood Mall|Eddie Bauer</t>
  </si>
  <si>
    <t>Ed's Luggage</t>
  </si>
  <si>
    <t>Briarwood Mall|Ed's Luggage</t>
  </si>
  <si>
    <t>Briarwood Mall|Express</t>
  </si>
  <si>
    <t>Briarwood Mall|Foot Locker</t>
  </si>
  <si>
    <t>Briarwood Mall|Hot Topic</t>
  </si>
  <si>
    <t>Briarwood Mall|Icing By Claires</t>
  </si>
  <si>
    <t>IRepair Xpert</t>
  </si>
  <si>
    <t>Briarwood Mall|IRepair Xpert</t>
  </si>
  <si>
    <t>Briarwood Mall|J.Crew</t>
  </si>
  <si>
    <t>Briarwood Mall|Journeys</t>
  </si>
  <si>
    <t>Briarwood Mall|Journeys Kidz</t>
  </si>
  <si>
    <t>Briarwood Mall|Kay Jewelers</t>
  </si>
  <si>
    <t>Briarwood Mall|Lenscrafters</t>
  </si>
  <si>
    <t>Briarwood Mall|Lids</t>
  </si>
  <si>
    <t>Briarwood Mall|Loft</t>
  </si>
  <si>
    <t>Briarwood Mall|Lovisa</t>
  </si>
  <si>
    <t>Briarwood Mall|Lush Fresh Handmade Cosmetics</t>
  </si>
  <si>
    <t>Briarwood Mall|Michael Kors</t>
  </si>
  <si>
    <t>Briarwood Mall|Mrs. Fields Cookies</t>
  </si>
  <si>
    <t>Oriental Chi</t>
  </si>
  <si>
    <t>Briarwood Mall|Oriental Chi</t>
  </si>
  <si>
    <t>Briarwood Mall|P.F. Changs</t>
  </si>
  <si>
    <t>Briarwood Mall|Pacific Sunwear</t>
  </si>
  <si>
    <t>Briarwood Mall|Panda Express</t>
  </si>
  <si>
    <t>Briarwood Mall|Pandora</t>
  </si>
  <si>
    <t>Pearle Vision Center</t>
  </si>
  <si>
    <t>Briarwood Mall|Pearle Vision Center</t>
  </si>
  <si>
    <t>pinkberry</t>
  </si>
  <si>
    <t>Briarwood Mall|pinkberry</t>
  </si>
  <si>
    <t>Briarwood Mall|Sephora</t>
  </si>
  <si>
    <t>Signature Nails &amp; Spa</t>
  </si>
  <si>
    <t>Briarwood Mall|Signature Nails &amp; Spa</t>
  </si>
  <si>
    <t>Briarwood Mall|Spencer Gifts</t>
  </si>
  <si>
    <t>Briarwood Mall|Sunglass Hut</t>
  </si>
  <si>
    <t>Surf City Squeeze</t>
  </si>
  <si>
    <t>Briarwood Mall|Surf City Squeeze</t>
  </si>
  <si>
    <t>SweetING</t>
  </si>
  <si>
    <t>Briarwood Mall|SweetING</t>
  </si>
  <si>
    <t>Briarwood Mall|Talbots</t>
  </si>
  <si>
    <t>The Diamond Factory</t>
  </si>
  <si>
    <t>Briarwood Mall|The Diamond Factory</t>
  </si>
  <si>
    <t>The M Den/The Victors</t>
  </si>
  <si>
    <t>Briarwood Mall|The M Den/The Victors</t>
  </si>
  <si>
    <t>Briarwood Mall|Things Remembered</t>
  </si>
  <si>
    <t>Briarwood Mall|T-Mobile</t>
  </si>
  <si>
    <t>Briarwood Mall|Torrid</t>
  </si>
  <si>
    <t>Tradehome Shoes</t>
  </si>
  <si>
    <t>Briarwood Mall|Tradehome Shoes</t>
  </si>
  <si>
    <t>Tricho Salon &amp; Spa</t>
  </si>
  <si>
    <t>Briarwood Mall|Tricho Salon &amp; Spa</t>
  </si>
  <si>
    <t>Briarwood Mall|Urban Outfitters</t>
  </si>
  <si>
    <t>Briarwood Mall|Vans</t>
  </si>
  <si>
    <t>Briarwood Mall|Vera Bradley</t>
  </si>
  <si>
    <t>Villa</t>
  </si>
  <si>
    <t>Briarwood Mall|Villa</t>
  </si>
  <si>
    <t>Vin Vin Vin</t>
  </si>
  <si>
    <t>Briarwood Mall|Vin Vin Vin</t>
  </si>
  <si>
    <t>Briarwood Mall|White House | Black Market</t>
  </si>
  <si>
    <t>Briarwood Mall|Windsor</t>
  </si>
  <si>
    <t>Briarwood Mall|Zales Jewelers</t>
  </si>
  <si>
    <t>Briarwood Mall|Zumiez</t>
  </si>
  <si>
    <t>ADS Renew / Down</t>
  </si>
  <si>
    <t>Bridge Street Towne Centre|ADS Renew / Down</t>
  </si>
  <si>
    <t>Agave &amp; Rye</t>
  </si>
  <si>
    <t>Bridge Street Towne Centre|Agave &amp; Rye</t>
  </si>
  <si>
    <t>Bridge Street Towne Centre|Altar'd State</t>
  </si>
  <si>
    <t>Alumni Hall</t>
  </si>
  <si>
    <t>Bridge Street Towne Centre|Alumni Hall</t>
  </si>
  <si>
    <t>Bridge Street Towne Centre|Anthropologie</t>
  </si>
  <si>
    <t>Bridge Street Towne Centre|Apple</t>
  </si>
  <si>
    <t>Apple Breakroom</t>
  </si>
  <si>
    <t>Bridge Street Towne Centre|Apple Breakroom</t>
  </si>
  <si>
    <t>Bridge Street Towne Centre|AT&amp;T</t>
  </si>
  <si>
    <t>Bridge Street Towne Centre|Athleta</t>
  </si>
  <si>
    <t>Bridge Street Towne Centre|Barnes &amp; Noble</t>
  </si>
  <si>
    <t>Bridge Street Towne Centre|Bath &amp; Body Works</t>
  </si>
  <si>
    <t>Bed Bath &amp; Beyond</t>
  </si>
  <si>
    <t>Bridge Street Towne Centre|Bed Bath &amp; Beyond</t>
  </si>
  <si>
    <t>Belk</t>
  </si>
  <si>
    <t>Bridge Street Towne Centre|Belk</t>
  </si>
  <si>
    <t>Bridge Street Towne Centre|BJ's Restaurant Brewhouse</t>
  </si>
  <si>
    <t>Bravo</t>
  </si>
  <si>
    <t>Bridge Street Towne Centre|Bravo</t>
  </si>
  <si>
    <t>Bridge Street Towne Centre|Brighton Collectibles</t>
  </si>
  <si>
    <t>Bridge Street Towne Centre|Buckle</t>
  </si>
  <si>
    <t>Canterbury Nails</t>
  </si>
  <si>
    <t>Bridge Street Towne Centre|Canterbury Nails</t>
  </si>
  <si>
    <t>Cheesecake Factory</t>
  </si>
  <si>
    <t>Bridge Street Towne Centre|Cheesecake Factory</t>
  </si>
  <si>
    <t>Bridge Street Towne Centre|Chico's</t>
  </si>
  <si>
    <t>Chocolate Crocodile</t>
  </si>
  <si>
    <t>Bridge Street Towne Centre|Chocolate Crocodile</t>
  </si>
  <si>
    <t>Cinemark</t>
  </si>
  <si>
    <t>Bridge Street Towne Centre|Cinemark</t>
  </si>
  <si>
    <t>Bridge Street Towne Centre|Claire's</t>
  </si>
  <si>
    <t>Connor's Steak &amp; Seafood</t>
  </si>
  <si>
    <t>Bridge Street Towne Centre|Connor's Steak &amp; Seafood</t>
  </si>
  <si>
    <t>Dickey's BBQ</t>
  </si>
  <si>
    <t>Bridge Street Towne Centre|Dickey's BBQ</t>
  </si>
  <si>
    <t>Bridge Street Towne Centre|Dick's Sporting Goods</t>
  </si>
  <si>
    <t>Bridge Street Towne Centre|Dry Goods</t>
  </si>
  <si>
    <t>Bridge Street Towne Centre|DSW Shoe Warehouse</t>
  </si>
  <si>
    <t>Engel &amp; Volkers</t>
  </si>
  <si>
    <t>Bridge Street Towne Centre|Engel &amp; Volkers</t>
  </si>
  <si>
    <t>Fat Tuesday</t>
  </si>
  <si>
    <t>Bridge Street Towne Centre|Fat Tuesday</t>
  </si>
  <si>
    <t>Bridge Street Towne Centre|Francesca's</t>
  </si>
  <si>
    <t>Bridge Street Towne Centre|Great American Cookies</t>
  </si>
  <si>
    <t>Grogan Jewelers</t>
  </si>
  <si>
    <t>Bridge Street Towne Centre|Grogan Jewelers</t>
  </si>
  <si>
    <t>Bridge Street Towne Centre|H&amp;M</t>
  </si>
  <si>
    <t>Hometown Lenders</t>
  </si>
  <si>
    <t>Bridge Street Towne Centre|Hometown Lenders</t>
  </si>
  <si>
    <t>IBM</t>
  </si>
  <si>
    <t>Bridge Street Towne Centre|IBM</t>
  </si>
  <si>
    <t>It'Sugar</t>
  </si>
  <si>
    <t>Bridge Street Towne Centre|It'Sugar</t>
  </si>
  <si>
    <t>Bridge Street Towne Centre|J. Jill</t>
  </si>
  <si>
    <t>Bridge Street Towne Centre|Jared The Galleria of Jewelry</t>
  </si>
  <si>
    <t>Jos A. Bank</t>
  </si>
  <si>
    <t>Bridge Street Towne Centre|Jos A. Bank</t>
  </si>
  <si>
    <t>Bridge Street Towne Centre|Journeys</t>
  </si>
  <si>
    <t>Bridge Street Towne Centre|Kendra Scott</t>
  </si>
  <si>
    <t>Kona Grill</t>
  </si>
  <si>
    <t>Bridge Street Towne Centre|Kona Grill</t>
  </si>
  <si>
    <t>Le Macaron</t>
  </si>
  <si>
    <t>Bridge Street Towne Centre|Le Macaron</t>
  </si>
  <si>
    <t>Bridge Street Towne Centre|Lenscrafters</t>
  </si>
  <si>
    <t>Bridge Street Towne Centre|Loft</t>
  </si>
  <si>
    <t>Bridge Street Towne Centre|LoveSac</t>
  </si>
  <si>
    <t>Bridge Street Towne Centre|Lucky Brand Jeans</t>
  </si>
  <si>
    <t>Bridge Street Towne Centre|Lululemon</t>
  </si>
  <si>
    <t>Bridge Street Towne Centre|Lush Fresh Handmade Cosmetics</t>
  </si>
  <si>
    <t>Maggie Moo's</t>
  </si>
  <si>
    <t>Bridge Street Towne Centre|Maggie Moo's</t>
  </si>
  <si>
    <t>Magnolia Soap</t>
  </si>
  <si>
    <t>Bridge Street Towne Centre|Magnolia Soap</t>
  </si>
  <si>
    <t>Main Event</t>
  </si>
  <si>
    <t>Bridge Street Towne Centre|Main Event</t>
  </si>
  <si>
    <t>Millennium Corp Exp</t>
  </si>
  <si>
    <t>Bridge Street Towne Centre|Millennium Corp Exp</t>
  </si>
  <si>
    <t>Moe's Southwest Grill</t>
  </si>
  <si>
    <t>Bridge Street Towne Centre|Moe's Southwest Grill</t>
  </si>
  <si>
    <t>Mountain High</t>
  </si>
  <si>
    <t>Bridge Street Towne Centre|Mountain High</t>
  </si>
  <si>
    <t>Old Navy</t>
  </si>
  <si>
    <t>Bridge Street Towne Centre|Old Navy</t>
  </si>
  <si>
    <t>Orvis</t>
  </si>
  <si>
    <t>Bridge Street Towne Centre|Orvis</t>
  </si>
  <si>
    <t>Bridge Street Towne Centre|P.F. Changs</t>
  </si>
  <si>
    <t>Bridge Street Towne Centre|Pandora</t>
  </si>
  <si>
    <t>Bridge Street Towne Centre|Panera Bread</t>
  </si>
  <si>
    <t>PBR Smokehouse</t>
  </si>
  <si>
    <t>Bridge Street Towne Centre|PBR Smokehouse</t>
  </si>
  <si>
    <t>Pieology</t>
  </si>
  <si>
    <t>Bridge Street Towne Centre|Pieology</t>
  </si>
  <si>
    <t>Pretzel Twister</t>
  </si>
  <si>
    <t>Bridge Street Towne Centre|Pretzel Twister</t>
  </si>
  <si>
    <t>Raytheon</t>
  </si>
  <si>
    <t>Bridge Street Towne Centre|Raytheon</t>
  </si>
  <si>
    <t>Bridge Street Towne Centre|Red Robin Gourmet Burgers</t>
  </si>
  <si>
    <t>Bridge Street Towne Centre|Reeds Jewelers</t>
  </si>
  <si>
    <t>Bridge Street Towne Centre|Sephora</t>
  </si>
  <si>
    <t>Shades</t>
  </si>
  <si>
    <t>Bridge Street Towne Centre|Shades</t>
  </si>
  <si>
    <t>Bridge Street Towne Centre|Soma Intimates</t>
  </si>
  <si>
    <t>Southern Living</t>
  </si>
  <si>
    <t>Bridge Street Towne Centre|Southern Living</t>
  </si>
  <si>
    <t>Bridge Street Towne Centre|Sunglass Hut</t>
  </si>
  <si>
    <t>Texas de Brazil Churrasciaria/Brazilian Steak House</t>
  </si>
  <si>
    <t>Bridge Street Towne Centre|Texas de Brazil Churrasciaria/Brazilian Steak House</t>
  </si>
  <si>
    <t>Trashy Dawg</t>
  </si>
  <si>
    <t>Bridge Street Towne Centre|Trashy Dawg</t>
  </si>
  <si>
    <t>Bridge Street Towne Centre|Ulta Beauty</t>
  </si>
  <si>
    <t>UNA</t>
  </si>
  <si>
    <t>Bridge Street Towne Centre|UNA</t>
  </si>
  <si>
    <t>Urban Cookhouse</t>
  </si>
  <si>
    <t>Bridge Street Towne Centre|Urban Cookhouse</t>
  </si>
  <si>
    <t>Bridge Street Towne Centre|Vans</t>
  </si>
  <si>
    <t>Bridge Street Towne Centre|Victorias Secret</t>
  </si>
  <si>
    <t>Vintage Cigar Lounge</t>
  </si>
  <si>
    <t>Bridge Street Towne Centre|Vintage Cigar Lounge</t>
  </si>
  <si>
    <t>WeCare</t>
  </si>
  <si>
    <t>Bridge Street Towne Centre|WeCare</t>
  </si>
  <si>
    <t>Bridge Street Towne Centre|White House | Black Market</t>
  </si>
  <si>
    <t>Bridge Street Towne Centre|XFINITY</t>
  </si>
  <si>
    <t>Bridgewater Commons|Abercrombie &amp; Fitch</t>
  </si>
  <si>
    <t>Bridgewater Commons|Abercrombie Kids</t>
  </si>
  <si>
    <t>Adore Me</t>
  </si>
  <si>
    <t>Bridgewater Commons|Adore Me</t>
  </si>
  <si>
    <t>Bridgewater Commons|Aerie</t>
  </si>
  <si>
    <t>Bridgewater Commons|Aeropostale</t>
  </si>
  <si>
    <t>Bridgewater Commons|AMC Theatres</t>
  </si>
  <si>
    <t>Bridgewater Commons|American Eagle Outfitters</t>
  </si>
  <si>
    <t>Bridgewater Commons|Ann Taylor Loft</t>
  </si>
  <si>
    <t>Bridgewater Commons|Apple</t>
  </si>
  <si>
    <t>Bridgewater Commons|AT&amp;T</t>
  </si>
  <si>
    <t>Bridgewater Commons|Athleta</t>
  </si>
  <si>
    <t>Bridgewater Commons|Auntie Annes</t>
  </si>
  <si>
    <t>Bridgewater Commons|Banana Republic</t>
  </si>
  <si>
    <t>Bridgewater Commons|Banter By Piercing Pagoda</t>
  </si>
  <si>
    <t>Bridgewater Commons|Bath &amp; Body Works</t>
  </si>
  <si>
    <t>Bloomingdales</t>
  </si>
  <si>
    <t>Bridgewater Commons|Bloomingdales</t>
  </si>
  <si>
    <t>Bluemercury</t>
  </si>
  <si>
    <t>Bridgewater Commons|Bluemercury</t>
  </si>
  <si>
    <t>Bridgewater Commons|Brighton Collectibles</t>
  </si>
  <si>
    <t>Bridgewater Commons|Build-A-Bear Workshop</t>
  </si>
  <si>
    <t>Bridgewater Commons|California Pizza Kitchen</t>
  </si>
  <si>
    <t>Casper</t>
  </si>
  <si>
    <t>Bridgewater Commons|Casper</t>
  </si>
  <si>
    <t>Cava Grill</t>
  </si>
  <si>
    <t>Bridgewater Commons|Cava Grill</t>
  </si>
  <si>
    <t>Bridgewater Commons|Champs Sports</t>
  </si>
  <si>
    <t>Charles Schwab</t>
  </si>
  <si>
    <t>Bridgewater Commons|Charles Schwab</t>
  </si>
  <si>
    <t>Bridgewater Commons|Charley's Philly Steaks</t>
  </si>
  <si>
    <t>Bridgewater Commons|Chico's</t>
  </si>
  <si>
    <t>Bridgewater Commons|Chipotle Mexican Grill</t>
  </si>
  <si>
    <t>Bridgewater Commons|Claire's</t>
  </si>
  <si>
    <t>Bridgewater Commons|Clarks</t>
  </si>
  <si>
    <t>Cohens Fashion Optical</t>
  </si>
  <si>
    <t>Bridgewater Commons|Cohens Fashion Optical</t>
  </si>
  <si>
    <t>Color Me Mine</t>
  </si>
  <si>
    <t>Bridgewater Commons|Color Me Mine</t>
  </si>
  <si>
    <t>Bridgewater Commons|Cotton On</t>
  </si>
  <si>
    <t>Bridgewater Commons|Eddie Bauer</t>
  </si>
  <si>
    <t>Evereve</t>
  </si>
  <si>
    <t>Bridgewater Commons|Evereve</t>
  </si>
  <si>
    <t>Expedia Cash</t>
  </si>
  <si>
    <t>Bridgewater Commons|Expedia Cash</t>
  </si>
  <si>
    <t>Bridgewater Commons|Express</t>
  </si>
  <si>
    <t>Fabletics</t>
  </si>
  <si>
    <t>Bridgewater Commons|Fabletics</t>
  </si>
  <si>
    <t>Bridgewater Commons|Forever 21</t>
  </si>
  <si>
    <t>Bridgewater Commons|Francesca's</t>
  </si>
  <si>
    <t>Bridgewater Commons|Free People</t>
  </si>
  <si>
    <t>Bridgewater Commons|Garage</t>
  </si>
  <si>
    <t>Gloria Jeans Coffees</t>
  </si>
  <si>
    <t>Bridgewater Commons|Gloria Jeans Coffees</t>
  </si>
  <si>
    <t>Go! Calendars &amp; Go! Games</t>
  </si>
  <si>
    <t>Bridgewater Commons|Go! Calendars &amp; Go! Games</t>
  </si>
  <si>
    <t>Gong Cha</t>
  </si>
  <si>
    <t>Bridgewater Commons|Gong Cha</t>
  </si>
  <si>
    <t>Bridgewater Commons|Haagen-Dazs</t>
  </si>
  <si>
    <t>Bridgewater Commons|Hollister</t>
  </si>
  <si>
    <t>Bridgewater Commons|Hot Topic</t>
  </si>
  <si>
    <t>House Of Hoops By Foot Locker</t>
  </si>
  <si>
    <t>Bridgewater Commons|House Of Hoops By Foot Locker</t>
  </si>
  <si>
    <t>Bridgewater Commons|J.Crew</t>
  </si>
  <si>
    <t>Bridgewater Commons|Janie &amp; Jack</t>
  </si>
  <si>
    <t>Bridgewater Commons|Johnston &amp; Murphy</t>
  </si>
  <si>
    <t>Bridgewater Commons|Journeys</t>
  </si>
  <si>
    <t>Bridgewater Commons|Journeys Kidz</t>
  </si>
  <si>
    <t>Bridgewater Commons|Kay Jewelers</t>
  </si>
  <si>
    <t>Bridgewater Commons|LEGO</t>
  </si>
  <si>
    <t>Bridgewater Commons|Lenscrafters</t>
  </si>
  <si>
    <t>Bridgewater Commons|Lids</t>
  </si>
  <si>
    <t>Loccitane</t>
  </si>
  <si>
    <t>Bridgewater Commons|Loccitane</t>
  </si>
  <si>
    <t>Bridgewater Commons|Lolli And Pops</t>
  </si>
  <si>
    <t>Bridgewater Commons|LoveSac</t>
  </si>
  <si>
    <t>Bridgewater Commons|Lovisa</t>
  </si>
  <si>
    <t>Bridgewater Commons|Lucky Brand Jeans</t>
  </si>
  <si>
    <t>Bridgewater Commons|Lululemon</t>
  </si>
  <si>
    <t>Bridgewater Commons|Lush Fresh Handmade Cosmetics</t>
  </si>
  <si>
    <t>Bridgewater Commons|Macys</t>
  </si>
  <si>
    <t>Bridgewater Commons|Maggianos Little Italy</t>
  </si>
  <si>
    <t>Nathan's Famous</t>
  </si>
  <si>
    <t>Bridgewater Commons|Nathan's Famous</t>
  </si>
  <si>
    <t>Bridgewater Commons|Oakley</t>
  </si>
  <si>
    <t>Bridgewater Commons|Pacific Sunwear</t>
  </si>
  <si>
    <t>Bridgewater Commons|Pandora</t>
  </si>
  <si>
    <t>Bridgewater Commons|Pink</t>
  </si>
  <si>
    <t>Bridgewater Commons|Pottery Barn</t>
  </si>
  <si>
    <t>Bridgewater Commons|Pro Image Sports</t>
  </si>
  <si>
    <t>Qdoba Mexican Eats</t>
  </si>
  <si>
    <t>Bridgewater Commons|Qdoba Mexican Eats</t>
  </si>
  <si>
    <t>Real Fruit Bubble Tea</t>
  </si>
  <si>
    <t>Bridgewater Commons|Real Fruit Bubble Tea</t>
  </si>
  <si>
    <t>Redstone American Grill</t>
  </si>
  <si>
    <t>Bridgewater Commons|Redstone American Grill</t>
  </si>
  <si>
    <t>Saladworks</t>
  </si>
  <si>
    <t>Bridgewater Commons|Saladworks</t>
  </si>
  <si>
    <t>Bridgewater Commons|Sarku Japan</t>
  </si>
  <si>
    <t>Bridgewater Commons|Sbarro The Italian Eatery</t>
  </si>
  <si>
    <t>Bridgewater Commons|Seasons 52</t>
  </si>
  <si>
    <t>Bridgewater Commons|Sephora</t>
  </si>
  <si>
    <t>Shake Shack</t>
  </si>
  <si>
    <t>Bridgewater Commons|Shake Shack</t>
  </si>
  <si>
    <t>Shapes Brow Bar</t>
  </si>
  <si>
    <t>Bridgewater Commons|Shapes Brow Bar</t>
  </si>
  <si>
    <t>Showcase</t>
  </si>
  <si>
    <t>Bridgewater Commons|Showcase</t>
  </si>
  <si>
    <t>Bridgewater Commons|Skechers</t>
  </si>
  <si>
    <t>Bridgewater Commons|Sleep Number</t>
  </si>
  <si>
    <t>Bridgewater Commons|Soft Surroundings</t>
  </si>
  <si>
    <t>Bridgewater Commons|Soma Intimates</t>
  </si>
  <si>
    <t>Bridgewater Commons|Spencer Gifts</t>
  </si>
  <si>
    <t>Bridgewater Commons|Starbucks Coffee</t>
  </si>
  <si>
    <t>Bridgewater Commons|Sunglass Hut</t>
  </si>
  <si>
    <t>Bridgewater Commons|Swarovski</t>
  </si>
  <si>
    <t>Bridgewater Commons|The Cheesecake Factory</t>
  </si>
  <si>
    <t>Bridgewater Commons|Things Remembered</t>
  </si>
  <si>
    <t>Bridgewater Commons|T-Mobile</t>
  </si>
  <si>
    <t>Bridgewater Commons|Torrid</t>
  </si>
  <si>
    <t>Bridgewater Commons|Tumi</t>
  </si>
  <si>
    <t>Typo</t>
  </si>
  <si>
    <t>Bridgewater Commons|Typo</t>
  </si>
  <si>
    <t>Ubreakifix</t>
  </si>
  <si>
    <t>Bridgewater Commons|Ubreakifix</t>
  </si>
  <si>
    <t>Uncle Julios</t>
  </si>
  <si>
    <t>Bridgewater Commons|Uncle Julios</t>
  </si>
  <si>
    <t>Bridgewater Commons|Vans</t>
  </si>
  <si>
    <t>Bridgewater Commons|Vera Bradley</t>
  </si>
  <si>
    <t>Bridgewater Commons|Verizon Wireless</t>
  </si>
  <si>
    <t>Bridgewater Commons|Victorias Secret</t>
  </si>
  <si>
    <t>Bridgewater Commons|White House | Black Market</t>
  </si>
  <si>
    <t>Bridgewater Commons|Williams Sonoma</t>
  </si>
  <si>
    <t>Bridgewater Commons|Windsor</t>
  </si>
  <si>
    <t>Bridgewater Commons|Yankee Candle</t>
  </si>
  <si>
    <t>Bridgewater Commons|Zagg</t>
  </si>
  <si>
    <t>Bridgewater Commons|Zales Jewelers</t>
  </si>
  <si>
    <t>Bridgewater Commons|Zumiez</t>
  </si>
  <si>
    <t>Capital City Mall|Aerie</t>
  </si>
  <si>
    <t>Capital City Mall|Aeropostale</t>
  </si>
  <si>
    <t>Capital City Mall|American Eagle Outfitters</t>
  </si>
  <si>
    <t>Asoul Ramen</t>
  </si>
  <si>
    <t>Capital City Mall|Asoul Ramen</t>
  </si>
  <si>
    <t>Capital City Mall|AT&amp;T</t>
  </si>
  <si>
    <t>Au Bon Lieu</t>
  </si>
  <si>
    <t>Capital City Mall|Au Bon Lieu</t>
  </si>
  <si>
    <t>Capital City Mall|Auntie Annes</t>
  </si>
  <si>
    <t>Capital City Mall|Banter By Piercing Pagoda</t>
  </si>
  <si>
    <t>Capital City Mall|Bath &amp; Body Works</t>
  </si>
  <si>
    <t>Blaze Fast Fire'd Pizza</t>
  </si>
  <si>
    <t>Capital City Mall|Blaze Fast Fire'd Pizza</t>
  </si>
  <si>
    <t>Bleacher Bums</t>
  </si>
  <si>
    <t>Capital City Mall|Bleacher Bums</t>
  </si>
  <si>
    <t>Boba Cha</t>
  </si>
  <si>
    <t>Capital City Mall|Boba Cha</t>
  </si>
  <si>
    <t>Capital City Mall|Bonchon</t>
  </si>
  <si>
    <t>Capital City Mall|Box Lunch</t>
  </si>
  <si>
    <t>Capital City Mall|Buckle</t>
  </si>
  <si>
    <t>Capital City Mall|Build-A-Bear Workshop</t>
  </si>
  <si>
    <t>Capital City Convenience</t>
  </si>
  <si>
    <t>Capital City Mall|Capital City Convenience</t>
  </si>
  <si>
    <t>Capital City Mall Sushi Expres</t>
  </si>
  <si>
    <t>Capital City Mall|Capital City Mall Sushi Expres</t>
  </si>
  <si>
    <t>Capital City Mall|Charley's Philly Steaks</t>
  </si>
  <si>
    <t>Capital City Mall|Cinnabon</t>
  </si>
  <si>
    <t>Capital City Mall|Claire's</t>
  </si>
  <si>
    <t>Capital City Mall|Dave &amp; Busters</t>
  </si>
  <si>
    <t>Capital City Mall|Dick's Sporting Goods</t>
  </si>
  <si>
    <t>Capital City Mall|DSW Shoe Warehouse</t>
  </si>
  <si>
    <t>DTLR</t>
  </si>
  <si>
    <t>Capital City Mall|DTLR</t>
  </si>
  <si>
    <t>Capital City Mall|Express</t>
  </si>
  <si>
    <t>Fine Wine and Good Spirits</t>
  </si>
  <si>
    <t>Capital City Mall|Fine Wine and Good Spirits</t>
  </si>
  <si>
    <t>Capital City Mall|Foot Locker</t>
  </si>
  <si>
    <t>Capital City Mall|Francesca's</t>
  </si>
  <si>
    <t>Capital City Mall|FYE Music &amp; Movies</t>
  </si>
  <si>
    <t>Capital City Mall|GameStop</t>
  </si>
  <si>
    <t>Gertrude Hawk Chocolates</t>
  </si>
  <si>
    <t>Capital City Mall|Gertrude Hawk Chocolates</t>
  </si>
  <si>
    <t>Capital City Mall|GNC</t>
  </si>
  <si>
    <t>Gold N Diamond</t>
  </si>
  <si>
    <t>Capital City Mall|Gold N Diamond</t>
  </si>
  <si>
    <t>Capital City Mall|H&amp;M</t>
  </si>
  <si>
    <t>Hand &amp; Stone Massage &amp; Facial Spa</t>
  </si>
  <si>
    <t>Capital City Mall|Hand &amp; Stone Massage &amp; Facial Spa</t>
  </si>
  <si>
    <t>HBG Fine Jewelry</t>
  </si>
  <si>
    <t>Capital City Mall|HBG Fine Jewelry</t>
  </si>
  <si>
    <t>Holiday Hair</t>
  </si>
  <si>
    <t>Capital City Mall|Holiday Hair</t>
  </si>
  <si>
    <t>Capital City Mall|Hollister</t>
  </si>
  <si>
    <t>Capital City Mall|Hot Topic</t>
  </si>
  <si>
    <t>Capital City Mall|J.C. Penney</t>
  </si>
  <si>
    <t>Capital City Mall|JD Sports</t>
  </si>
  <si>
    <t>Joseph Jacob Jewelers</t>
  </si>
  <si>
    <t>Capital City Mall|Joseph Jacob Jewelers</t>
  </si>
  <si>
    <t>Capital City Mall|Journeys</t>
  </si>
  <si>
    <t>Capital City Mall|Journeys Kidz</t>
  </si>
  <si>
    <t>Capital City Mall|Kay Jewelers</t>
  </si>
  <si>
    <t>La Biotique</t>
  </si>
  <si>
    <t>Capital City Mall|La Biotique</t>
  </si>
  <si>
    <t>LA Nails</t>
  </si>
  <si>
    <t>Capital City Mall|LA Nails</t>
  </si>
  <si>
    <t>Capital City Mall|Lids</t>
  </si>
  <si>
    <t>Capital City Mall|Lovisa</t>
  </si>
  <si>
    <t>Capital City Mall|Macys</t>
  </si>
  <si>
    <t>Men's Wearhouse</t>
  </si>
  <si>
    <t>Capital City Mall|Men's Wearhouse</t>
  </si>
  <si>
    <t>Capital City Mall|Miniso</t>
  </si>
  <si>
    <t>My Cellphone Repairs</t>
  </si>
  <si>
    <t>Capital City Mall|My Cellphone Repairs</t>
  </si>
  <si>
    <t>Panda</t>
  </si>
  <si>
    <t>Capital City Mall|Panda</t>
  </si>
  <si>
    <t>Capital City Mall|Pandora</t>
  </si>
  <si>
    <t>Capital City Mall|Pearle Vision Center</t>
  </si>
  <si>
    <t>Primanti Bros</t>
  </si>
  <si>
    <t>Capital City Mall|Primanti Bros</t>
  </si>
  <si>
    <t>Capital City Mall|Sbarro The Italian Eatery</t>
  </si>
  <si>
    <t>Sears Appliances and Mattresse</t>
  </si>
  <si>
    <t>Capital City Mall|Sears Appliances and Mattresse</t>
  </si>
  <si>
    <t>Shawarma House &amp; Grill</t>
  </si>
  <si>
    <t>Capital City Mall|Shawarma House &amp; Grill</t>
  </si>
  <si>
    <t>Shoe Department/Encore</t>
  </si>
  <si>
    <t>Capital City Mall|Shoe Department/Encore</t>
  </si>
  <si>
    <t>Capital City Mall|Spencer Gifts</t>
  </si>
  <si>
    <t>Sportsman's Warehouse</t>
  </si>
  <si>
    <t>Capital City Mall|Sportsman's Warehouse</t>
  </si>
  <si>
    <t>Sterling Optical</t>
  </si>
  <si>
    <t>Capital City Mall|Sterling Optical</t>
  </si>
  <si>
    <t>Subway</t>
  </si>
  <si>
    <t>Capital City Mall|Subway</t>
  </si>
  <si>
    <t>Capital City Mall|Sunglass Hut</t>
  </si>
  <si>
    <t>Capital City Mall|Taco Bell</t>
  </si>
  <si>
    <t>Teriyaki Express</t>
  </si>
  <si>
    <t>Capital City Mall|Teriyaki Express</t>
  </si>
  <si>
    <t>Capital City Mall|The Childrens Place</t>
  </si>
  <si>
    <t>Capital City Mall|T-Mobile</t>
  </si>
  <si>
    <t>Capital City Mall|Torrid</t>
  </si>
  <si>
    <t>Capital City Mall|Verizon Wireless</t>
  </si>
  <si>
    <t>Capital City Mall|Victorias Secret</t>
  </si>
  <si>
    <t>Capital City Mall|Windsor</t>
  </si>
  <si>
    <t>Capital City Mall|Yankee Candle</t>
  </si>
  <si>
    <t>Capital City Mall|Zales Jewelers</t>
  </si>
  <si>
    <t>Capital City Mall|Zumiez</t>
  </si>
  <si>
    <t>Abuelo's</t>
  </si>
  <si>
    <t>Coastal Grand Mall|Abuelo's</t>
  </si>
  <si>
    <t>Coastal Grand Mall|American Eagle Outfitters</t>
  </si>
  <si>
    <t>Andy Owings Music</t>
  </si>
  <si>
    <t>Coastal Grand Mall|Andy Owings Music</t>
  </si>
  <si>
    <t>Armed Forces Career Center</t>
  </si>
  <si>
    <t>Coastal Grand Mall|Armed Forces Career Center</t>
  </si>
  <si>
    <t>Coastal Grand Mall|Auntie Annes</t>
  </si>
  <si>
    <t>Coastal Grand Mall|Avis Budget Car Rental</t>
  </si>
  <si>
    <t>Banter by Piercing Pagoda</t>
  </si>
  <si>
    <t>Coastal Grand Mall|Banter by Piercing Pagoda</t>
  </si>
  <si>
    <t>Coastal Grand Mall|Bath &amp; Body Works</t>
  </si>
  <si>
    <t>Coastal Grand Mall|Belk</t>
  </si>
  <si>
    <t>Bitcoin Depot</t>
  </si>
  <si>
    <t>Coastal Grand Mall|Bitcoin Depot</t>
  </si>
  <si>
    <t>Coastal Grand Mall|Books-A-Million</t>
  </si>
  <si>
    <t>Coastal Grand Mall|Box Lunch</t>
  </si>
  <si>
    <t>Coastal Grand Mall|Buckle</t>
  </si>
  <si>
    <t>Burroughs &amp; Chapin</t>
  </si>
  <si>
    <t>Coastal Grand Mall|Burroughs &amp; Chapin</t>
  </si>
  <si>
    <t>Coastal Grand Mall|Champs Sports</t>
  </si>
  <si>
    <t>Coastal Grand Mall|Charley's Philly Steaks</t>
  </si>
  <si>
    <t>Coastal Grand Mall|Charlotte Russe</t>
  </si>
  <si>
    <t>Coastal Grand Mall|Chick-Fil-A</t>
  </si>
  <si>
    <t>China Experience</t>
  </si>
  <si>
    <t>Coastal Grand Mall|China Experience</t>
  </si>
  <si>
    <t>Chuck Wagon</t>
  </si>
  <si>
    <t>Coastal Grand Mall|Chuck Wagon</t>
  </si>
  <si>
    <t>Coastal Grand Mall|Cinemark</t>
  </si>
  <si>
    <t>Coastal Grand Mall|Cinnabon</t>
  </si>
  <si>
    <t>Coastal Grand Mall|Claire's</t>
  </si>
  <si>
    <t>Cracker Barrel Old Country Store</t>
  </si>
  <si>
    <t>Coastal Grand Mall|Cracker Barrel Old Country Store</t>
  </si>
  <si>
    <t>Crunch Fitness</t>
  </si>
  <si>
    <t>Coastal Grand Mall|Crunch Fitness</t>
  </si>
  <si>
    <t>Customize Teez</t>
  </si>
  <si>
    <t>Coastal Grand Mall|Customize Teez</t>
  </si>
  <si>
    <t>Coastal Grand Mall|Dick's Sporting Goods</t>
  </si>
  <si>
    <t>Coastal Grand Mall|Dillard's</t>
  </si>
  <si>
    <t>Coastal Grand Mall|DTLR</t>
  </si>
  <si>
    <t>Coastal Grand Mall|Earthbound Trading Company</t>
  </si>
  <si>
    <t>Coastal Grand Mall|Express</t>
  </si>
  <si>
    <t>Coastal Grand Mall|Finish Line</t>
  </si>
  <si>
    <t>Five Below</t>
  </si>
  <si>
    <t>Coastal Grand Mall|Five Below</t>
  </si>
  <si>
    <t>Coastal Grand Mall|Foot Locker</t>
  </si>
  <si>
    <t>Coastal Grand Mall|GameStop</t>
  </si>
  <si>
    <t>Glamour Nails</t>
  </si>
  <si>
    <t>Coastal Grand Mall|Glamour Nails</t>
  </si>
  <si>
    <t>Coastal Grand Mall|GNC</t>
  </si>
  <si>
    <t>Coastal Grand Mall|H&amp;M</t>
  </si>
  <si>
    <t>Hilton Garden Inn</t>
  </si>
  <si>
    <t>Coastal Grand Mall|Hilton Garden Inn</t>
  </si>
  <si>
    <t>Coastal Grand Mall|Hollister</t>
  </si>
  <si>
    <t>Homewood Suites By Hilton</t>
  </si>
  <si>
    <t>Coastal Grand Mall|Homewood Suites By Hilton</t>
  </si>
  <si>
    <t>Coastal Grand Mall|Hot Topic</t>
  </si>
  <si>
    <t>iFix</t>
  </si>
  <si>
    <t>Coastal Grand Mall|iFix</t>
  </si>
  <si>
    <t>Infinity Jewelers</t>
  </si>
  <si>
    <t>Coastal Grand Mall|Infinity Jewelers</t>
  </si>
  <si>
    <t>Coastal Grand Mall|J.C. Penney</t>
  </si>
  <si>
    <t>Coastal Grand Mall|Journeys</t>
  </si>
  <si>
    <t>Coastal Grand Mall|Journeys Kidz</t>
  </si>
  <si>
    <t>Coastal Grand Mall|Kay Jewelers</t>
  </si>
  <si>
    <t>Korset</t>
  </si>
  <si>
    <t>Coastal Grand Mall|Korset</t>
  </si>
  <si>
    <t>La-Z-Boy</t>
  </si>
  <si>
    <t>Coastal Grand Mall|La-Z-Boy</t>
  </si>
  <si>
    <t>Coastal Grand Mall|Lenscrafters</t>
  </si>
  <si>
    <t>Coastal Grand Mall|Lids</t>
  </si>
  <si>
    <t>Lil' Tokyo Steak House &amp; Sushi</t>
  </si>
  <si>
    <t>Coastal Grand Mall|Lil' Tokyo Steak House &amp; Sushi</t>
  </si>
  <si>
    <t>Coastal Grand Mall|Loft</t>
  </si>
  <si>
    <t>Coastal Grand Mall|Lovisa</t>
  </si>
  <si>
    <t>Coastal Grand Mall|Men's Wearhouse</t>
  </si>
  <si>
    <t>Coastal Grand Mall|Miniso</t>
  </si>
  <si>
    <t>Mobile Saver Station</t>
  </si>
  <si>
    <t>Coastal Grand Mall|Mobile Saver Station</t>
  </si>
  <si>
    <t>Ocean Jewels</t>
  </si>
  <si>
    <t>Coastal Grand Mall|Ocean Jewels</t>
  </si>
  <si>
    <t>Coastal Grand Mall|Old Navy</t>
  </si>
  <si>
    <t>Coastal Grand Mall|Pacific Sunwear</t>
  </si>
  <si>
    <t>Palmetto Moon</t>
  </si>
  <si>
    <t>Coastal Grand Mall|Palmetto Moon</t>
  </si>
  <si>
    <t>Coastal Grand Mall|Pandora</t>
  </si>
  <si>
    <t>Quick Fix</t>
  </si>
  <si>
    <t>Coastal Grand Mall|Quick Fix</t>
  </si>
  <si>
    <t>Coastal Grand Mall|Rack Room Shoes</t>
  </si>
  <si>
    <t>Red Lobster</t>
  </si>
  <si>
    <t>Coastal Grand Mall|Red Lobster</t>
  </si>
  <si>
    <t>Coastal Grand Mall|Red Robin Gourmet Burgers</t>
  </si>
  <si>
    <t>Coastal Grand Mall|Reeds Jewelers</t>
  </si>
  <si>
    <t>Rooms To Go</t>
  </si>
  <si>
    <t>Coastal Grand Mall|Rooms To Go</t>
  </si>
  <si>
    <t>Coastal Grand Mall|Rue21</t>
  </si>
  <si>
    <t>Coastal Grand Mall|Sbarro The Italian Eatery</t>
  </si>
  <si>
    <t>Coastal Grand Mall|Sears</t>
  </si>
  <si>
    <t>Coastal Grand Mall|Shoe Department/Encore</t>
  </si>
  <si>
    <t>Simply Southern</t>
  </si>
  <si>
    <t>Coastal Grand Mall|Simply Southern</t>
  </si>
  <si>
    <t>Coastal Grand Mall|Sleep Number</t>
  </si>
  <si>
    <t>Snipes</t>
  </si>
  <si>
    <t>Coastal Grand Mall|Snipes</t>
  </si>
  <si>
    <t>Coastal Grand Mall|Spencer Gifts</t>
  </si>
  <si>
    <t>Star Nails</t>
  </si>
  <si>
    <t>Coastal Grand Mall|Star Nails</t>
  </si>
  <si>
    <t>Coastal Grand Mall|Starbucks Coffee</t>
  </si>
  <si>
    <t>Stars &amp; Strikes Family Entertainment Center</t>
  </si>
  <si>
    <t>Coastal Grand Mall|Stars &amp; Strikes Family Entertainment Center</t>
  </si>
  <si>
    <t>Coastal Grand Mall|Sunglass Hut</t>
  </si>
  <si>
    <t>Sydney Surf Company</t>
  </si>
  <si>
    <t>Coastal Grand Mall|Sydney Surf Company</t>
  </si>
  <si>
    <t>T Mobile</t>
  </si>
  <si>
    <t>Coastal Grand Mall|T Mobile</t>
  </si>
  <si>
    <t>Tai Chi</t>
  </si>
  <si>
    <t>Coastal Grand Mall|Tai Chi</t>
  </si>
  <si>
    <t>Texas Roadhouse</t>
  </si>
  <si>
    <t>Coastal Grand Mall|Texas Roadhouse</t>
  </si>
  <si>
    <t>Coastal Grand Mall|The Childrens Place</t>
  </si>
  <si>
    <t>The Crazy Mason Milkshake Bar</t>
  </si>
  <si>
    <t>Coastal Grand Mall|The Crazy Mason Milkshake Bar</t>
  </si>
  <si>
    <t>Toy Island</t>
  </si>
  <si>
    <t>Coastal Grand Mall|Toy Island</t>
  </si>
  <si>
    <t>Coastal Grand Mall|Tradehome Shoes</t>
  </si>
  <si>
    <t>Coastal Grand Mall|Ulta Beauty</t>
  </si>
  <si>
    <t>Versona</t>
  </si>
  <si>
    <t>Coastal Grand Mall|Versona</t>
  </si>
  <si>
    <t>Coastal Grand Mall|Victorias Secret</t>
  </si>
  <si>
    <t>Coastal Grand Mall|Visionworks</t>
  </si>
  <si>
    <t>Wasteless Solutions</t>
  </si>
  <si>
    <t>Coastal Grand Mall|Wasteless Solutions</t>
  </si>
  <si>
    <t>Coastal Grand Mall|Windsor</t>
  </si>
  <si>
    <t>Wings Co.</t>
  </si>
  <si>
    <t>Coastal Grand Mall|Wings Co.</t>
  </si>
  <si>
    <t>Coastal Grand Mall|Yankee Candle</t>
  </si>
  <si>
    <t>Yihi Japan</t>
  </si>
  <si>
    <t>Coastal Grand Mall|Yihi Japan</t>
  </si>
  <si>
    <t>Coastal Grand Mall|Zales Jewelers</t>
  </si>
  <si>
    <t>Coastal Grand Mall|Zumiez</t>
  </si>
  <si>
    <t>96 Kickz</t>
  </si>
  <si>
    <t>CoolSprings Galleria|96 Kickz</t>
  </si>
  <si>
    <t>CoolSprings Galleria|Aerie</t>
  </si>
  <si>
    <t>CoolSprings Galleria|Aeropostale</t>
  </si>
  <si>
    <t>CoolSprings Galleria|Altar'd State</t>
  </si>
  <si>
    <t>CoolSprings Galleria|American Eagle Outfitters</t>
  </si>
  <si>
    <t>American Girl</t>
  </si>
  <si>
    <t>CoolSprings Galleria|American Girl</t>
  </si>
  <si>
    <t>CoolSprings Galleria|Ann Taylor</t>
  </si>
  <si>
    <t>CoolSprings Galleria|Apple</t>
  </si>
  <si>
    <t>CoolSprings Galleria|Auntie Annes</t>
  </si>
  <si>
    <t>CoolSprings Galleria|Banter by Piercing Pagoda</t>
  </si>
  <si>
    <t>CoolSprings Galleria|Barnes &amp; Noble</t>
  </si>
  <si>
    <t>CoolSprings Galleria|Bath &amp; Body Works</t>
  </si>
  <si>
    <t>CoolSprings Galleria|Belk</t>
  </si>
  <si>
    <t>CoolSprings Galleria|Bitcoin Depot</t>
  </si>
  <si>
    <t>CoolSprings Galleria|Box Lunch</t>
  </si>
  <si>
    <t>Brow and Spa</t>
  </si>
  <si>
    <t>CoolSprings Galleria|Brow and Spa</t>
  </si>
  <si>
    <t>CoolSprings Galleria|Buckle</t>
  </si>
  <si>
    <t>CoolSprings Galleria|Build-A-Bear Workshop</t>
  </si>
  <si>
    <t>CoolSprings Galleria|California Pizza Kitchen</t>
  </si>
  <si>
    <t>Candy Craze</t>
  </si>
  <si>
    <t>CoolSprings Galleria|Candy Craze</t>
  </si>
  <si>
    <t>CoolSprings Galleria|Casper</t>
  </si>
  <si>
    <t>CellXpert</t>
  </si>
  <si>
    <t>CoolSprings Galleria|CellXpert</t>
  </si>
  <si>
    <t>CoolSprings Galleria|Champs Sports</t>
  </si>
  <si>
    <t>CoolSprings Galleria|Charley's Philly Steaks</t>
  </si>
  <si>
    <t>CoolSprings Galleria|Charlotte Russe</t>
  </si>
  <si>
    <t>CoolSprings Galleria|Chick-Fil-A</t>
  </si>
  <si>
    <t>CoolSprings Galleria|China Experience</t>
  </si>
  <si>
    <t>CoolSprings Galleria|Claire's</t>
  </si>
  <si>
    <t>Club Champion</t>
  </si>
  <si>
    <t>CoolSprings Galleria|Club Champion</t>
  </si>
  <si>
    <t>College Station</t>
  </si>
  <si>
    <t>CoolSprings Galleria|College Station</t>
  </si>
  <si>
    <t>CoolSprings Galleria|Connor's Steak &amp; Seafood</t>
  </si>
  <si>
    <t>CoolSprings Galleria|Cotton On</t>
  </si>
  <si>
    <t>Cotton On Kids</t>
  </si>
  <si>
    <t>CoolSprings Galleria|Cotton On Kids</t>
  </si>
  <si>
    <t>Dakota Watch Company</t>
  </si>
  <si>
    <t>CoolSprings Galleria|Dakota Watch Company</t>
  </si>
  <si>
    <t>CoolSprings Galleria|Dillard's</t>
  </si>
  <si>
    <t>CoolSprings Galleria|Dry Goods</t>
  </si>
  <si>
    <t>Electrify America</t>
  </si>
  <si>
    <t>CoolSprings Galleria|Electrify America</t>
  </si>
  <si>
    <t>CoolSprings Galleria|Express</t>
  </si>
  <si>
    <t>CoolSprings Galleria|Fast-Fix Jewelry And Watch Repair</t>
  </si>
  <si>
    <t>CoolSprings Galleria|Foot Locker</t>
  </si>
  <si>
    <t>CoolSprings Galleria|Francesca's</t>
  </si>
  <si>
    <t>CoolSprings Galleria|GameStop</t>
  </si>
  <si>
    <t>CoolSprings Galleria|Garage</t>
  </si>
  <si>
    <t>Granite Telecommunications</t>
  </si>
  <si>
    <t>CoolSprings Galleria|Granite Telecommunications</t>
  </si>
  <si>
    <t>CoolSprings Galleria|Great American Cookies</t>
  </si>
  <si>
    <t>CoolSprings Galleria|H&amp;M</t>
  </si>
  <si>
    <t>CoolSprings Galleria|Hallmark</t>
  </si>
  <si>
    <t>Happy Backyards</t>
  </si>
  <si>
    <t>CoolSprings Galleria|Happy Backyards</t>
  </si>
  <si>
    <t>CoolSprings Galleria|Hollister</t>
  </si>
  <si>
    <t>CoolSprings Galleria|Hot Topic</t>
  </si>
  <si>
    <t>iFLY</t>
  </si>
  <si>
    <t>CoolSprings Galleria|iFLY</t>
  </si>
  <si>
    <t>CoolSprings Galleria|J. Jill</t>
  </si>
  <si>
    <t>CoolSprings Galleria|J.C. Penney</t>
  </si>
  <si>
    <t>CoolSprings Galleria|Janie &amp; Jack</t>
  </si>
  <si>
    <t>CoolSprings Galleria|JD Sports</t>
  </si>
  <si>
    <t>CoolSprings Galleria|Johnston &amp; Murphy</t>
  </si>
  <si>
    <t>CoolSprings Galleria|Jos A. Bank</t>
  </si>
  <si>
    <t>CoolSprings Galleria|Journeys</t>
  </si>
  <si>
    <t>CoolSprings Galleria|Journeys Kidz</t>
  </si>
  <si>
    <t>CoolSprings Galleria|Kay Jewelers</t>
  </si>
  <si>
    <t>Kings Bowl</t>
  </si>
  <si>
    <t>CoolSprings Galleria|Kings Bowl</t>
  </si>
  <si>
    <t>CoolSprings Galleria|Le Macaron</t>
  </si>
  <si>
    <t>CoolSprings Galleria|LEGO</t>
  </si>
  <si>
    <t>CoolSprings Galleria|Lenscrafters</t>
  </si>
  <si>
    <t>CoolSprings Galleria|Lids</t>
  </si>
  <si>
    <t>CoolSprings Galleria|LoveSac</t>
  </si>
  <si>
    <t>CoolSprings Galleria|Lovisa</t>
  </si>
  <si>
    <t>Luis Barber Classic Barbershop</t>
  </si>
  <si>
    <t>CoolSprings Galleria|Luis Barber Classic Barbershop</t>
  </si>
  <si>
    <t>CoolSprings Galleria|Macys</t>
  </si>
  <si>
    <t>CoolSprings Galleria|Magnolia Soap</t>
  </si>
  <si>
    <t>CoolSprings Galleria|Men's Wearhouse</t>
  </si>
  <si>
    <t>Mercedes-Benz HPC North America</t>
  </si>
  <si>
    <t>CoolSprings Galleria|Mercedes-Benz HPC North America</t>
  </si>
  <si>
    <t>CoolSprings Galleria|Miniso</t>
  </si>
  <si>
    <t>Miss A</t>
  </si>
  <si>
    <t>CoolSprings Galleria|Miss A</t>
  </si>
  <si>
    <t>Mobile Fix</t>
  </si>
  <si>
    <t>CoolSprings Galleria|Mobile Fix</t>
  </si>
  <si>
    <t>Mountain High Outfitters</t>
  </si>
  <si>
    <t>CoolSprings Galleria|Mountain High Outfitters</t>
  </si>
  <si>
    <t>Mr. Crepe</t>
  </si>
  <si>
    <t>CoolSprings Galleria|Mr. Crepe</t>
  </si>
  <si>
    <t>Ninety Nine Boutique</t>
  </si>
  <si>
    <t>CoolSprings Galleria|Ninety Nine Boutique</t>
  </si>
  <si>
    <t>CoolSprings Galleria|Nori Japan</t>
  </si>
  <si>
    <t>CoolSprings Galleria|Oakley</t>
  </si>
  <si>
    <t>Offline by Aerie</t>
  </si>
  <si>
    <t>CoolSprings Galleria|Offline by Aerie</t>
  </si>
  <si>
    <t>Outfront Media</t>
  </si>
  <si>
    <t>CoolSprings Galleria|Outfront Media</t>
  </si>
  <si>
    <t>CoolSprings Galleria|Pacific Sunwear</t>
  </si>
  <si>
    <t>CoolSprings Galleria|Palmetto Moon</t>
  </si>
  <si>
    <t>CoolSprings Galleria|Pandora</t>
  </si>
  <si>
    <t>Parker Shoes</t>
  </si>
  <si>
    <t>CoolSprings Galleria|Parker Shoes</t>
  </si>
  <si>
    <t>Perfumania</t>
  </si>
  <si>
    <t>CoolSprings Galleria|Perfumania</t>
  </si>
  <si>
    <t>CoolSprings Galleria|Popeyes Louisiana Kitchen</t>
  </si>
  <si>
    <t>CoolSprings Galleria|Pottery Barn</t>
  </si>
  <si>
    <t>Primark</t>
  </si>
  <si>
    <t>CoolSprings Galleria|Primark</t>
  </si>
  <si>
    <t>Puffy Cotton Candy</t>
  </si>
  <si>
    <t>CoolSprings Galleria|Puffy Cotton Candy</t>
  </si>
  <si>
    <t>CoolSprings Galleria|Rack Room Shoes</t>
  </si>
  <si>
    <t>Rose &amp; Remington</t>
  </si>
  <si>
    <t>CoolSprings Galleria|Rose &amp; Remington</t>
  </si>
  <si>
    <t>CoolSprings Galleria|Sbarro The Italian Eatery</t>
  </si>
  <si>
    <t>CoolSprings Galleria|Sephora</t>
  </si>
  <si>
    <t>Shady Rays</t>
  </si>
  <si>
    <t>CoolSprings Galleria|Shady Rays</t>
  </si>
  <si>
    <t>CoolSprings Galleria|Soma Intimates</t>
  </si>
  <si>
    <t>CoolSprings Galleria|Spencer Gifts</t>
  </si>
  <si>
    <t>Stacked by Pancake Pantry</t>
  </si>
  <si>
    <t>CoolSprings Galleria|Stacked by Pancake Pantry</t>
  </si>
  <si>
    <t>CoolSprings Galleria|Starbucks Coffee</t>
  </si>
  <si>
    <t>CoolSprings Galleria|Subway</t>
  </si>
  <si>
    <t>CoolSprings Galleria|Sunglass Hut</t>
  </si>
  <si>
    <t>CoolSprings Galleria|Talbots</t>
  </si>
  <si>
    <t>Thai Samurai</t>
  </si>
  <si>
    <t>CoolSprings Galleria|Thai Samurai</t>
  </si>
  <si>
    <t>CoolSprings Galleria|The Cheesecake Factory</t>
  </si>
  <si>
    <t>CoolSprings Galleria|The Childrens Place</t>
  </si>
  <si>
    <t>The Normal Brand</t>
  </si>
  <si>
    <t>CoolSprings Galleria|The Normal Brand</t>
  </si>
  <si>
    <t>The Pyramid Cafe'</t>
  </si>
  <si>
    <t>CoolSprings Galleria|The Pyramid Cafe'</t>
  </si>
  <si>
    <t>The Sweet Stop</t>
  </si>
  <si>
    <t>CoolSprings Galleria|The Sweet Stop</t>
  </si>
  <si>
    <t>CoolSprings Galleria|Tillys</t>
  </si>
  <si>
    <t>CoolSprings Galleria|Torrid</t>
  </si>
  <si>
    <t>Town Place Suites</t>
  </si>
  <si>
    <t>CoolSprings Galleria|Town Place Suites</t>
  </si>
  <si>
    <t>CoolSprings Galleria|Tradehome Shoes</t>
  </si>
  <si>
    <t>CoolSprings Galleria|Ulta Beauty</t>
  </si>
  <si>
    <t>CoolSprings Galleria|Victorias Secret</t>
  </si>
  <si>
    <t>CoolSprings Galleria|Visionworks</t>
  </si>
  <si>
    <t>CoolSprings Galleria|Wasteless Solutions</t>
  </si>
  <si>
    <t>CoolSprings Galleria|Wetzels Pretzels</t>
  </si>
  <si>
    <t>CoolSprings Galleria|White House | Black Market</t>
  </si>
  <si>
    <t>CoolSprings Galleria|Williams Sonoma</t>
  </si>
  <si>
    <t>CoolSprings Galleria|Windsor</t>
  </si>
  <si>
    <t>CoolSprings Galleria|Yankee Candle</t>
  </si>
  <si>
    <t>CoolSprings Galleria|Zales Jewelers</t>
  </si>
  <si>
    <t>Zoomaroo</t>
  </si>
  <si>
    <t>CoolSprings Galleria|Zoomaroo</t>
  </si>
  <si>
    <t>CoolSprings Galleria|Zumiez</t>
  </si>
  <si>
    <t>Crabtree Valley Mall|Abercrombie &amp; Fitch</t>
  </si>
  <si>
    <t>Crabtree Valley Mall|Aerie</t>
  </si>
  <si>
    <t>Crabtree Valley Mall|Aeropostale</t>
  </si>
  <si>
    <t>Crabtree Valley Mall|Aldo</t>
  </si>
  <si>
    <t>Allen Edmonds</t>
  </si>
  <si>
    <t>Crabtree Valley Mall|Allen Edmonds</t>
  </si>
  <si>
    <t>Crabtree Valley Mall|American Eagle Outfitters</t>
  </si>
  <si>
    <t>Crabtree Valley Mall|Ann Taylor</t>
  </si>
  <si>
    <t>Crabtree Valley Mall|Ann Taylor Loft</t>
  </si>
  <si>
    <t>Crabtree Valley Mall|Apple</t>
  </si>
  <si>
    <t>Crabtree Valley Mall|Athleta</t>
  </si>
  <si>
    <t>Crabtree Valley Mall|Auntie Annes</t>
  </si>
  <si>
    <t>Crabtree Valley Mall|Avis Budget Car Rental</t>
  </si>
  <si>
    <t>Baileys Fine Jewelry</t>
  </si>
  <si>
    <t>Crabtree Valley Mall|Baileys Fine Jewelry</t>
  </si>
  <si>
    <t>Crabtree Valley Mall|Banana Republic</t>
  </si>
  <si>
    <t>Crabtree Valley Mall|Banter By Piercing Pagoda</t>
  </si>
  <si>
    <t>Crabtree Valley Mall|Barnes &amp; Noble</t>
  </si>
  <si>
    <t>Crabtree Valley Mall|Bath &amp; Body Works</t>
  </si>
  <si>
    <t>Crabtree Valley Mall|Belk</t>
  </si>
  <si>
    <t>Crabtree Valley Mall|Best Buy</t>
  </si>
  <si>
    <t>Bourbon Street Kitchen</t>
  </si>
  <si>
    <t>Crabtree Valley Mall|Bourbon Street Kitchen</t>
  </si>
  <si>
    <t>Brooks Brothers</t>
  </si>
  <si>
    <t>Crabtree Valley Mall|Brooks Brothers</t>
  </si>
  <si>
    <t>Crabtree Valley Mall|Buckle</t>
  </si>
  <si>
    <t>Crabtree Valley Mall|Build-A-Bear Workshop</t>
  </si>
  <si>
    <t>Crabtree Valley Mall|Champs Sports</t>
  </si>
  <si>
    <t>Crabtree Valley Mall|Chick-Fil-A</t>
  </si>
  <si>
    <t>Crabtree Valley Mall|Chico's</t>
  </si>
  <si>
    <t>Crabtree Valley Mall|Cinnabon</t>
  </si>
  <si>
    <t>Crabtree Valley Mall|Claire's</t>
  </si>
  <si>
    <t>Crabtree Valley Mall|Clarks</t>
  </si>
  <si>
    <t>Coastal Federal Credit Union</t>
  </si>
  <si>
    <t>Crabtree Valley Mall|Coastal Federal Credit Union</t>
  </si>
  <si>
    <t>Courtside Kicks</t>
  </si>
  <si>
    <t>Crabtree Valley Mall|Courtside Kicks</t>
  </si>
  <si>
    <t>Crabtree Ale House</t>
  </si>
  <si>
    <t>Crabtree Valley Mall|Crabtree Ale House</t>
  </si>
  <si>
    <t>Crabtree Jewelers</t>
  </si>
  <si>
    <t>Crabtree Valley Mall|Crabtree Jewelers</t>
  </si>
  <si>
    <t>Crabtree Valley Mall|Crocs</t>
  </si>
  <si>
    <t>Dippin Dots</t>
  </si>
  <si>
    <t>Crabtree Valley Mall|Dippin Dots</t>
  </si>
  <si>
    <t>Crabtree Valley Mall|Dry Goods</t>
  </si>
  <si>
    <t>Crabtree Valley Mall|Express</t>
  </si>
  <si>
    <t>Eyecarecenter</t>
  </si>
  <si>
    <t>Crabtree Valley Mall|Eyecarecenter</t>
  </si>
  <si>
    <t>Crabtree Valley Mall|Fast-Fix Jewelry And Watch Repair</t>
  </si>
  <si>
    <t>Flemings Steakhouse</t>
  </si>
  <si>
    <t>Crabtree Valley Mall|Flemings Steakhouse</t>
  </si>
  <si>
    <t>Crabtree Valley Mall|Francesca's</t>
  </si>
  <si>
    <t>Crabtree Valley Mall|GameStop</t>
  </si>
  <si>
    <t>Gap</t>
  </si>
  <si>
    <t>Crabtree Valley Mall|Gap</t>
  </si>
  <si>
    <t>Greek Cuisine</t>
  </si>
  <si>
    <t>Crabtree Valley Mall|Greek Cuisine</t>
  </si>
  <si>
    <t>Crabtree Valley Mall|H&amp;M</t>
  </si>
  <si>
    <t>Crabtree Valley Mall|Haagen-Dazs</t>
  </si>
  <si>
    <t>Crabtree Valley Mall|Hollister</t>
  </si>
  <si>
    <t>Crabtree Valley Mall|J. Jill</t>
  </si>
  <si>
    <t>Crabtree Valley Mall|Johnston &amp; Murphy</t>
  </si>
  <si>
    <t>Crabtree Valley Mall|Journeys</t>
  </si>
  <si>
    <t>Crabtree Valley Mall|Journeys Kidz</t>
  </si>
  <si>
    <t>Crabtree Valley Mall|Kay Jewelers</t>
  </si>
  <si>
    <t>La Rancherita</t>
  </si>
  <si>
    <t>Crabtree Valley Mall|La Rancherita</t>
  </si>
  <si>
    <t>Crabtree Valley Mall|LEGO</t>
  </si>
  <si>
    <t>Crabtree Valley Mall|Lenscrafters</t>
  </si>
  <si>
    <t>Crabtree Valley Mall|Lids</t>
  </si>
  <si>
    <t>Crabtree Valley Mall|LoveSac</t>
  </si>
  <si>
    <t>Crabtree Valley Mall|Lovisa</t>
  </si>
  <si>
    <t>Luciano</t>
  </si>
  <si>
    <t>Crabtree Valley Mall|Luciano</t>
  </si>
  <si>
    <t>Crabtree Valley Mall|Lululemon</t>
  </si>
  <si>
    <t>Crabtree Valley Mall|Lush Fresh Handmade Cosmetics</t>
  </si>
  <si>
    <t>Lyons General Store</t>
  </si>
  <si>
    <t>Crabtree Valley Mall|Lyons General Store</t>
  </si>
  <si>
    <t>Crabtree Valley Mall|Macys</t>
  </si>
  <si>
    <t>Crabtree Valley Mall|Miniso</t>
  </si>
  <si>
    <t>Crabtree Valley Mall|Oakley</t>
  </si>
  <si>
    <t>Offline By Aerie</t>
  </si>
  <si>
    <t>Crabtree Valley Mall|Offline By Aerie</t>
  </si>
  <si>
    <t>Crabtree Valley Mall|Old Navy</t>
  </si>
  <si>
    <t>Crabtree Valley Mall|P.F. Changs</t>
  </si>
  <si>
    <t>Crabtree Valley Mall|Pacific Sunwear</t>
  </si>
  <si>
    <t>Crabtree Valley Mall|Pandora</t>
  </si>
  <si>
    <t>Pandyanad</t>
  </si>
  <si>
    <t>Crabtree Valley Mall|Pandyanad</t>
  </si>
  <si>
    <t>Perfume World</t>
  </si>
  <si>
    <t>Crabtree Valley Mall|Perfume World</t>
  </si>
  <si>
    <t>Crabtree Valley Mall|Rack Room Shoes</t>
  </si>
  <si>
    <t>Crabtree Valley Mall|Reeds Jewelers</t>
  </si>
  <si>
    <t>Crabtree Valley Mall|Sephora</t>
  </si>
  <si>
    <t>Crabtree Valley Mall|Sleep Number</t>
  </si>
  <si>
    <t>Sole Mio</t>
  </si>
  <si>
    <t>Crabtree Valley Mall|Sole Mio</t>
  </si>
  <si>
    <t>Crabtree Valley Mall|Soma Intimates</t>
  </si>
  <si>
    <t>Crabtree Valley Mall|Spencer Gifts</t>
  </si>
  <si>
    <t>Sportsmania</t>
  </si>
  <si>
    <t>Crabtree Valley Mall|Sportsmania</t>
  </si>
  <si>
    <t>Crabtree Valley Mall|Starbucks Coffee</t>
  </si>
  <si>
    <t>Crabtree Valley Mall|Sunglass Hut</t>
  </si>
  <si>
    <t>The B12 Store</t>
  </si>
  <si>
    <t>Crabtree Valley Mall|The B12 Store</t>
  </si>
  <si>
    <t>Crabtree Valley Mall|The Cheesecake Factory</t>
  </si>
  <si>
    <t>Crabtree Valley Mall|The Childrens Place</t>
  </si>
  <si>
    <t>Crabtree Valley Mall|The North Face</t>
  </si>
  <si>
    <t>Crabtree Valley Mall|T-Mobile</t>
  </si>
  <si>
    <t>Tommy Bahama</t>
  </si>
  <si>
    <t>Crabtree Valley Mall|Tommy Bahama</t>
  </si>
  <si>
    <t>Treasure Isle</t>
  </si>
  <si>
    <t>Crabtree Valley Mall|Treasure Isle</t>
  </si>
  <si>
    <t>Crabtree Valley Mall|Vans</t>
  </si>
  <si>
    <t>Crabtree Valley Mall|Verizon Wireless</t>
  </si>
  <si>
    <t>Vestique</t>
  </si>
  <si>
    <t>Crabtree Valley Mall|Vestique</t>
  </si>
  <si>
    <t>Crabtree Valley Mall|Victorias Secret</t>
  </si>
  <si>
    <t>Vip Formal Wear</t>
  </si>
  <si>
    <t>Crabtree Valley Mall|Vip Formal Wear</t>
  </si>
  <si>
    <t>Crabtree Valley Mall|White House | Black Market</t>
  </si>
  <si>
    <t>Crabtree Valley Mall|Windsor</t>
  </si>
  <si>
    <t>Crabtree Valley Mall|Yankee Candle</t>
  </si>
  <si>
    <t>Crabtree Valley Mall|Zales Jewelers</t>
  </si>
  <si>
    <t>Crabtree Valley Mall|Zumiez</t>
  </si>
  <si>
    <t>Cross Creek Mall|Aeropostale</t>
  </si>
  <si>
    <t>Cross Creek Mall|Aldo</t>
  </si>
  <si>
    <t>All American Pizzeria</t>
  </si>
  <si>
    <t>Cross Creek Mall|All American Pizzeria</t>
  </si>
  <si>
    <t>Cross Creek Mall|American Eagle Outfitters</t>
  </si>
  <si>
    <t>Cross Creek Mall|AT&amp;T</t>
  </si>
  <si>
    <t>Cross Creek Mall|Auntie Annes</t>
  </si>
  <si>
    <t>Cross Creek Mall|Bahama Breeze</t>
  </si>
  <si>
    <t>Cross Creek Mall|Bank of America</t>
  </si>
  <si>
    <t>Cross Creek Mall|Banter by Piercing Pagoda</t>
  </si>
  <si>
    <t>Cross Creek Mall|Bath &amp; Body Works</t>
  </si>
  <si>
    <t>Cross Creek Mall|Belk</t>
  </si>
  <si>
    <t>Cross Creek Mall|Box Lunch</t>
  </si>
  <si>
    <t>Cross Creek Mall|Buckle</t>
  </si>
  <si>
    <t>Cross Creek Mall|Build-A-Bear Workshop</t>
  </si>
  <si>
    <t>Cross Creek Mall|Cava Grill</t>
  </si>
  <si>
    <t>Cellular Tech &amp; Repair</t>
  </si>
  <si>
    <t>Cross Creek Mall|Cellular Tech &amp; Repair</t>
  </si>
  <si>
    <t>Cross Creek Mall|Champs Sports</t>
  </si>
  <si>
    <t>Cross Creek Mall|Charlotte Russe</t>
  </si>
  <si>
    <t>Cross Creek Mall|Cinnabon</t>
  </si>
  <si>
    <t>City Freedom Wireless</t>
  </si>
  <si>
    <t>Cross Creek Mall|City Freedom Wireless</t>
  </si>
  <si>
    <t>Cross Creek Mall|Claire's</t>
  </si>
  <si>
    <t>Cross Creek Convenience 2</t>
  </si>
  <si>
    <t>Cross Creek Mall|Cross Creek Convenience 2</t>
  </si>
  <si>
    <t>Denimation</t>
  </si>
  <si>
    <t>Cross Creek Mall|Denimation</t>
  </si>
  <si>
    <t>Diamond District</t>
  </si>
  <si>
    <t>Cross Creek Mall|Diamond District</t>
  </si>
  <si>
    <t>Cross Creek Mall|DTLR</t>
  </si>
  <si>
    <t>Cross Creek Mall|Express</t>
  </si>
  <si>
    <t>Feah Brows Beauty</t>
  </si>
  <si>
    <t>Cross Creek Mall|Feah Brows Beauty</t>
  </si>
  <si>
    <t>Cross Creek Mall|Finish Line</t>
  </si>
  <si>
    <t>Flashlight Barber Shop</t>
  </si>
  <si>
    <t>Cross Creek Mall|Flashlight Barber Shop</t>
  </si>
  <si>
    <t>Cross Creek Mall|Foot Locker</t>
  </si>
  <si>
    <t>Gold Italia</t>
  </si>
  <si>
    <t>Cross Creek Mall|Gold Italia</t>
  </si>
  <si>
    <t>Cross Creek Mall|Great American Cookies</t>
  </si>
  <si>
    <t>Great Steak &amp; Potato</t>
  </si>
  <si>
    <t>Cross Creek Mall|Great Steak &amp; Potato</t>
  </si>
  <si>
    <t>Cross Creek Mall|H&amp;M</t>
  </si>
  <si>
    <t>Cross Creek Mall|Helzberg Diamonds</t>
  </si>
  <si>
    <t>Cross Creek Mall|Hot Topic</t>
  </si>
  <si>
    <t>Cross Creek Mall|J.C. Penney</t>
  </si>
  <si>
    <t>Cross Creek Mall|Journeys</t>
  </si>
  <si>
    <t>Cross Creek Mall|Journeys Kidz</t>
  </si>
  <si>
    <t>Cross Creek Mall|Kay Jewelers</t>
  </si>
  <si>
    <t>Cross Creek Mall|Kids Foot Locker</t>
  </si>
  <si>
    <t>KPot Korean BBQ</t>
  </si>
  <si>
    <t>Cross Creek Mall|KPot Korean BBQ</t>
  </si>
  <si>
    <t>Lane Bryant</t>
  </si>
  <si>
    <t>Cross Creek Mall|Lane Bryant</t>
  </si>
  <si>
    <t>Lee Nails</t>
  </si>
  <si>
    <t>Cross Creek Mall|Lee Nails</t>
  </si>
  <si>
    <t>Cross Creek Mall|Lenscrafters</t>
  </si>
  <si>
    <t>Cross Creek Mall|Lids</t>
  </si>
  <si>
    <t>LongHorn Steakhouse</t>
  </si>
  <si>
    <t>Cross Creek Mall|LongHorn Steakhouse</t>
  </si>
  <si>
    <t>Cross Creek Mall|Lovisa</t>
  </si>
  <si>
    <t>Cross Creek Mall|Macys</t>
  </si>
  <si>
    <t>Main Event Entertainment, Inc.</t>
  </si>
  <si>
    <t>Cross Creek Mall|Main Event Entertainment, Inc.</t>
  </si>
  <si>
    <t>Cross Creek Mall|Mattress Warehouse</t>
  </si>
  <si>
    <t>Cross Creek Mall|Men's Wearhouse</t>
  </si>
  <si>
    <t>Mr. Cow</t>
  </si>
  <si>
    <t>Cross Creek Mall|Mr. Cow</t>
  </si>
  <si>
    <t>Neo Sushi Express</t>
  </si>
  <si>
    <t>Cross Creek Mall|Neo Sushi Express</t>
  </si>
  <si>
    <t>Office Depot</t>
  </si>
  <si>
    <t>Cross Creek Mall|Office Depot</t>
  </si>
  <si>
    <t>Cross Creek Mall|Pacific Sunwear</t>
  </si>
  <si>
    <t>Cross Creek Mall|Panda Express</t>
  </si>
  <si>
    <t>Cross Creek Mall|Pandora</t>
  </si>
  <si>
    <t>Cross Creek Mall|Perfume World</t>
  </si>
  <si>
    <t>Cross Creek Mall|Pink</t>
  </si>
  <si>
    <t>Cross Creek Mall|Popeyes Louisiana Kitchen</t>
  </si>
  <si>
    <t>Pretzel Cafe</t>
  </si>
  <si>
    <t>Cross Creek Mall|Pretzel Cafe</t>
  </si>
  <si>
    <t>Pro Wireless</t>
  </si>
  <si>
    <t>Cross Creek Mall|Pro Wireless</t>
  </si>
  <si>
    <t>Rainbow</t>
  </si>
  <si>
    <t>Cross Creek Mall|Rainbow</t>
  </si>
  <si>
    <t>Cross Creek Mall|Red Robin Gourmet Burgers</t>
  </si>
  <si>
    <t>Cross Creek Mall|Reeds Jewelers</t>
  </si>
  <si>
    <t>Cross Creek Mall|Rooms To Go</t>
  </si>
  <si>
    <t>Cross Creek Mall|Sarku Japan</t>
  </si>
  <si>
    <t>Saslow's Jewelers</t>
  </si>
  <si>
    <t>Cross Creek Mall|Saslow's Jewelers</t>
  </si>
  <si>
    <t>Cross Creek Mall|Shoe Department/Encore</t>
  </si>
  <si>
    <t>Cross Creek Mall|Simply Southern</t>
  </si>
  <si>
    <t>Sino Wok</t>
  </si>
  <si>
    <t>Cross Creek Mall|Sino Wok</t>
  </si>
  <si>
    <t>Cross Creek Mall|Sleep Number</t>
  </si>
  <si>
    <t>Smokey Bones</t>
  </si>
  <si>
    <t>Cross Creek Mall|Smokey Bones</t>
  </si>
  <si>
    <t>Cross Creek Mall|Snipes</t>
  </si>
  <si>
    <t>Cross Creek Mall|Sola Salon Studios</t>
  </si>
  <si>
    <t>Solitaire Jewelry</t>
  </si>
  <si>
    <t>Cross Creek Mall|Solitaire Jewelry</t>
  </si>
  <si>
    <t>Cross Creek Mall|Spencer Gifts</t>
  </si>
  <si>
    <t>Cross Creek Mall|Starbucks Coffee</t>
  </si>
  <si>
    <t>Cross Creek Mall|Sunglass Hut</t>
  </si>
  <si>
    <t>Swish</t>
  </si>
  <si>
    <t>Cross Creek Mall|Swish</t>
  </si>
  <si>
    <t>Thai Style</t>
  </si>
  <si>
    <t>Cross Creek Mall|Thai Style</t>
  </si>
  <si>
    <t>Cross Creek Mall|The Childrens Place</t>
  </si>
  <si>
    <t>The Paul Mitchell School</t>
  </si>
  <si>
    <t>Cross Creek Mall|The Paul Mitchell School</t>
  </si>
  <si>
    <t>Cross Creek Mall|Tillys</t>
  </si>
  <si>
    <t>Cross Creek Mall|T-Mobile</t>
  </si>
  <si>
    <t>Cross Creek Mall|Torrid</t>
  </si>
  <si>
    <t>Underground by Journeys</t>
  </si>
  <si>
    <t>Cross Creek Mall|Underground by Journeys</t>
  </si>
  <si>
    <t>Cross Creek Mall|Vans</t>
  </si>
  <si>
    <t>Cross Creek Mall|Victorias Secret</t>
  </si>
  <si>
    <t>Cross Creek Mall|Wasteless Solutions</t>
  </si>
  <si>
    <t>Wells Fargo</t>
  </si>
  <si>
    <t>Cross Creek Mall|Wells Fargo</t>
  </si>
  <si>
    <t>Cross Creek Mall|White House | Black Market</t>
  </si>
  <si>
    <t>Cross Creek Mall|Windsor</t>
  </si>
  <si>
    <t>Cross Creek Mall|Wings Co.</t>
  </si>
  <si>
    <t>Cross Creek Mall|Yankee Candle</t>
  </si>
  <si>
    <t>Cross Creek Mall|Zales Jewelers</t>
  </si>
  <si>
    <t>Cross Creek Mall|Zumiez</t>
  </si>
  <si>
    <t>5 Wits</t>
  </si>
  <si>
    <t>Crossgates Center|5 Wits</t>
  </si>
  <si>
    <t>Crossgates Center|Aeropostale</t>
  </si>
  <si>
    <t>Crossgates Center|American Eagle Outfitters</t>
  </si>
  <si>
    <t>Apex Entertainment</t>
  </si>
  <si>
    <t>Crossgates Center|Apex Entertainment</t>
  </si>
  <si>
    <t>Crossgates Center|Apple</t>
  </si>
  <si>
    <t>Crossgates Center|AT&amp;T</t>
  </si>
  <si>
    <t>Crossgates Center|Auntie Annes</t>
  </si>
  <si>
    <t>Crossgates Center|Banana Republic</t>
  </si>
  <si>
    <t>Crossgates Center|Banter By Piercing Pagoda</t>
  </si>
  <si>
    <t>Crossgates Center|Bath &amp; Body Works</t>
  </si>
  <si>
    <t>Crossgates Center|Best Buy</t>
  </si>
  <si>
    <t>Billy Beez</t>
  </si>
  <si>
    <t>Crossgates Center|Billy Beez</t>
  </si>
  <si>
    <t>Crossgates Center|Buckle</t>
  </si>
  <si>
    <t>Crossgates Center|Build-A-Bear Workshop</t>
  </si>
  <si>
    <t>Carhartt</t>
  </si>
  <si>
    <t>Crossgates Center|Carhartt</t>
  </si>
  <si>
    <t>Crossgates Center|Champs Sports</t>
  </si>
  <si>
    <t>Crossgates Center|Charley's Philly Steaks</t>
  </si>
  <si>
    <t>Crossgates Center|Charlotte Russe</t>
  </si>
  <si>
    <t>Crossgates Center|Cinnabon</t>
  </si>
  <si>
    <t>Citizens Bank</t>
  </si>
  <si>
    <t>Crossgates Center|Citizens Bank</t>
  </si>
  <si>
    <t>Crossgates Center|Claire's</t>
  </si>
  <si>
    <t>Crossgates Center|Clarks</t>
  </si>
  <si>
    <t>Crossgates Center|Crunch Fitness</t>
  </si>
  <si>
    <t>Crossgates Center|Dave &amp; Busters</t>
  </si>
  <si>
    <t>Crossgates Center|Dick's Sporting Goods</t>
  </si>
  <si>
    <t>Crossgates Center|Dry Goods</t>
  </si>
  <si>
    <t>Crossgates Center|DSW Shoe Warehouse</t>
  </si>
  <si>
    <t>Dunkin Donuts</t>
  </si>
  <si>
    <t>Crossgates Center|Dunkin Donuts</t>
  </si>
  <si>
    <t>Crossgates Center|Earthbound Trading Company</t>
  </si>
  <si>
    <t>Crossgates Center|Express</t>
  </si>
  <si>
    <t>Crossgates Center|Famous Footwear</t>
  </si>
  <si>
    <t>Crossgates Center|Five Below</t>
  </si>
  <si>
    <t>Crossgates Center|Foot Locker</t>
  </si>
  <si>
    <t>Crossgates Center|Francesca's</t>
  </si>
  <si>
    <t>Crossgates Center|FYE Music &amp; Movies</t>
  </si>
  <si>
    <t>Crossgates Center|GameStop</t>
  </si>
  <si>
    <t>Crossgates Center|Gap</t>
  </si>
  <si>
    <t>Crossgates Center|Garage</t>
  </si>
  <si>
    <t>Get Air Indoor Trampoline Park</t>
  </si>
  <si>
    <t>Crossgates Center|Get Air Indoor Trampoline Park</t>
  </si>
  <si>
    <t>Crossgates Center|GNC</t>
  </si>
  <si>
    <t>Crossgates Center|Gong Cha</t>
  </si>
  <si>
    <t>Crossgates Center|H&amp;M</t>
  </si>
  <si>
    <t>Crossgates Center|Hollister</t>
  </si>
  <si>
    <t>Crossgates Center|Hot Topic</t>
  </si>
  <si>
    <t>Crossgates Center|It'Sugar</t>
  </si>
  <si>
    <t>Crossgates Center|J. Jill</t>
  </si>
  <si>
    <t>Crossgates Center|J.C. Penney</t>
  </si>
  <si>
    <t>Crossgates Center|JD Sports</t>
  </si>
  <si>
    <t>Crossgates Center|Jimmy Jazz</t>
  </si>
  <si>
    <t>Crossgates Center|Journeys</t>
  </si>
  <si>
    <t>Crossgates Center|Journeys Kidz</t>
  </si>
  <si>
    <t>Crossgates Center|Kay Jewelers</t>
  </si>
  <si>
    <t>Crossgates Center|Lane Bryant</t>
  </si>
  <si>
    <t>Crossgates Center|LEGO</t>
  </si>
  <si>
    <t>Crossgates Center|Lenscrafters</t>
  </si>
  <si>
    <t>Crossgates Center|Lids</t>
  </si>
  <si>
    <t>Crossgates Center|LoveSac</t>
  </si>
  <si>
    <t>Crossgates Center|Lovisa</t>
  </si>
  <si>
    <t>Crossgates Center|Lululemon</t>
  </si>
  <si>
    <t>Crossgates Center|Lush Fresh Handmade Cosmetics</t>
  </si>
  <si>
    <t>Crossgates Center|Macys</t>
  </si>
  <si>
    <t>Crossgates Center|Michael Kors</t>
  </si>
  <si>
    <t>Crossgates Center|Miniso</t>
  </si>
  <si>
    <t>Crossgates Center|Mrs. Fields Cookies</t>
  </si>
  <si>
    <t>Newbury Comics</t>
  </si>
  <si>
    <t>Crossgates Center|Newbury Comics</t>
  </si>
  <si>
    <t>Crossgates Center|Oakley</t>
  </si>
  <si>
    <t>Off Broadway Shoes</t>
  </si>
  <si>
    <t>Crossgates Center|Off Broadway Shoes</t>
  </si>
  <si>
    <t>Crossgates Center|Offline By Aerie</t>
  </si>
  <si>
    <t>Crossgates Center|Old Navy</t>
  </si>
  <si>
    <t>Orange Julius</t>
  </si>
  <si>
    <t>Crossgates Center|Orange Julius</t>
  </si>
  <si>
    <t>Crossgates Center|Pacific Sunwear</t>
  </si>
  <si>
    <t>Crossgates Center|Pink</t>
  </si>
  <si>
    <t>Crossgates Center|Popeyes Louisiana Kitchen</t>
  </si>
  <si>
    <t>Crossgates Center|Pretzelmaker</t>
  </si>
  <si>
    <t>Crossgates Center|Pro Image Sports</t>
  </si>
  <si>
    <t>Regal Cinemas</t>
  </si>
  <si>
    <t>Crossgates Center|Regal Cinemas</t>
  </si>
  <si>
    <t>Crossgates Center|REI</t>
  </si>
  <si>
    <t>Crossgates Center|Sbarro The Italian Eatery</t>
  </si>
  <si>
    <t>Crossgates Center|Showcase</t>
  </si>
  <si>
    <t>Crossgates Center|Spencer Gifts</t>
  </si>
  <si>
    <t>Crossgates Center|Starbucks Coffee</t>
  </si>
  <si>
    <t>Crossgates Center|Sunglass Hut</t>
  </si>
  <si>
    <t>Crossgates Center|Swarovski</t>
  </si>
  <si>
    <t>Crossgates Center|Taco Bell</t>
  </si>
  <si>
    <t>Crossgates Center|T-Mobile</t>
  </si>
  <si>
    <t>Crossgates Center|Urban Outfitters</t>
  </si>
  <si>
    <t>Crossgates Center|Vans</t>
  </si>
  <si>
    <t>Crossgates Center|Verizon Wireless</t>
  </si>
  <si>
    <t>Crossgates Center|Victorias Secret</t>
  </si>
  <si>
    <t>Wendy's</t>
  </si>
  <si>
    <t>Crossgates Center|Wendy's</t>
  </si>
  <si>
    <t>Crossgates Center|Windsor</t>
  </si>
  <si>
    <t>Crossgates Center|Yankee Candle</t>
  </si>
  <si>
    <t>Crossgates Center|Zara</t>
  </si>
  <si>
    <t>Crossgates Center|Zumiez</t>
  </si>
  <si>
    <t>110 Grill</t>
  </si>
  <si>
    <t>Destiny USA|110 Grill</t>
  </si>
  <si>
    <t>Destiny USA|5 Wits</t>
  </si>
  <si>
    <t>Destiny USA|Aerie</t>
  </si>
  <si>
    <t>Destiny USA|Aeropostale</t>
  </si>
  <si>
    <t>Against All Odds</t>
  </si>
  <si>
    <t>Destiny USA|Against All Odds</t>
  </si>
  <si>
    <t>Aloha Krab</t>
  </si>
  <si>
    <t>Destiny USA|Aloha Krab</t>
  </si>
  <si>
    <t>Destiny USA|American Eagle Outfitters</t>
  </si>
  <si>
    <t>Destiny USA|Ann Taylor</t>
  </si>
  <si>
    <t>Destiny USA|Anthropologie</t>
  </si>
  <si>
    <t>Destiny USA|Apex Entertainment</t>
  </si>
  <si>
    <t>Destiny USA|Apple</t>
  </si>
  <si>
    <t>Destiny USA|Ardene</t>
  </si>
  <si>
    <t>At Home</t>
  </si>
  <si>
    <t>Destiny USA|At Home</t>
  </si>
  <si>
    <t>Destiny USA|AT&amp;T</t>
  </si>
  <si>
    <t>Destiny USA|Auntie Annes</t>
  </si>
  <si>
    <t>Destiny USA|Banter By Piercing Pagoda</t>
  </si>
  <si>
    <t>Destiny USA|Bath &amp; Body Works</t>
  </si>
  <si>
    <t>Beef Jerky Outlet</t>
  </si>
  <si>
    <t>Destiny USA|Beef Jerky Outlet</t>
  </si>
  <si>
    <t>Destiny USA|Billy Beez</t>
  </si>
  <si>
    <t>Destiny USA|Box Lunch</t>
  </si>
  <si>
    <t>Destiny USA|Brooks Brothers</t>
  </si>
  <si>
    <t>Destiny USA|Buckle</t>
  </si>
  <si>
    <t>Destiny USA|Build-A-Bear Workshop</t>
  </si>
  <si>
    <t>Bullfinch Brewery</t>
  </si>
  <si>
    <t>Destiny USA|Bullfinch Brewery</t>
  </si>
  <si>
    <t>Burger King</t>
  </si>
  <si>
    <t>Destiny USA|Burger King</t>
  </si>
  <si>
    <t>Burlington Coat Factory</t>
  </si>
  <si>
    <t>Destiny USA|Burlington Coat Factory</t>
  </si>
  <si>
    <t>BV Nails &amp; Spa</t>
  </si>
  <si>
    <t>Destiny USA|BV Nails &amp; Spa</t>
  </si>
  <si>
    <t>Cajun Cafe &amp; Grill</t>
  </si>
  <si>
    <t>Destiny USA|Cajun Cafe &amp; Grill</t>
  </si>
  <si>
    <t>Caramel Corn</t>
  </si>
  <si>
    <t>Destiny USA|Caramel Corn</t>
  </si>
  <si>
    <t>Destiny USA|Carhartt</t>
  </si>
  <si>
    <t>Destiny USA|Carters</t>
  </si>
  <si>
    <t>Destiny USA|Champs Sports</t>
  </si>
  <si>
    <t>Destiny USA|Charley's Philly Steaks</t>
  </si>
  <si>
    <t>Destiny USA|Charlotte Russe</t>
  </si>
  <si>
    <t>Destiny USA|Cheesecake Factory</t>
  </si>
  <si>
    <t>Chicken Now</t>
  </si>
  <si>
    <t>Destiny USA|Chicken Now</t>
  </si>
  <si>
    <t>China Express</t>
  </si>
  <si>
    <t>Destiny USA|China Express</t>
  </si>
  <si>
    <t>Destiny USA|Cinnabon</t>
  </si>
  <si>
    <t>Destiny USA|Claire's</t>
  </si>
  <si>
    <t>Destiny USA|Coach</t>
  </si>
  <si>
    <t>Destiny USA|Cold Stone Creamery</t>
  </si>
  <si>
    <t>Destiny USA|Crocs</t>
  </si>
  <si>
    <t>Destiny USA|Dave &amp; Busters</t>
  </si>
  <si>
    <t>Destiny USA|Dick's Sporting Goods</t>
  </si>
  <si>
    <t>Destiny USA|Dry Goods</t>
  </si>
  <si>
    <t>Destiny USA|DSW Shoe Warehouse</t>
  </si>
  <si>
    <t>Destiny USA|DTLR</t>
  </si>
  <si>
    <t>Destiny USA|Dunkin Donuts</t>
  </si>
  <si>
    <t>Destiny USA|Earthbound Trading Company</t>
  </si>
  <si>
    <t>Destiny USA|Eddie Bauer</t>
  </si>
  <si>
    <t>Express Jewelers</t>
  </si>
  <si>
    <t>Destiny USA|Express Jewelers</t>
  </si>
  <si>
    <t>Destiny USA|Famous Footwear</t>
  </si>
  <si>
    <t>Finger Lakes Coffee Roasters</t>
  </si>
  <si>
    <t>Destiny USA|Finger Lakes Coffee Roasters</t>
  </si>
  <si>
    <t>Destiny USA|Finish Line</t>
  </si>
  <si>
    <t>Destiny USA|Five Below</t>
  </si>
  <si>
    <t>Destiny USA|Foot Locker</t>
  </si>
  <si>
    <t>Destiny USA|Forever 21</t>
  </si>
  <si>
    <t>Forward</t>
  </si>
  <si>
    <t>Destiny USA|Forward</t>
  </si>
  <si>
    <t>Destiny USA|Francesca's</t>
  </si>
  <si>
    <t>Fries Fries Fries</t>
  </si>
  <si>
    <t>Destiny USA|Fries Fries Fries</t>
  </si>
  <si>
    <t>Funny Bone Comedy Club and Restaurant</t>
  </si>
  <si>
    <t>Destiny USA|Funny Bone Comedy Club and Restaurant</t>
  </si>
  <si>
    <t>Destiny USA|FYE Music &amp; Movies</t>
  </si>
  <si>
    <t>Destiny USA|GameStop</t>
  </si>
  <si>
    <t>Destiny USA|Garage</t>
  </si>
  <si>
    <t>Destiny USA|Gertrude Hawk Chocolates</t>
  </si>
  <si>
    <t>Destiny USA|Get Air Indoor Trampoline Park</t>
  </si>
  <si>
    <t>Destiny USA|GNC</t>
  </si>
  <si>
    <t>Going Going Gone</t>
  </si>
  <si>
    <t>Destiny USA|Going Going Gone</t>
  </si>
  <si>
    <t>Destiny USA|H&amp;M</t>
  </si>
  <si>
    <t>Hannoush Jewelers</t>
  </si>
  <si>
    <t>Destiny USA|Hannoush Jewelers</t>
  </si>
  <si>
    <t>Destiny USA|Hobby Lobby</t>
  </si>
  <si>
    <t>Destiny USA|Hollister</t>
  </si>
  <si>
    <t>Destiny USA|Hot Topic</t>
  </si>
  <si>
    <t>Hugo Boss</t>
  </si>
  <si>
    <t>Destiny USA|Hugo Boss</t>
  </si>
  <si>
    <t>Destiny USA|It'Sugar</t>
  </si>
  <si>
    <t>Destiny USA|Jared The Galleria of Jewelry</t>
  </si>
  <si>
    <t>Jimmy Buffett's Margaritaville</t>
  </si>
  <si>
    <t>Destiny USA|Jimmy Buffett's Margaritaville</t>
  </si>
  <si>
    <t>Johnny Rockets</t>
  </si>
  <si>
    <t>Destiny USA|Johnny Rockets</t>
  </si>
  <si>
    <t>Destiny USA|Joseph Jacob Jewelers</t>
  </si>
  <si>
    <t>Destiny USA|Journeys</t>
  </si>
  <si>
    <t>Destiny USA|Journeys Kidz</t>
  </si>
  <si>
    <t>Kate Spade</t>
  </si>
  <si>
    <t>Destiny USA|Kate Spade</t>
  </si>
  <si>
    <t>Destiny USA|Kay Jewelers</t>
  </si>
  <si>
    <t>Destiny USA|Kids Foot Locker</t>
  </si>
  <si>
    <t>Koto Japanese Steakhouse</t>
  </si>
  <si>
    <t>Destiny USA|Koto Japanese Steakhouse</t>
  </si>
  <si>
    <t>Kung Fu Tea</t>
  </si>
  <si>
    <t>Destiny USA|Kung Fu Tea</t>
  </si>
  <si>
    <t>La Vie en Rose</t>
  </si>
  <si>
    <t>Destiny USA|La Vie en Rose</t>
  </si>
  <si>
    <t>Destiny USA|Lane Bryant</t>
  </si>
  <si>
    <t>Destiny USA|LEGO</t>
  </si>
  <si>
    <t>Destiny USA|Lenscrafters</t>
  </si>
  <si>
    <t>Destiny USA|Lids</t>
  </si>
  <si>
    <t>Little Rays</t>
  </si>
  <si>
    <t>Destiny USA|Little Rays</t>
  </si>
  <si>
    <t>Destiny USA|Loft</t>
  </si>
  <si>
    <t>Destiny USA|LoveSac</t>
  </si>
  <si>
    <t>Destiny USA|Lovisa</t>
  </si>
  <si>
    <t>Destiny USA|Lucky Brand Jeans</t>
  </si>
  <si>
    <t>Destiny USA|Lululemon</t>
  </si>
  <si>
    <t>Destiny USA|Lush Fresh Handmade Cosmetics</t>
  </si>
  <si>
    <t>Destiny USA|Macys</t>
  </si>
  <si>
    <t>Mandati Jewelers</t>
  </si>
  <si>
    <t>Destiny USA|Mandati Jewelers</t>
  </si>
  <si>
    <t>Destiny USA|Michael Kors</t>
  </si>
  <si>
    <t>Mochi</t>
  </si>
  <si>
    <t>Destiny USA|Mochi</t>
  </si>
  <si>
    <t>Mojito's Cantina</t>
  </si>
  <si>
    <t>Destiny USA|Mojito's Cantina</t>
  </si>
  <si>
    <t>Nail Trix</t>
  </si>
  <si>
    <t>Destiny USA|Nail Trix</t>
  </si>
  <si>
    <t>Destiny USA|Newbury Comics</t>
  </si>
  <si>
    <t>Destiny USA|Nordstrom</t>
  </si>
  <si>
    <t>Destiny USA|Oakley</t>
  </si>
  <si>
    <t>Destiny USA|Off Broadway Shoes</t>
  </si>
  <si>
    <t>Destiny USA|Offline By Aerie</t>
  </si>
  <si>
    <t>Destiny USA|Old Navy</t>
  </si>
  <si>
    <t>Destiny USA|P.F. Changs</t>
  </si>
  <si>
    <t>Destiny USA|Pacific Sunwear</t>
  </si>
  <si>
    <t>Destiny USA|Pandora</t>
  </si>
  <si>
    <t>Destiny USA|Panera Bread</t>
  </si>
  <si>
    <t>Paramount</t>
  </si>
  <si>
    <t>Destiny USA|Paramount</t>
  </si>
  <si>
    <t>Pepper Palace</t>
  </si>
  <si>
    <t>Destiny USA|Pepper Palace</t>
  </si>
  <si>
    <t>Destiny USA|Pink</t>
  </si>
  <si>
    <t>Destiny USA|Pottery Barn</t>
  </si>
  <si>
    <t>Rachel's Mediterranean Grill</t>
  </si>
  <si>
    <t>Destiny USA|Rachel's Mediterranean Grill</t>
  </si>
  <si>
    <t>Rally House</t>
  </si>
  <si>
    <t>Destiny USA|Rally House</t>
  </si>
  <si>
    <t>Destiny USA|Regal Cinemas</t>
  </si>
  <si>
    <t>Roc Gold and Diamond</t>
  </si>
  <si>
    <t>Destiny USA|Roc Gold and Diamond</t>
  </si>
  <si>
    <t>Ross Dress For Less</t>
  </si>
  <si>
    <t>Destiny USA|Ross Dress For Less</t>
  </si>
  <si>
    <t>RPM Raceway</t>
  </si>
  <si>
    <t>Destiny USA|RPM Raceway</t>
  </si>
  <si>
    <t>Destiny USA|Rue21</t>
  </si>
  <si>
    <t>Sake Japan</t>
  </si>
  <si>
    <t>Destiny USA|Sake Japan</t>
  </si>
  <si>
    <t>Destiny USA|Sbarro The Italian Eatery</t>
  </si>
  <si>
    <t>Shan Jeweler</t>
  </si>
  <si>
    <t>Destiny USA|Shan Jeweler</t>
  </si>
  <si>
    <t>Destiny USA|Showcase</t>
  </si>
  <si>
    <t>Sip Sip Hooray Wines &amp; Liquors</t>
  </si>
  <si>
    <t>Destiny USA|Sip Sip Hooray Wines &amp; Liquors</t>
  </si>
  <si>
    <t>Soleply</t>
  </si>
  <si>
    <t>Destiny USA|Soleply</t>
  </si>
  <si>
    <t>Destiny USA|Soma Intimates</t>
  </si>
  <si>
    <t>Destiny USA|Spencer Gifts</t>
  </si>
  <si>
    <t>Destiny USA|Starbucks Coffee</t>
  </si>
  <si>
    <t>Steve Madden</t>
  </si>
  <si>
    <t>Destiny USA|Steve Madden</t>
  </si>
  <si>
    <t>Street Game</t>
  </si>
  <si>
    <t>Destiny USA|Street Game</t>
  </si>
  <si>
    <t>Destiny USA|Sunglass Hut</t>
  </si>
  <si>
    <t>Supreme Jewelers</t>
  </si>
  <si>
    <t>Destiny USA|Supreme Jewelers</t>
  </si>
  <si>
    <t>Destiny USA|Swarovski</t>
  </si>
  <si>
    <t>Sweet Yummy Yogurt</t>
  </si>
  <si>
    <t>Destiny USA|Sweet Yummy Yogurt</t>
  </si>
  <si>
    <t>T.G.I. Fridays</t>
  </si>
  <si>
    <t>Destiny USA|T.G.I. Fridays</t>
  </si>
  <si>
    <t>Destiny USA|Taco Bell</t>
  </si>
  <si>
    <t>Talk N Fix</t>
  </si>
  <si>
    <t>Destiny USA|Talk N Fix</t>
  </si>
  <si>
    <t>Destiny USA|Texas de Brazil Churrasciaria/Brazilian Steak House</t>
  </si>
  <si>
    <t>Destiny USA|The Childrens Place</t>
  </si>
  <si>
    <t>The Inspiration Co</t>
  </si>
  <si>
    <t>Destiny USA|The Inspiration Co</t>
  </si>
  <si>
    <t>The Uniform Outlet</t>
  </si>
  <si>
    <t>Destiny USA|The Uniform Outlet</t>
  </si>
  <si>
    <t>TJ Maxx</t>
  </si>
  <si>
    <t>Destiny USA|TJ Maxx</t>
  </si>
  <si>
    <t>Destiny USA|T-Mobile</t>
  </si>
  <si>
    <t>Destiny USA|Torrid</t>
  </si>
  <si>
    <t>Trombi's Tower</t>
  </si>
  <si>
    <t>Destiny USA|Trombi's Tower</t>
  </si>
  <si>
    <t>U Tea</t>
  </si>
  <si>
    <t>Destiny USA|U Tea</t>
  </si>
  <si>
    <t>Destiny USA|Ulta Beauty</t>
  </si>
  <si>
    <t>Untuckit</t>
  </si>
  <si>
    <t>Destiny USA|Untuckit</t>
  </si>
  <si>
    <t>Destiny USA|Urban Outfitters</t>
  </si>
  <si>
    <t>Destiny USA|Vans</t>
  </si>
  <si>
    <t>Destiny USA|Verizon Wireless</t>
  </si>
  <si>
    <t>Destiny USA|Victorias Secret</t>
  </si>
  <si>
    <t>Destiny USA|Wetzels Pretzels</t>
  </si>
  <si>
    <t>Destiny USA|White House | Black Market</t>
  </si>
  <si>
    <t>Destiny USA|Windsor</t>
  </si>
  <si>
    <t>Wonderworks</t>
  </si>
  <si>
    <t>Destiny USA|Wonderworks</t>
  </si>
  <si>
    <t>World of Beer</t>
  </si>
  <si>
    <t>Destiny USA|World of Beer</t>
  </si>
  <si>
    <t>Destiny USA|Yankee Candle</t>
  </si>
  <si>
    <t>Destiny USA|Zales Jewelers</t>
  </si>
  <si>
    <t>Zero Latency</t>
  </si>
  <si>
    <t>Destiny USA|Zero Latency</t>
  </si>
  <si>
    <t>Destiny USA|Zumiez</t>
  </si>
  <si>
    <t>Fayette Mall|Abercrombie &amp; Fitch</t>
  </si>
  <si>
    <t>Fayette Mall|Aerie</t>
  </si>
  <si>
    <t>Fayette Mall|Aeropostale</t>
  </si>
  <si>
    <t>Agave &amp; Rye Epic Tacos</t>
  </si>
  <si>
    <t>Fayette Mall|Agave &amp; Rye Epic Tacos</t>
  </si>
  <si>
    <t>Fayette Mall|Altar'd State</t>
  </si>
  <si>
    <t>Fayette Mall|Alumni Hall</t>
  </si>
  <si>
    <t>Fayette Mall|American Eagle Outfitters</t>
  </si>
  <si>
    <t>Fayette Mall|Ann Taylor</t>
  </si>
  <si>
    <t>Ashcroft &amp; Oak</t>
  </si>
  <si>
    <t>Fayette Mall|Ashcroft &amp; Oak</t>
  </si>
  <si>
    <t>Fayette Mall|Auntie Annes</t>
  </si>
  <si>
    <t>Aveda</t>
  </si>
  <si>
    <t>Fayette Mall|Aveda</t>
  </si>
  <si>
    <t>Fayette Mall|Banter By Piercing Pagoda</t>
  </si>
  <si>
    <t>Fayette Mall|Barnes &amp; Noble</t>
  </si>
  <si>
    <t>Fayette Mall|Bath &amp; Body Works</t>
  </si>
  <si>
    <t>Fayette Mall|Bitcoin Depot</t>
  </si>
  <si>
    <t>Bourbon Creek</t>
  </si>
  <si>
    <t>Fayette Mall|Bourbon Creek</t>
  </si>
  <si>
    <t>Fayette Mall|Box Lunch</t>
  </si>
  <si>
    <t>Fayette Mall|Brighton Collectibles</t>
  </si>
  <si>
    <t>Fayette Mall|Buckle</t>
  </si>
  <si>
    <t>Fayette Mall|Build-A-Bear Workshop</t>
  </si>
  <si>
    <t>Burlap &amp; Birch</t>
  </si>
  <si>
    <t>Fayette Mall|Burlap &amp; Birch</t>
  </si>
  <si>
    <t>Cavender's Boot City</t>
  </si>
  <si>
    <t>Fayette Mall|Cavender's Boot City</t>
  </si>
  <si>
    <t>Fayette Mall|Champs Sports</t>
  </si>
  <si>
    <t>Fayette Mall|Charley's Philly Steaks</t>
  </si>
  <si>
    <t>Fayette Mall|Charlotte Russe</t>
  </si>
  <si>
    <t>Fayette Mall|Chick-Fil-A</t>
  </si>
  <si>
    <t>Fayette Mall|Chipotle Mexican Grill</t>
  </si>
  <si>
    <t>Fayette Mall|Cinnabon</t>
  </si>
  <si>
    <t>Fayette Mall|Claire's</t>
  </si>
  <si>
    <t>CM Games Super Center</t>
  </si>
  <si>
    <t>Fayette Mall|CM Games Super Center</t>
  </si>
  <si>
    <t>Fayette Mall|Coach</t>
  </si>
  <si>
    <t>Comfort Zone</t>
  </si>
  <si>
    <t>Fayette Mall|Comfort Zone</t>
  </si>
  <si>
    <t>Fayette Mall|Dakota Watch Company</t>
  </si>
  <si>
    <t>Fayette Mall|Dick's Sporting Goods</t>
  </si>
  <si>
    <t>Fayette Mall|Dry Goods</t>
  </si>
  <si>
    <t>Fayette Mall|Eddie Bauer</t>
  </si>
  <si>
    <t>Fayette Mall|Express</t>
  </si>
  <si>
    <t>Fayette Mall Dental</t>
  </si>
  <si>
    <t>Fayette Mall|Fayette Mall Dental</t>
  </si>
  <si>
    <t>Fayette Mall|Five Below</t>
  </si>
  <si>
    <t>Fayette Mall|Francesca's</t>
  </si>
  <si>
    <t>Fayette Mall|FYE Music &amp; Movies</t>
  </si>
  <si>
    <t>Fayette Mall|GNC</t>
  </si>
  <si>
    <t>Fayette Mall|Great American Cookies</t>
  </si>
  <si>
    <t>Fayette Mall|H&amp;M</t>
  </si>
  <si>
    <t>Fayette Mall|Hollister</t>
  </si>
  <si>
    <t>Fayette Mall|Hot Topic</t>
  </si>
  <si>
    <t>Fayette Mall|House Of Hoops By Foot Locker</t>
  </si>
  <si>
    <t>Fayette Mall|J. Jill</t>
  </si>
  <si>
    <t>Fayette Mall|J.C. Penney</t>
  </si>
  <si>
    <t>Fayette Mall|J.Crew</t>
  </si>
  <si>
    <t>Fayette Mall|JD Sports</t>
  </si>
  <si>
    <t>Fayette Mall|Johnston &amp; Murphy</t>
  </si>
  <si>
    <t>JoJo Gyros</t>
  </si>
  <si>
    <t>Fayette Mall|JoJo Gyros</t>
  </si>
  <si>
    <t>Fayette Mall|Journeys</t>
  </si>
  <si>
    <t>Fayette Mall|Journeys Kidz</t>
  </si>
  <si>
    <t>Fayette Mall|Kay Jewelers</t>
  </si>
  <si>
    <t>Fayette Mall|Lids</t>
  </si>
  <si>
    <t>Fayette Mall|Lovisa</t>
  </si>
  <si>
    <t>Fayette Mall|Macys</t>
  </si>
  <si>
    <t>Mango Thai</t>
  </si>
  <si>
    <t>Fayette Mall|Mango Thai</t>
  </si>
  <si>
    <t>Mileta</t>
  </si>
  <si>
    <t>Fayette Mall|Mileta</t>
  </si>
  <si>
    <t>Fayette Mall|Miniso</t>
  </si>
  <si>
    <t>Miracle Eyebrows</t>
  </si>
  <si>
    <t>Fayette Mall|Miracle Eyebrows</t>
  </si>
  <si>
    <t>Fayette Mall|Miss A</t>
  </si>
  <si>
    <t>Fayette Mall|Oakley</t>
  </si>
  <si>
    <t>Fayette Mall|Offline by Aerie</t>
  </si>
  <si>
    <t>Old School Coffee</t>
  </si>
  <si>
    <t>Fayette Mall|Old School Coffee</t>
  </si>
  <si>
    <t>Olive Garden Italian Restaurant</t>
  </si>
  <si>
    <t>Fayette Mall|Olive Garden Italian Restaurant</t>
  </si>
  <si>
    <t>Outback Steakhouse</t>
  </si>
  <si>
    <t>Fayette Mall|Outback Steakhouse</t>
  </si>
  <si>
    <t>Fayette Mall|P.F. Changs</t>
  </si>
  <si>
    <t>Fayette Mall|Pacific Sunwear</t>
  </si>
  <si>
    <t>Pain Is Beautiful</t>
  </si>
  <si>
    <t>Fayette Mall|Pain Is Beautiful</t>
  </si>
  <si>
    <t>Fayette Mall|Palmetto Moon</t>
  </si>
  <si>
    <t>Panda Garden</t>
  </si>
  <si>
    <t>Fayette Mall|Panda Garden</t>
  </si>
  <si>
    <t>Fayette Mall|Pandora</t>
  </si>
  <si>
    <t>Fayette Mall|Pepper Palace</t>
  </si>
  <si>
    <t>Perfume Bar</t>
  </si>
  <si>
    <t>Fayette Mall|Perfume Bar</t>
  </si>
  <si>
    <t>Pie Five Pizza</t>
  </si>
  <si>
    <t>Fayette Mall|Pie Five Pizza</t>
  </si>
  <si>
    <t>Fayette Mall|Pink</t>
  </si>
  <si>
    <t>PNC Bank</t>
  </si>
  <si>
    <t>Fayette Mall|PNC Bank</t>
  </si>
  <si>
    <t>Poke’ Life</t>
  </si>
  <si>
    <t>Fayette Mall|Poke’ Life</t>
  </si>
  <si>
    <t>Fayette Mall|Popeyes Louisiana Kitchen</t>
  </si>
  <si>
    <t>Fayette Mall|Rack Room Shoes</t>
  </si>
  <si>
    <t>Fayette Mall|Rally House</t>
  </si>
  <si>
    <t>Fayette Mall|Reeds Jewelers</t>
  </si>
  <si>
    <t>Rocket Fizz</t>
  </si>
  <si>
    <t>Fayette Mall|Rocket Fizz</t>
  </si>
  <si>
    <t>Fayette Mall|Rose &amp; Remington</t>
  </si>
  <si>
    <t>Fayette Mall|Sarku Japan</t>
  </si>
  <si>
    <t>Fayette Mall|Sbarro The Italian Eatery</t>
  </si>
  <si>
    <t>Fayette Mall|Sephora</t>
  </si>
  <si>
    <t>Fayette Mall|Sleep Number</t>
  </si>
  <si>
    <t>Sleep Outfitters</t>
  </si>
  <si>
    <t>Fayette Mall|Sleep Outfitters</t>
  </si>
  <si>
    <t>Fayette Mall|Soma Intimates</t>
  </si>
  <si>
    <t>Fayette Mall|Spencer Gifts</t>
  </si>
  <si>
    <t>Fayette Mall|Sunglass Hut</t>
  </si>
  <si>
    <t>Fayette Mall|Talbots</t>
  </si>
  <si>
    <t>Fayette Mall|The Cheesecake Factory</t>
  </si>
  <si>
    <t>Fayette Mall|The Childrens Place</t>
  </si>
  <si>
    <t>The Pottery Place + Art Space</t>
  </si>
  <si>
    <t>Fayette Mall|The Pottery Place + Art Space</t>
  </si>
  <si>
    <t>The Pretzel Twister</t>
  </si>
  <si>
    <t>Fayette Mall|The Pretzel Twister</t>
  </si>
  <si>
    <t>Fayette Mall|Torrid</t>
  </si>
  <si>
    <t>Fayette Mall|Tradehome Shoes</t>
  </si>
  <si>
    <t>Fayette Mall|Vans</t>
  </si>
  <si>
    <t>Fayette Mall|Vera Bradley</t>
  </si>
  <si>
    <t>Fayette Mall|Victorias Secret</t>
  </si>
  <si>
    <t>Fayette Mall|Windsor</t>
  </si>
  <si>
    <t>Fayette Mall|Zales Jewelers</t>
  </si>
  <si>
    <t>Fayette Mall|Zumiez</t>
  </si>
  <si>
    <t>1Loveie</t>
  </si>
  <si>
    <t>Galleria at Tyler|1Loveie</t>
  </si>
  <si>
    <t>Galleria at Tyler|Aeropostale</t>
  </si>
  <si>
    <t>Galleria at Tyler|Aldo</t>
  </si>
  <si>
    <t>Alexander Jewelers</t>
  </si>
  <si>
    <t>Galleria at Tyler|Alexander Jewelers</t>
  </si>
  <si>
    <t>Galleria at Tyler|AMC Theatres</t>
  </si>
  <si>
    <t>Galleria at Tyler|American Eagle Outfitters</t>
  </si>
  <si>
    <t>Apola Greek Grill</t>
  </si>
  <si>
    <t>Galleria at Tyler|Apola Greek Grill</t>
  </si>
  <si>
    <t>Galleria at Tyler|AT&amp;T</t>
  </si>
  <si>
    <t>Galleria at Tyler|Auntie Annes</t>
  </si>
  <si>
    <t>Ay Mi Pa</t>
  </si>
  <si>
    <t>Galleria at Tyler|Ay Mi Pa</t>
  </si>
  <si>
    <t>Galleria at Tyler|Barnes &amp; Noble</t>
  </si>
  <si>
    <t>Galleria at Tyler|Bath &amp; Body Works</t>
  </si>
  <si>
    <t>Bayside Watch</t>
  </si>
  <si>
    <t>Galleria at Tyler|Bayside Watch</t>
  </si>
  <si>
    <t>Galleria at Tyler|Box Lunch</t>
  </si>
  <si>
    <t>Galleria at Tyler|Brighton Collectibles</t>
  </si>
  <si>
    <t>Brow Arc</t>
  </si>
  <si>
    <t>Galleria at Tyler|Brow Arc</t>
  </si>
  <si>
    <t>Buffalo Wild Wings</t>
  </si>
  <si>
    <t>Galleria at Tyler|Buffalo Wild Wings</t>
  </si>
  <si>
    <t>Galleria at Tyler|Build-A-Bear Workshop</t>
  </si>
  <si>
    <t>Candeeland Kids</t>
  </si>
  <si>
    <t>Galleria at Tyler|Candeeland Kids</t>
  </si>
  <si>
    <t>Galleria at Tyler|Carters</t>
  </si>
  <si>
    <t>Galleria at Tyler|Champs Sports</t>
  </si>
  <si>
    <t>Galleria at Tyler|Charley's Philly Steaks</t>
  </si>
  <si>
    <t>Galleria at Tyler|Charlotte Russe</t>
  </si>
  <si>
    <t>Galleria at Tyler|Cinnabon</t>
  </si>
  <si>
    <t>Galleria at Tyler|Claire's</t>
  </si>
  <si>
    <t>Galleria at Tyler|Color Me Mine</t>
  </si>
  <si>
    <t>Galleria at Tyler|Cotton On</t>
  </si>
  <si>
    <t>Galleria at Tyler|Cotton On Kids</t>
  </si>
  <si>
    <t>Daniel's Jewelers</t>
  </si>
  <si>
    <t>Galleria at Tyler|Daniel's Jewelers</t>
  </si>
  <si>
    <t>Dominican Mulatto Colombian Shapewear</t>
  </si>
  <si>
    <t>Galleria at Tyler|Dominican Mulatto Colombian Shapewear</t>
  </si>
  <si>
    <t>Don Roberto Jewelers</t>
  </si>
  <si>
    <t>Galleria at Tyler|Don Roberto Jewelers</t>
  </si>
  <si>
    <t>Galleria at Tyler|Earthbound Trading Company</t>
  </si>
  <si>
    <t>El Paso Fresh Mexican Food</t>
  </si>
  <si>
    <t>Galleria at Tyler|El Paso Fresh Mexican Food</t>
  </si>
  <si>
    <t>Elite Spa</t>
  </si>
  <si>
    <t>Galleria at Tyler|Elite Spa</t>
  </si>
  <si>
    <t>Galleria at Tyler|Express</t>
  </si>
  <si>
    <t>Fanzz</t>
  </si>
  <si>
    <t>Galleria at Tyler|Fanzz</t>
  </si>
  <si>
    <t>Galleria at Tyler|Fast-Fix Jewelry And Watch Repair</t>
  </si>
  <si>
    <t>Galleria at Tyler|Five Below</t>
  </si>
  <si>
    <t>Galleria at Tyler|Francesca's</t>
  </si>
  <si>
    <t>Galleria at Tyler|FYE Music &amp; Movies</t>
  </si>
  <si>
    <t>Galleria at Tyler|G By Guess</t>
  </si>
  <si>
    <t>Glo Mini Golf</t>
  </si>
  <si>
    <t>Galleria at Tyler|Glo Mini Golf</t>
  </si>
  <si>
    <t>Galleria at Tyler|GNC</t>
  </si>
  <si>
    <t>Green Crush</t>
  </si>
  <si>
    <t>Galleria at Tyler|Green Crush</t>
  </si>
  <si>
    <t>Galleria at Tyler|H&amp;M</t>
  </si>
  <si>
    <t>Galleria at Tyler|Helzberg Diamonds</t>
  </si>
  <si>
    <t>Galleria at Tyler|Hollister</t>
  </si>
  <si>
    <t>Galleria at Tyler|Hot Dog On A Stick</t>
  </si>
  <si>
    <t>Galleria at Tyler|Hot Topic</t>
  </si>
  <si>
    <t>House Of Beauty</t>
  </si>
  <si>
    <t>Galleria at Tyler|House Of Beauty</t>
  </si>
  <si>
    <t>Galleria at Tyler|House Of Hoops By Foot Locker</t>
  </si>
  <si>
    <t>Galleria at Tyler|Icing By Claires</t>
  </si>
  <si>
    <t>Intrigue Fine Jewelers</t>
  </si>
  <si>
    <t>Galleria at Tyler|Intrigue Fine Jewelers</t>
  </si>
  <si>
    <t>Galleria at Tyler|J.C. Penney</t>
  </si>
  <si>
    <t>Galleria at Tyler|JD Sports</t>
  </si>
  <si>
    <t>Galleria at Tyler|Journeys</t>
  </si>
  <si>
    <t>Galleria at Tyler|Kay Jewelers</t>
  </si>
  <si>
    <t>Kevin Jewelers</t>
  </si>
  <si>
    <t>Galleria at Tyler|Kevin Jewelers</t>
  </si>
  <si>
    <t>Kore</t>
  </si>
  <si>
    <t>Galleria at Tyler|Kore</t>
  </si>
  <si>
    <t>Galleria at Tyler|Lenscrafters</t>
  </si>
  <si>
    <t>Galleria at Tyler|Lids</t>
  </si>
  <si>
    <t>Liquor</t>
  </si>
  <si>
    <t>Galleria at Tyler|Liquor</t>
  </si>
  <si>
    <t>Locker Room by Lids</t>
  </si>
  <si>
    <t>Galleria at Tyler|Locker Room by Lids</t>
  </si>
  <si>
    <t>Galleria at Tyler|Lovisa</t>
  </si>
  <si>
    <t>Luxury Boutique</t>
  </si>
  <si>
    <t>Galleria at Tyler|Luxury Boutique</t>
  </si>
  <si>
    <t>Galleria at Tyler|M.A.C Cosmetics</t>
  </si>
  <si>
    <t>Galleria at Tyler|Macys</t>
  </si>
  <si>
    <t>Master Gan</t>
  </si>
  <si>
    <t>Galleria at Tyler|Master Gan</t>
  </si>
  <si>
    <t>Miguels Jr. Homestyle Mexican Food</t>
  </si>
  <si>
    <t>Galleria at Tyler|Miguels Jr. Homestyle Mexican Food</t>
  </si>
  <si>
    <t>Galleria at Tyler|Miniso</t>
  </si>
  <si>
    <t>Monkey Dooz Jungle Cutz</t>
  </si>
  <si>
    <t>Galleria at Tyler|Monkey Dooz Jungle Cutz</t>
  </si>
  <si>
    <t>Galleria at Tyler|Mrs. Fields Cookies</t>
  </si>
  <si>
    <t>Oakwest</t>
  </si>
  <si>
    <t>Galleria at Tyler|Oakwest</t>
  </si>
  <si>
    <t>Galleria at Tyler|Old Navy</t>
  </si>
  <si>
    <t>Galleria at Tyler|P.F. Changs</t>
  </si>
  <si>
    <t>Galleria at Tyler|Pacific Sunwear</t>
  </si>
  <si>
    <t>Galleria at Tyler|Panda Express</t>
  </si>
  <si>
    <t>Galleria at Tyler|Pandora</t>
  </si>
  <si>
    <t>Panini Kabob Grill</t>
  </si>
  <si>
    <t>Galleria at Tyler|Panini Kabob Grill</t>
  </si>
  <si>
    <t>Planet Beauty</t>
  </si>
  <si>
    <t>Galleria at Tyler|Planet Beauty</t>
  </si>
  <si>
    <t>Q</t>
  </si>
  <si>
    <t>Galleria at Tyler|Q</t>
  </si>
  <si>
    <t>Red Persimmon Salon &amp; Spa</t>
  </si>
  <si>
    <t>Galleria at Tyler|Red Persimmon Salon &amp; Spa</t>
  </si>
  <si>
    <t>Galleria at Tyler|Red Robin Gourmet Burgers</t>
  </si>
  <si>
    <t>Robbins Brothers</t>
  </si>
  <si>
    <t>Galleria at Tyler|Robbins Brothers</t>
  </si>
  <si>
    <t>Galleria at Tyler|Sake Japan</t>
  </si>
  <si>
    <t>Sanrio Surprises</t>
  </si>
  <si>
    <t>Galleria at Tyler|Sanrio Surprises</t>
  </si>
  <si>
    <t>Galleria at Tyler|Sbarro The Italian Eatery</t>
  </si>
  <si>
    <t>Galleria at Tyler|Sees Candies</t>
  </si>
  <si>
    <t>Galleria at Tyler|Sephora</t>
  </si>
  <si>
    <t>Galleria at Tyler|Shiekh</t>
  </si>
  <si>
    <t>Galleria at Tyler|Shoe Palace</t>
  </si>
  <si>
    <t>Silverlake Ramen</t>
  </si>
  <si>
    <t>Galleria at Tyler|Silverlake Ramen</t>
  </si>
  <si>
    <t>Galleria at Tyler|Skechers</t>
  </si>
  <si>
    <t>Galleria at Tyler|Spencer Gifts</t>
  </si>
  <si>
    <t>Sports Treasures</t>
  </si>
  <si>
    <t>Galleria at Tyler|Sports Treasures</t>
  </si>
  <si>
    <t>Stagecoach</t>
  </si>
  <si>
    <t>Galleria at Tyler|Stagecoach</t>
  </si>
  <si>
    <t>Suit Exchange</t>
  </si>
  <si>
    <t>Galleria at Tyler|Suit Exchange</t>
  </si>
  <si>
    <t>Galleria at Tyler|Sunglass Hut</t>
  </si>
  <si>
    <t>Galleria at Tyler|Surf City Squeeze</t>
  </si>
  <si>
    <t>Galleria at Tyler|T.G.I. Fridays</t>
  </si>
  <si>
    <t>Galleria at Tyler|The Cheesecake Factory</t>
  </si>
  <si>
    <t>Galleria at Tyler|The Childrens Place</t>
  </si>
  <si>
    <t>The Fix</t>
  </si>
  <si>
    <t>Galleria at Tyler|The Fix</t>
  </si>
  <si>
    <t>Galleria at Tyler|Tillys</t>
  </si>
  <si>
    <t>Time To Repair Jewelry &amp; Watches</t>
  </si>
  <si>
    <t>Galleria at Tyler|Time To Repair Jewelry &amp; Watches</t>
  </si>
  <si>
    <t>Galleria at Tyler|T-Mobile</t>
  </si>
  <si>
    <t>Tokyo Japanese Lifestyle</t>
  </si>
  <si>
    <t>Galleria at Tyler|Tokyo Japanese Lifestyle</t>
  </si>
  <si>
    <t>Galleria at Tyler|Torrid</t>
  </si>
  <si>
    <t>Totally Tea</t>
  </si>
  <si>
    <t>Galleria at Tyler|Totally Tea</t>
  </si>
  <si>
    <t>Two Hands</t>
  </si>
  <si>
    <t>Galleria at Tyler|Two Hands</t>
  </si>
  <si>
    <t>Tyler Ranch Spa &amp; Salon</t>
  </si>
  <si>
    <t>Galleria at Tyler|Tyler Ranch Spa &amp; Salon</t>
  </si>
  <si>
    <t>Us Air Force Marines</t>
  </si>
  <si>
    <t>Galleria at Tyler|Us Air Force Marines</t>
  </si>
  <si>
    <t>Us Army/Navy Recruiting</t>
  </si>
  <si>
    <t>Galleria at Tyler|Us Army/Navy Recruiting</t>
  </si>
  <si>
    <t>Galleria at Tyler|Vans</t>
  </si>
  <si>
    <t>Galleria at Tyler|Verizon Wireless</t>
  </si>
  <si>
    <t>Galleria at Tyler|Victorias Secret</t>
  </si>
  <si>
    <t>Vixen And Beard</t>
  </si>
  <si>
    <t>Galleria at Tyler|Vixen And Beard</t>
  </si>
  <si>
    <t>Volcom</t>
  </si>
  <si>
    <t>Galleria at Tyler|Volcom</t>
  </si>
  <si>
    <t>Galleria at Tyler|Wetzels Pretzels</t>
  </si>
  <si>
    <t>Galleria at Tyler|Windsor</t>
  </si>
  <si>
    <t>Wireless Solutions Repair</t>
  </si>
  <si>
    <t>Galleria at Tyler|Wireless Solutions Repair</t>
  </si>
  <si>
    <t>Yard House</t>
  </si>
  <si>
    <t>Galleria at Tyler|Yard House</t>
  </si>
  <si>
    <t>Galleria at Tyler|Zales Jewelers</t>
  </si>
  <si>
    <t>Galleria at Tyler|Zumiez</t>
  </si>
  <si>
    <t>Hamilton Place Mall|96 Kickz</t>
  </si>
  <si>
    <t>Acropolis</t>
  </si>
  <si>
    <t>Hamilton Place Mall|Acropolis</t>
  </si>
  <si>
    <t>Hamilton Place Mall|Adore Me</t>
  </si>
  <si>
    <t>Hamilton Place Mall|Aerie</t>
  </si>
  <si>
    <t>Hamilton Place Mall|Aeropostale</t>
  </si>
  <si>
    <t>Hamilton Place Mall|Altar'd State</t>
  </si>
  <si>
    <t>Hamilton Place Mall|American Eagle Outfitters</t>
  </si>
  <si>
    <t>Hamilton Place Mall|Ann Taylor</t>
  </si>
  <si>
    <t>Aqua Footcare &amp; Massage Center</t>
  </si>
  <si>
    <t>Hamilton Place Mall|Aqua Footcare &amp; Massage Center</t>
  </si>
  <si>
    <t>Hamilton Place Mall|Auntie Annes</t>
  </si>
  <si>
    <t>Hamilton Place Mall|Banter by Piercing Pagoda</t>
  </si>
  <si>
    <t>Hamilton Place Mall|Barnes &amp; Noble</t>
  </si>
  <si>
    <t>Baskin Robbins</t>
  </si>
  <si>
    <t>Hamilton Place Mall|Baskin Robbins</t>
  </si>
  <si>
    <t>Hamilton Place Mall|Bassett Furniture</t>
  </si>
  <si>
    <t>Hamilton Place Mall|Bath &amp; Body Works</t>
  </si>
  <si>
    <t>Beauty Xpress</t>
  </si>
  <si>
    <t>Hamilton Place Mall|Beauty Xpress</t>
  </si>
  <si>
    <t>Hamilton Place Mall|Belk</t>
  </si>
  <si>
    <t>Beni's Cubano</t>
  </si>
  <si>
    <t>Hamilton Place Mall|Beni's Cubano</t>
  </si>
  <si>
    <t>Hamilton Place Mall|Box Lunch</t>
  </si>
  <si>
    <t>Hamilton Place Mall|Buckle</t>
  </si>
  <si>
    <t>Hamilton Place Mall|Build-A-Bear Workshop</t>
  </si>
  <si>
    <t>Candy City</t>
  </si>
  <si>
    <t>Hamilton Place Mall|Candy City</t>
  </si>
  <si>
    <t>Cell N Fix</t>
  </si>
  <si>
    <t>Hamilton Place Mall|Cell N Fix</t>
  </si>
  <si>
    <t>Hamilton Place Mall|CellXpert</t>
  </si>
  <si>
    <t>Central Park</t>
  </si>
  <si>
    <t>Hamilton Place Mall|Central Park</t>
  </si>
  <si>
    <t>Hamilton Place Mall|Champs Sports</t>
  </si>
  <si>
    <t>Hamilton Place Mall|Charley's Philly Steaks</t>
  </si>
  <si>
    <t>Hamilton Place Mall|Charlotte Russe</t>
  </si>
  <si>
    <t>Hamilton Place Mall|Chick-Fil-A</t>
  </si>
  <si>
    <t>Hamilton Place Mall|China Experience</t>
  </si>
  <si>
    <t>Hamilton Place Mall|Claire's</t>
  </si>
  <si>
    <t>Hamilton Place Mall|College Station</t>
  </si>
  <si>
    <t>Detour</t>
  </si>
  <si>
    <t>Hamilton Place Mall|Detour</t>
  </si>
  <si>
    <t>Hamilton Place Mall|Dillard's</t>
  </si>
  <si>
    <t>Hamilton Place Mall|Dry Goods</t>
  </si>
  <si>
    <t>Hamilton Place Mall|Earthbound Trading Company</t>
  </si>
  <si>
    <t>Hamilton Place Mall|Express</t>
  </si>
  <si>
    <t>Hamilton Place Mall|Foot Locker</t>
  </si>
  <si>
    <t>Hamilton Place Mall|GameStop</t>
  </si>
  <si>
    <t>Hamilton Place Mall|GNC</t>
  </si>
  <si>
    <t>Hamilton Place Mall|Great American Cookies</t>
  </si>
  <si>
    <t>Hamilton Place Mall|H&amp;M</t>
  </si>
  <si>
    <t>Hamilton Place Mall|Hollister</t>
  </si>
  <si>
    <t>Hamilton Place Mall|Hot Topic</t>
  </si>
  <si>
    <t>Infinity Diamonds</t>
  </si>
  <si>
    <t>Hamilton Place Mall|Infinity Diamonds</t>
  </si>
  <si>
    <t>Hamilton Place Mall|J.C. Penney</t>
  </si>
  <si>
    <t>Hamilton Place Mall|JD Sports</t>
  </si>
  <si>
    <t>Jewelry Express</t>
  </si>
  <si>
    <t>Hamilton Place Mall|Jewelry Express</t>
  </si>
  <si>
    <t>Hamilton Place Mall|Jos A. Bank</t>
  </si>
  <si>
    <t>Hamilton Place Mall|Journeys</t>
  </si>
  <si>
    <t>Hamilton Place Mall|Journeys Kidz</t>
  </si>
  <si>
    <t>Hamilton Place Mall|Kay Jewelers</t>
  </si>
  <si>
    <t>Hamilton Place Mall|Kids Foot Locker</t>
  </si>
  <si>
    <t>Hamilton Place Mall|Lenscrafters</t>
  </si>
  <si>
    <t>Hamilton Place Mall|Lids</t>
  </si>
  <si>
    <t>Hamilton Place Mall|LoveSac</t>
  </si>
  <si>
    <t>Hamilton Place Mall|Lovisa</t>
  </si>
  <si>
    <t>Hamilton Place Mall|Mango Thai</t>
  </si>
  <si>
    <t>Massage Envy</t>
  </si>
  <si>
    <t>Hamilton Place Mall|Massage Envy</t>
  </si>
  <si>
    <t>Hamilton Place Mall|Maurices</t>
  </si>
  <si>
    <t>Mcdonalds</t>
  </si>
  <si>
    <t>Hamilton Place Mall|Mcdonalds</t>
  </si>
  <si>
    <t>Hamilton Place Mall|Men's Wearhouse</t>
  </si>
  <si>
    <t>Hamilton Place Mall|Millers Ale House</t>
  </si>
  <si>
    <t>Hamilton Place Mall|Miniso</t>
  </si>
  <si>
    <t>Hamilton Place Mall|Mr. Cow</t>
  </si>
  <si>
    <t>Hamilton Place Mall|Oakley</t>
  </si>
  <si>
    <t>Hamilton Place Mall|Olive Garden Italian Restaurant</t>
  </si>
  <si>
    <t>Hamilton Place Mall|P.F. Changs</t>
  </si>
  <si>
    <t>Hamilton Place Mall|Palmetto Moon</t>
  </si>
  <si>
    <t>Hamilton Place Mall|Pandora</t>
  </si>
  <si>
    <t>Perfume Palace</t>
  </si>
  <si>
    <t>Hamilton Place Mall|Perfume Palace</t>
  </si>
  <si>
    <t>Pop Cult</t>
  </si>
  <si>
    <t>Hamilton Place Mall|Pop Cult</t>
  </si>
  <si>
    <t>Hamilton Place Mall|Pro Image Sports</t>
  </si>
  <si>
    <t>Hamilton Place Mall|Rack Room Shoes</t>
  </si>
  <si>
    <t>Hamilton Place Mall|Red Robin Gourmet Burgers</t>
  </si>
  <si>
    <t>Hamilton Place Mall|Rodizio Grill</t>
  </si>
  <si>
    <t>Hamilton Place Mall|Rose &amp; Remington</t>
  </si>
  <si>
    <t>Hamilton Place Mall|Rue21</t>
  </si>
  <si>
    <t>Hamilton Place Mall|Sarku Japan</t>
  </si>
  <si>
    <t>Hamilton Place Mall|Sbarro The Italian Eatery</t>
  </si>
  <si>
    <t>Hamilton Place Mall|Sephora</t>
  </si>
  <si>
    <t>Hamilton Place Mall|Shoe Department/Encore</t>
  </si>
  <si>
    <t>Hamilton Place Mall|Sleep Number</t>
  </si>
  <si>
    <t>Smoothie King</t>
  </si>
  <si>
    <t>Hamilton Place Mall|Smoothie King</t>
  </si>
  <si>
    <t>Hamilton Place Mall|Spencer Gifts</t>
  </si>
  <si>
    <t>Hamilton Place Mall|Starbucks Coffee</t>
  </si>
  <si>
    <t>Hamilton Place Mall|Sunglass Hut</t>
  </si>
  <si>
    <t>Taco Mamacita's</t>
  </si>
  <si>
    <t>Hamilton Place Mall|Taco Mamacita's</t>
  </si>
  <si>
    <t>Hamilton Place Mall|Texas Roadhouse</t>
  </si>
  <si>
    <t>Hamilton Place Mall|The Cheesecake Factory</t>
  </si>
  <si>
    <t>Hamilton Place Mall|The Childrens Place</t>
  </si>
  <si>
    <t>Totto Sushi &amp; Grill</t>
  </si>
  <si>
    <t>Hamilton Place Mall|Totto Sushi &amp; Grill</t>
  </si>
  <si>
    <t>Hamilton Place Mall|Tradehome Shoes</t>
  </si>
  <si>
    <t>Hamilton Place Mall|Vans</t>
  </si>
  <si>
    <t>Hamilton Place Mall|Victorias Secret</t>
  </si>
  <si>
    <t>Vintage Stock</t>
  </si>
  <si>
    <t>Hamilton Place Mall|Vintage Stock</t>
  </si>
  <si>
    <t>Hamilton Place Mall|Visionworks</t>
  </si>
  <si>
    <t>Hamilton Place Mall|Wasteless Solutions</t>
  </si>
  <si>
    <t>Hamilton Place Mall|White House | Black Market</t>
  </si>
  <si>
    <t>Hamilton Place Mall|Windsor</t>
  </si>
  <si>
    <t>Wireless Trendz</t>
  </si>
  <si>
    <t>Hamilton Place Mall|Wireless Trendz</t>
  </si>
  <si>
    <t>Hamilton Place Mall|Yankee Candle</t>
  </si>
  <si>
    <t>Hamilton Place Mall|Zales Jewelers</t>
  </si>
  <si>
    <t>Hamilton Place Mall|Zoomaroo</t>
  </si>
  <si>
    <t>Hamilton Place Mall|Zumiez</t>
  </si>
  <si>
    <t>1 Hour Jewelry Repair</t>
  </si>
  <si>
    <t>Hanes Mall|1 Hour Jewelry Repair</t>
  </si>
  <si>
    <t>Hanes Mall|Abercrombie &amp; Fitch</t>
  </si>
  <si>
    <t>Hanes Mall|Aeropostale</t>
  </si>
  <si>
    <t>Hanes Mall|Altar'd State</t>
  </si>
  <si>
    <t>Hanes Mall|American Eagle Outfitters</t>
  </si>
  <si>
    <t>Hanes Mall|Armed Forces Career Center</t>
  </si>
  <si>
    <t>Hanes Mall|Auntie Annes</t>
  </si>
  <si>
    <t>Balogh Associates VII, LLC</t>
  </si>
  <si>
    <t>Hanes Mall|Balogh Associates VII, LLC</t>
  </si>
  <si>
    <t>Hanes Mall|Banter By Piercing Pagoda</t>
  </si>
  <si>
    <t>Bapu Fresh Tea House</t>
  </si>
  <si>
    <t>Hanes Mall|Bapu Fresh Tea House</t>
  </si>
  <si>
    <t>Hanes Mall|Bath &amp; Body Works</t>
  </si>
  <si>
    <t>Hanes Mall|Belk</t>
  </si>
  <si>
    <t>Bella Spa &amp; Nails</t>
  </si>
  <si>
    <t>Hanes Mall|Bella Spa &amp; Nails</t>
  </si>
  <si>
    <t>Birkenstock</t>
  </si>
  <si>
    <t>Hanes Mall|Birkenstock</t>
  </si>
  <si>
    <t>Hanes Mall|BJ's Restaurant Brewhouse</t>
  </si>
  <si>
    <t>Blush Couture</t>
  </si>
  <si>
    <t>Hanes Mall|Blush Couture</t>
  </si>
  <si>
    <t>Hanes Mall|Books-A-Million</t>
  </si>
  <si>
    <t>Hanes Mall|Box Lunch</t>
  </si>
  <si>
    <t>Hanes Mall|Buckle</t>
  </si>
  <si>
    <t>Hanes Mall|Build-A-Bear Workshop</t>
  </si>
  <si>
    <t>Carolina Ale House</t>
  </si>
  <si>
    <t>Hanes Mall|Carolina Ale House</t>
  </si>
  <si>
    <t>Carolina Mobile Auto Service</t>
  </si>
  <si>
    <t>Hanes Mall|Carolina Mobile Auto Service</t>
  </si>
  <si>
    <t>Hanes Mall|Champs Sports</t>
  </si>
  <si>
    <t>Hanes Mall|Charley's Philly Steaks</t>
  </si>
  <si>
    <t>Hanes Mall|Charlotte Russe</t>
  </si>
  <si>
    <t>Hanes Mall|Chick-Fil-A</t>
  </si>
  <si>
    <t>Hanes Mall|Cinnabon</t>
  </si>
  <si>
    <t>Hanes Mall|Claire's</t>
  </si>
  <si>
    <t>Hanes Mall|Club Champion</t>
  </si>
  <si>
    <t>Cookie House</t>
  </si>
  <si>
    <t>Hanes Mall|Cookie House</t>
  </si>
  <si>
    <t>Hanes Mall|Dave &amp; Busters</t>
  </si>
  <si>
    <t>Deja Vu Tattoo &amp; Piercing</t>
  </si>
  <si>
    <t>Hanes Mall|Deja Vu Tattoo &amp; Piercing</t>
  </si>
  <si>
    <t>Deluxe Spa Nails</t>
  </si>
  <si>
    <t>Hanes Mall|Deluxe Spa Nails</t>
  </si>
  <si>
    <t>Hanes Mall|Dillard's</t>
  </si>
  <si>
    <t>Hanes Mall|DTLR</t>
  </si>
  <si>
    <t>Hanes Mall|Earthbound Trading Company</t>
  </si>
  <si>
    <t>Hanes Mall|Eddie Bauer</t>
  </si>
  <si>
    <t>Hanes Mall|Finish Line</t>
  </si>
  <si>
    <t>Hanes Mall|FYE Music &amp; Movies</t>
  </si>
  <si>
    <t>Hanes Mall|GameStop</t>
  </si>
  <si>
    <t>Hanes Mall|Gap</t>
  </si>
  <si>
    <t>GW Gyro &amp; Wings</t>
  </si>
  <si>
    <t>Hanes Mall|GW Gyro &amp; Wings</t>
  </si>
  <si>
    <t>Hanes Mall|H&amp;M</t>
  </si>
  <si>
    <t>Hanes Mall|Helzberg Diamonds</t>
  </si>
  <si>
    <t>Ho-b RC Park</t>
  </si>
  <si>
    <t>Hanes Mall|Ho-b RC Park</t>
  </si>
  <si>
    <t>Hanes Mall|Hollister</t>
  </si>
  <si>
    <t>Hanes Mall|Hot Topic</t>
  </si>
  <si>
    <t>Hanes Mall|House Of Hoops By Foot Locker</t>
  </si>
  <si>
    <t>Hanes Mall|J. Jill</t>
  </si>
  <si>
    <t>Hanes Mall|J.C. Penney</t>
  </si>
  <si>
    <t>Hanes Mall|Journeys</t>
  </si>
  <si>
    <t>Hanes Mall|Journeys Kidz</t>
  </si>
  <si>
    <t>Hanes Mall|Kay Jewelers</t>
  </si>
  <si>
    <t>Hanes Mall|Kids Foot Locker</t>
  </si>
  <si>
    <t>Hanes Mall|Lee Nails</t>
  </si>
  <si>
    <t>Hanes Mall|Lenscrafters</t>
  </si>
  <si>
    <t>Hanes Mall|Lids</t>
  </si>
  <si>
    <t>Hanes Mall|Locker Room by Lids</t>
  </si>
  <si>
    <t>Hanes Mall|Maurices</t>
  </si>
  <si>
    <t>Hanes Mall|Mcdonalds</t>
  </si>
  <si>
    <t>Merle Norman</t>
  </si>
  <si>
    <t>Hanes Mall|Merle Norman</t>
  </si>
  <si>
    <t>MGS Burgers &amp; Tacos</t>
  </si>
  <si>
    <t>Hanes Mall|MGS Burgers &amp; Tacos</t>
  </si>
  <si>
    <t>Hanes Mall|Miniso</t>
  </si>
  <si>
    <t>Hanes Mall|Miss A</t>
  </si>
  <si>
    <t>Mr. Smoothie</t>
  </si>
  <si>
    <t>Hanes Mall|Mr. Smoothie</t>
  </si>
  <si>
    <t>New Square</t>
  </si>
  <si>
    <t>Hanes Mall|New Square</t>
  </si>
  <si>
    <t>New York Jewelry</t>
  </si>
  <si>
    <t>Hanes Mall|New York Jewelry</t>
  </si>
  <si>
    <t>O Chi Massage-N-Spa</t>
  </si>
  <si>
    <t>Hanes Mall|O Chi Massage-N-Spa</t>
  </si>
  <si>
    <t>Hanes Mall|Old Navy</t>
  </si>
  <si>
    <t>Hanes Mall|Olive Garden Italian Restaurant</t>
  </si>
  <si>
    <t>Hanes Mall|Pacific Sunwear</t>
  </si>
  <si>
    <t>Hanes Mall|Palmetto Moon</t>
  </si>
  <si>
    <t>Hanes Mall|Pandora</t>
  </si>
  <si>
    <t>Hanes Mall|Perfume World</t>
  </si>
  <si>
    <t>Precious Bangles</t>
  </si>
  <si>
    <t>Hanes Mall|Precious Bangles</t>
  </si>
  <si>
    <t>Hanes Mall|Rack Room Shoes</t>
  </si>
  <si>
    <t>Hanes Mall|Red Robin Gourmet Burgers</t>
  </si>
  <si>
    <t>Repair Boss</t>
  </si>
  <si>
    <t>Hanes Mall|Repair Boss</t>
  </si>
  <si>
    <t>Hanes Mall|Rocky Mountain Chocolate Factory</t>
  </si>
  <si>
    <t>Ruby Thai Kitchen</t>
  </si>
  <si>
    <t>Hanes Mall|Ruby Thai Kitchen</t>
  </si>
  <si>
    <t>Hanes Mall|Rue21</t>
  </si>
  <si>
    <t>Runway Men's Wear</t>
  </si>
  <si>
    <t>Hanes Mall|Runway Men's Wear</t>
  </si>
  <si>
    <t>Hanes Mall|Sarku Japan</t>
  </si>
  <si>
    <t>Hanes Mall|Sbarro The Italian Eatery</t>
  </si>
  <si>
    <t>Hanes Mall|Sephora</t>
  </si>
  <si>
    <t>Hanes Mall|Shoe Department/Encore</t>
  </si>
  <si>
    <t>Hanes Mall|Simply Southern</t>
  </si>
  <si>
    <t>Hanes Mall|Snipes</t>
  </si>
  <si>
    <t>Hanes Mall|Spectrum</t>
  </si>
  <si>
    <t>Hanes Mall|Spencer Gifts</t>
  </si>
  <si>
    <t>Spring Tailor</t>
  </si>
  <si>
    <t>Hanes Mall|Spring Tailor</t>
  </si>
  <si>
    <t>Stir Fry 88</t>
  </si>
  <si>
    <t>Hanes Mall|Stir Fry 88</t>
  </si>
  <si>
    <t>Stoneage Natural Rocks</t>
  </si>
  <si>
    <t>Hanes Mall|Stoneage Natural Rocks</t>
  </si>
  <si>
    <t>Hanes Mall|Sunglass Hut</t>
  </si>
  <si>
    <t>Supreme Legacy Barbershop</t>
  </si>
  <si>
    <t>Hanes Mall|Supreme Legacy Barbershop</t>
  </si>
  <si>
    <t>Hanes Mall|Swish</t>
  </si>
  <si>
    <t>Hanes Mall|The Childrens Place</t>
  </si>
  <si>
    <t>Hanes Mall|Torrid</t>
  </si>
  <si>
    <t>Hanes Mall|Tradehome Shoes</t>
  </si>
  <si>
    <t>Truliant Federal Credit Union</t>
  </si>
  <si>
    <t>Hanes Mall|Truliant Federal Credit Union</t>
  </si>
  <si>
    <t>Unique Brows</t>
  </si>
  <si>
    <t>Hanes Mall|Unique Brows</t>
  </si>
  <si>
    <t>United States Post Office</t>
  </si>
  <si>
    <t>Hanes Mall|United States Post Office</t>
  </si>
  <si>
    <t>Hanes Mall|Vans</t>
  </si>
  <si>
    <t>Hanes Mall|Versona</t>
  </si>
  <si>
    <t>Hanes Mall|Victorias Secret</t>
  </si>
  <si>
    <t>Video Game World</t>
  </si>
  <si>
    <t>Hanes Mall|Video Game World</t>
  </si>
  <si>
    <t>Hanes Mall|Wasteless Solutions</t>
  </si>
  <si>
    <t>Watch Repair Shop</t>
  </si>
  <si>
    <t>Hanes Mall|Watch Repair Shop</t>
  </si>
  <si>
    <t>Watch Works</t>
  </si>
  <si>
    <t>Hanes Mall|Watch Works</t>
  </si>
  <si>
    <t>Hanes Mall|Windsor</t>
  </si>
  <si>
    <t>Winston I LLC &amp; Winston II LLC</t>
  </si>
  <si>
    <t>Hanes Mall|Winston I LLC &amp; Winston II LLC</t>
  </si>
  <si>
    <t>WOW Brows</t>
  </si>
  <si>
    <t>Hanes Mall|WOW Brows</t>
  </si>
  <si>
    <t>Hanes Mall|Yankee Candle</t>
  </si>
  <si>
    <t>Yolo Rollo</t>
  </si>
  <si>
    <t>Hanes Mall|Yolo Rollo</t>
  </si>
  <si>
    <t>Hanes Mall|Zales Jewelers</t>
  </si>
  <si>
    <t>Hanes Mall|Zumiez</t>
  </si>
  <si>
    <t>4Ever Young</t>
  </si>
  <si>
    <t>Kansas City Collection|4Ever Young</t>
  </si>
  <si>
    <t>Kansas City Collection|Allen Edmonds</t>
  </si>
  <si>
    <t>Kansas City Collection|Altar'd State</t>
  </si>
  <si>
    <t>Amazing Lash Studio</t>
  </si>
  <si>
    <t>Kansas City Collection|Amazing Lash Studio</t>
  </si>
  <si>
    <t>Kansas City Collection|American Eagle Outfitters</t>
  </si>
  <si>
    <t>Anthony Vince Nail Spa</t>
  </si>
  <si>
    <t>Kansas City Collection|Anthony Vince Nail Spa</t>
  </si>
  <si>
    <t>Kansas City Collection|Anthropologie</t>
  </si>
  <si>
    <t>Kansas City Collection|Apple</t>
  </si>
  <si>
    <t>Kansas City Collection|Apple Breakroom</t>
  </si>
  <si>
    <t>Apple Storage</t>
  </si>
  <si>
    <t>Kansas City Collection|Apple Storage</t>
  </si>
  <si>
    <t>Arhaus</t>
  </si>
  <si>
    <t>Kansas City Collection|Arhaus</t>
  </si>
  <si>
    <t>Aritzia</t>
  </si>
  <si>
    <t>Kansas City Collection|Aritzia</t>
  </si>
  <si>
    <t>Kansas City Collection|Aveda</t>
  </si>
  <si>
    <t>Kansas City Collection|Barnes &amp; Noble</t>
  </si>
  <si>
    <t>Kansas City Collection|Bath &amp; Body Works</t>
  </si>
  <si>
    <t>Blue Chip Cookies</t>
  </si>
  <si>
    <t>Kansas City Collection|Blue Chip Cookies</t>
  </si>
  <si>
    <t>Kansas City Collection|Bluemercury</t>
  </si>
  <si>
    <t>Kansas City Collection|Brighton Collectibles</t>
  </si>
  <si>
    <t>Bristol Seafood</t>
  </si>
  <si>
    <t>Kansas City Collection|Bristol Seafood</t>
  </si>
  <si>
    <t>Kansas City Collection|Brooks Brothers</t>
  </si>
  <si>
    <t>Brow Studio</t>
  </si>
  <si>
    <t>Kansas City Collection|Brow Studio</t>
  </si>
  <si>
    <t>Kansas City Collection|Buckle</t>
  </si>
  <si>
    <t>Kansas City Collection|Chico's</t>
  </si>
  <si>
    <t>Kansas City Collection|Claire's</t>
  </si>
  <si>
    <t>Kansas City Collection|Cold Stone Creamery</t>
  </si>
  <si>
    <t>Compass</t>
  </si>
  <si>
    <t>Kansas City Collection|Compass</t>
  </si>
  <si>
    <t>Confidential Future Retailer</t>
  </si>
  <si>
    <t>Kansas City Collection|Confidential Future Retailer</t>
  </si>
  <si>
    <t>Kansas City Collection|Crate &amp; Barrel</t>
  </si>
  <si>
    <t>Cyclebar</t>
  </si>
  <si>
    <t>Kansas City Collection|Cyclebar</t>
  </si>
  <si>
    <t>Kansas City Collection|Dry Goods</t>
  </si>
  <si>
    <t>Drybar</t>
  </si>
  <si>
    <t>Kansas City Collection|Drybar</t>
  </si>
  <si>
    <t>EJN Holdings</t>
  </si>
  <si>
    <t>Kansas City Collection|EJN Holdings</t>
  </si>
  <si>
    <t>Escapology</t>
  </si>
  <si>
    <t>Kansas City Collection|Escapology</t>
  </si>
  <si>
    <t>Kansas City Collection|Evereve</t>
  </si>
  <si>
    <t>Kansas City Collection|Fabletics</t>
  </si>
  <si>
    <t>Kansas City Collection|Francesca's</t>
  </si>
  <si>
    <t>Kansas City Collection|Gap</t>
  </si>
  <si>
    <t>Gorjana</t>
  </si>
  <si>
    <t>Kansas City Collection|Gorjana</t>
  </si>
  <si>
    <t>Heartland Bank</t>
  </si>
  <si>
    <t>Kansas City Collection|Heartland Bank</t>
  </si>
  <si>
    <t>Hereford House Restaurant</t>
  </si>
  <si>
    <t>Kansas City Collection|Hereford House Restaurant</t>
  </si>
  <si>
    <t>Houlihans</t>
  </si>
  <si>
    <t>Kansas City Collection|Houlihans</t>
  </si>
  <si>
    <t>Hudson Hawk</t>
  </si>
  <si>
    <t>Kansas City Collection|Hudson Hawk</t>
  </si>
  <si>
    <t>Kansas City Collection|J. Jill</t>
  </si>
  <si>
    <t>Kansas City Collection|J.Crew</t>
  </si>
  <si>
    <t>Kansas Sampler</t>
  </si>
  <si>
    <t>Kansas City Collection|Kansas Sampler</t>
  </si>
  <si>
    <t>Kansas City Collection|Kendra Scott</t>
  </si>
  <si>
    <t>Laser Away</t>
  </si>
  <si>
    <t>Kansas City Collection|Laser Away</t>
  </si>
  <si>
    <t>Kansas City Collection|Loft</t>
  </si>
  <si>
    <t>Kansas City Collection|LoveSac</t>
  </si>
  <si>
    <t>Kansas City Collection|Lululemon</t>
  </si>
  <si>
    <t>Kansas City Collection|Macys</t>
  </si>
  <si>
    <t>Madewell</t>
  </si>
  <si>
    <t>Kansas City Collection|Madewell</t>
  </si>
  <si>
    <t>Mizzen + Main</t>
  </si>
  <si>
    <t>Kansas City Collection|Mizzen + Main</t>
  </si>
  <si>
    <t>MTHD HAIR CO</t>
  </si>
  <si>
    <t>Kansas City Collection|MTHD HAIR CO</t>
  </si>
  <si>
    <t>North Restaurant</t>
  </si>
  <si>
    <t>Kansas City Collection|North Restaurant</t>
  </si>
  <si>
    <t>Kansas City Collection|Offline By Aerie</t>
  </si>
  <si>
    <t>Kansas City Collection|Pandora</t>
  </si>
  <si>
    <t>Kansas City Collection|Panera Bread</t>
  </si>
  <si>
    <t>Kansas City Collection|Paper Source</t>
  </si>
  <si>
    <t>Pinot's Palette</t>
  </si>
  <si>
    <t>Kansas City Collection|Pinot's Palette</t>
  </si>
  <si>
    <t>Kansas City Collection|Pottery Barn</t>
  </si>
  <si>
    <t>Power Life Yoga</t>
  </si>
  <si>
    <t>Kansas City Collection|Power Life Yoga</t>
  </si>
  <si>
    <t>Purple Mattress</t>
  </si>
  <si>
    <t>Kansas City Collection|Purple Mattress</t>
  </si>
  <si>
    <t>Kansas City Collection|Restoration Hardware</t>
  </si>
  <si>
    <t>Revocup Coffee</t>
  </si>
  <si>
    <t>Kansas City Collection|Revocup Coffee</t>
  </si>
  <si>
    <t>Roasterie Café</t>
  </si>
  <si>
    <t>Kansas City Collection|Roasterie Café</t>
  </si>
  <si>
    <t>Kansas City Collection|Rowan</t>
  </si>
  <si>
    <t>SalonOne19 &amp; Spa</t>
  </si>
  <si>
    <t>Kansas City Collection|SalonOne19 &amp; Spa</t>
  </si>
  <si>
    <t>Sandbox VR</t>
  </si>
  <si>
    <t>Kansas City Collection|Sandbox VR</t>
  </si>
  <si>
    <t>Scout &amp; Molly's</t>
  </si>
  <si>
    <t>Kansas City Collection|Scout &amp; Molly's</t>
  </si>
  <si>
    <t>Kansas City Collection|Sephora</t>
  </si>
  <si>
    <t>Kansas City Collection|Shake Shack</t>
  </si>
  <si>
    <t>Kansas City Collection|Sola Salon Studios</t>
  </si>
  <si>
    <t>Kansas City Collection|Soma Intimates</t>
  </si>
  <si>
    <t>Sullivan's</t>
  </si>
  <si>
    <t>Kansas City Collection|Sullivan's</t>
  </si>
  <si>
    <t>Sundance</t>
  </si>
  <si>
    <t>Kansas City Collection|Sundance</t>
  </si>
  <si>
    <t>Kansas City Collection|Sunglass Hut</t>
  </si>
  <si>
    <t>Sushi House</t>
  </si>
  <si>
    <t>Kansas City Collection|Sushi House</t>
  </si>
  <si>
    <t>Tao Reflexology</t>
  </si>
  <si>
    <t>Kansas City Collection|Tao Reflexology</t>
  </si>
  <si>
    <t>Tecovas</t>
  </si>
  <si>
    <t>Kansas City Collection|Tecovas</t>
  </si>
  <si>
    <t>Kansas City Collection|Tempur-Pedic</t>
  </si>
  <si>
    <t>The Art of Sports</t>
  </si>
  <si>
    <t>Kansas City Collection|The Art of Sports</t>
  </si>
  <si>
    <t>Kansas City Collection|The North Face</t>
  </si>
  <si>
    <t>Kansas City Collection|The Shade Store</t>
  </si>
  <si>
    <t>The Woodhouse Day Spa</t>
  </si>
  <si>
    <t>Kansas City Collection|The Woodhouse Day Spa</t>
  </si>
  <si>
    <t>Kansas City Collection|Tommy Bahama</t>
  </si>
  <si>
    <t>Trader Joe's</t>
  </si>
  <si>
    <t>Kansas City Collection|Trader Joe's</t>
  </si>
  <si>
    <t>Treats Unleashed</t>
  </si>
  <si>
    <t>Kansas City Collection|Treats Unleashed</t>
  </si>
  <si>
    <t>Kansas City Collection|Vera Bradley</t>
  </si>
  <si>
    <t>Vineyard Vines</t>
  </si>
  <si>
    <t>Kansas City Collection|Vineyard Vines</t>
  </si>
  <si>
    <t>Walgreens</t>
  </si>
  <si>
    <t>Kansas City Collection|Walgreens</t>
  </si>
  <si>
    <t>Kansas City Collection|Warby Parker</t>
  </si>
  <si>
    <t>Kansas City Collection|White House | Black Market</t>
  </si>
  <si>
    <t>Whole Harvest</t>
  </si>
  <si>
    <t>Kansas City Collection|Whole Harvest</t>
  </si>
  <si>
    <t>Kansas City Collection|Williams Sonoma</t>
  </si>
  <si>
    <t>X-GOLF</t>
  </si>
  <si>
    <t>Kansas City Collection|X-GOLF</t>
  </si>
  <si>
    <t>Kansas City Collection|Yankee Candle</t>
  </si>
  <si>
    <t>Yeti</t>
  </si>
  <si>
    <t>Kansas City Collection|Yeti</t>
  </si>
  <si>
    <t>1Life Healthcare</t>
  </si>
  <si>
    <t>LaCenterra at Cinco Ranch|1Life Healthcare</t>
  </si>
  <si>
    <t>Active Care</t>
  </si>
  <si>
    <t>LaCenterra at Cinco Ranch|Active Care</t>
  </si>
  <si>
    <t>Adams Law Firm</t>
  </si>
  <si>
    <t>LaCenterra at Cinco Ranch|Adams Law Firm</t>
  </si>
  <si>
    <t>Alamo Drafthouse</t>
  </si>
  <si>
    <t>LaCenterra at Cinco Ranch|Alamo Drafthouse</t>
  </si>
  <si>
    <t>Ambriza Social</t>
  </si>
  <si>
    <t>LaCenterra at Cinco Ranch|Ambriza Social</t>
  </si>
  <si>
    <t>Amerjuve</t>
  </si>
  <si>
    <t>LaCenterra at Cinco Ranch|Amerjuve</t>
  </si>
  <si>
    <t>Amphenol</t>
  </si>
  <si>
    <t>LaCenterra at Cinco Ranch|Amphenol</t>
  </si>
  <si>
    <t>LaCenterra at Cinco Ranch|Athleta</t>
  </si>
  <si>
    <t>Aurea Salon</t>
  </si>
  <si>
    <t>LaCenterra at Cinco Ranch|Aurea Salon</t>
  </si>
  <si>
    <t>Azure Midtream Energy</t>
  </si>
  <si>
    <t>LaCenterra at Cinco Ranch|Azure Midtream Energy</t>
  </si>
  <si>
    <t>Boardroom Salon</t>
  </si>
  <si>
    <t>LaCenterra at Cinco Ranch|Boardroom Salon</t>
  </si>
  <si>
    <t>Buff City Soap</t>
  </si>
  <si>
    <t>LaCenterra at Cinco Ranch|Buff City Soap</t>
  </si>
  <si>
    <t>LaCenterra at Cinco Ranch|Cava Grill</t>
  </si>
  <si>
    <t>Chewy</t>
  </si>
  <si>
    <t>LaCenterra at Cinco Ranch|Chewy</t>
  </si>
  <si>
    <t>LaCenterra at Cinco Ranch|Chico's</t>
  </si>
  <si>
    <t>Cinco Dental Care</t>
  </si>
  <si>
    <t>LaCenterra at Cinco Ranch|Cinco Dental Care</t>
  </si>
  <si>
    <t>LaCenterra at Cinco Ranch|Claire's</t>
  </si>
  <si>
    <t>CLS Health</t>
  </si>
  <si>
    <t>LaCenterra at Cinco Ranch|CLS Health</t>
  </si>
  <si>
    <t>Consuela</t>
  </si>
  <si>
    <t>LaCenterra at Cinco Ranch|Consuela</t>
  </si>
  <si>
    <t>Dish Society</t>
  </si>
  <si>
    <t>LaCenterra at Cinco Ranch|Dish Society</t>
  </si>
  <si>
    <t>Edward Jones</t>
  </si>
  <si>
    <t>LaCenterra at Cinco Ranch|Edward Jones</t>
  </si>
  <si>
    <t>Elements Massage</t>
  </si>
  <si>
    <t>LaCenterra at Cinco Ranch|Elements Massage</t>
  </si>
  <si>
    <t>Express Employment</t>
  </si>
  <si>
    <t>LaCenterra at Cinco Ranch|Express Employment</t>
  </si>
  <si>
    <t>Fidelity Investments</t>
  </si>
  <si>
    <t>LaCenterra at Cinco Ranch|Fidelity Investments</t>
  </si>
  <si>
    <t>Fleet Feet</t>
  </si>
  <si>
    <t>LaCenterra at Cinco Ranch|Fleet Feet</t>
  </si>
  <si>
    <t>LaCenterra at Cinco Ranch|Francesca's</t>
  </si>
  <si>
    <t>Frontier Title Company</t>
  </si>
  <si>
    <t>LaCenterra at Cinco Ranch|Frontier Title Company</t>
  </si>
  <si>
    <t>Gelato &amp; Company</t>
  </si>
  <si>
    <t>LaCenterra at Cinco Ranch|Gelato &amp; Company</t>
  </si>
  <si>
    <t>Grimaldi's Pizza</t>
  </si>
  <si>
    <t>LaCenterra at Cinco Ranch|Grimaldi's Pizza</t>
  </si>
  <si>
    <t>Half Shells Seafood</t>
  </si>
  <si>
    <t>LaCenterra at Cinco Ranch|Half Shells Seafood</t>
  </si>
  <si>
    <t>Houston TX Hot Chicken</t>
  </si>
  <si>
    <t>LaCenterra at Cinco Ranch|Houston TX Hot Chicken</t>
  </si>
  <si>
    <t>IKEA</t>
  </si>
  <si>
    <t>LaCenterra at Cinco Ranch|IKEA</t>
  </si>
  <si>
    <t>Image Orthodontics</t>
  </si>
  <si>
    <t>LaCenterra at Cinco Ranch|Image Orthodontics</t>
  </si>
  <si>
    <t>LaCenterra at Cinco Ranch|J. Jill</t>
  </si>
  <si>
    <t>Jaibum Kim DDS</t>
  </si>
  <si>
    <t>LaCenterra at Cinco Ranch|Jaibum Kim DDS</t>
  </si>
  <si>
    <t>LaCenterra at Cinco Ranch|Jamba Juice</t>
  </si>
  <si>
    <t>LaCenterra at Cinco Ranch|Jos A. Bank</t>
  </si>
  <si>
    <t>LaCenterra at Cinco Ranch|Kendra Scott</t>
  </si>
  <si>
    <t>Kilwins Chocolates &amp; Ice Cream Shop</t>
  </si>
  <si>
    <t>LaCenterra at Cinco Ranch|Kilwins Chocolates &amp; Ice Cream Shop</t>
  </si>
  <si>
    <t>LaCenterra at Cinco Ranch|Lenscrafters</t>
  </si>
  <si>
    <t>LG Counseling</t>
  </si>
  <si>
    <t>LaCenterra at Cinco Ranch|LG Counseling</t>
  </si>
  <si>
    <t>LaCenterra at Cinco Ranch|Loft</t>
  </si>
  <si>
    <t>LaCenterra at Cinco Ranch|LoveSac</t>
  </si>
  <si>
    <t>LaCenterra at Cinco Ranch|Lululemon</t>
  </si>
  <si>
    <t>Madison Reed Color Bar</t>
  </si>
  <si>
    <t>LaCenterra at Cinco Ranch|Madison Reed Color Bar</t>
  </si>
  <si>
    <t>Merit Advisors</t>
  </si>
  <si>
    <t>LaCenterra at Cinco Ranch|Merit Advisors</t>
  </si>
  <si>
    <t>LaCenterra at Cinco Ranch|Merle Norman</t>
  </si>
  <si>
    <t>Moffat and Nichol</t>
  </si>
  <si>
    <t>LaCenterra at Cinco Ranch|Moffat and Nichol</t>
  </si>
  <si>
    <t>Music &amp; Arts Center</t>
  </si>
  <si>
    <t>LaCenterra at Cinco Ranch|Music &amp; Arts Center</t>
  </si>
  <si>
    <t>Nando's</t>
  </si>
  <si>
    <t>LaCenterra at Cinco Ranch|Nando's</t>
  </si>
  <si>
    <t>Nike</t>
  </si>
  <si>
    <t>LaCenterra at Cinco Ranch|Nike</t>
  </si>
  <si>
    <t>Nothing Bundt Cakes</t>
  </si>
  <si>
    <t>LaCenterra at Cinco Ranch|Nothing Bundt Cakes</t>
  </si>
  <si>
    <t>NRT Texas</t>
  </si>
  <si>
    <t>LaCenterra at Cinco Ranch|NRT Texas</t>
  </si>
  <si>
    <t>LaCenterra at Cinco Ranch|Pandora</t>
  </si>
  <si>
    <t>Peloton</t>
  </si>
  <si>
    <t>LaCenterra at Cinco Ranch|Peloton</t>
  </si>
  <si>
    <t>Perry's Steakhouse</t>
  </si>
  <si>
    <t>LaCenterra at Cinco Ranch|Perry's Steakhouse</t>
  </si>
  <si>
    <t>LaCenterra at Cinco Ranch|PNC Bank</t>
  </si>
  <si>
    <t>Postino Wine Bar</t>
  </si>
  <si>
    <t>LaCenterra at Cinco Ranch|Postino Wine Bar</t>
  </si>
  <si>
    <t>Pucci Cafe</t>
  </si>
  <si>
    <t>LaCenterra at Cinco Ranch|Pucci Cafe</t>
  </si>
  <si>
    <t>LaCenterra at Cinco Ranch|Pure Barre</t>
  </si>
  <si>
    <t>Regus</t>
  </si>
  <si>
    <t>LaCenterra at Cinco Ranch|Regus</t>
  </si>
  <si>
    <t>Relax the Back</t>
  </si>
  <si>
    <t>LaCenterra at Cinco Ranch|Relax the Back</t>
  </si>
  <si>
    <t>RouxPour</t>
  </si>
  <si>
    <t>LaCenterra at Cinco Ranch|RouxPour</t>
  </si>
  <si>
    <t>LaCenterra at Cinco Ranch|Sephora</t>
  </si>
  <si>
    <t>LaCenterra at Cinco Ranch|SkinSpirit</t>
  </si>
  <si>
    <t>Snooze</t>
  </si>
  <si>
    <t>LaCenterra at Cinco Ranch|Snooze</t>
  </si>
  <si>
    <t>LaCenterra at Cinco Ranch|Soma Intimates</t>
  </si>
  <si>
    <t>Spice and Tea</t>
  </si>
  <si>
    <t>LaCenterra at Cinco Ranch|Spice and Tea</t>
  </si>
  <si>
    <t>Sports Clips</t>
  </si>
  <si>
    <t>LaCenterra at Cinco Ranch|Sports Clips</t>
  </si>
  <si>
    <t>LaCenterra at Cinco Ranch|Starbucks Coffee</t>
  </si>
  <si>
    <t>Steadfast Primary Care</t>
  </si>
  <si>
    <t>LaCenterra at Cinco Ranch|Steadfast Primary Care</t>
  </si>
  <si>
    <t>Stokan Jaggers &amp; Associates</t>
  </si>
  <si>
    <t>LaCenterra at Cinco Ranch|Stokan Jaggers &amp; Associates</t>
  </si>
  <si>
    <t>Studio 1220 Next Gen</t>
  </si>
  <si>
    <t>LaCenterra at Cinco Ranch|Studio 1220 Next Gen</t>
  </si>
  <si>
    <t>Sweet Paris</t>
  </si>
  <si>
    <t>LaCenterra at Cinco Ranch|Sweet Paris</t>
  </si>
  <si>
    <t>LaCenterra at Cinco Ranch|Talbots</t>
  </si>
  <si>
    <t>Teal Poppy</t>
  </si>
  <si>
    <t>LaCenterra at Cinco Ranch|Teal Poppy</t>
  </si>
  <si>
    <t>The Salty Donut</t>
  </si>
  <si>
    <t>LaCenterra at Cinco Ranch|The Salty Donut</t>
  </si>
  <si>
    <t>LaCenterra at Cinco Ranch|The Shade Store</t>
  </si>
  <si>
    <t>Tokachi</t>
  </si>
  <si>
    <t>LaCenterra at Cinco Ranch|Tokachi</t>
  </si>
  <si>
    <t>Toni and Guy</t>
  </si>
  <si>
    <t>LaCenterra at Cinco Ranch|Toni and Guy</t>
  </si>
  <si>
    <t>Torchy's Taco</t>
  </si>
  <si>
    <t>LaCenterra at Cinco Ranch|Torchy's Taco</t>
  </si>
  <si>
    <t>Tox Strategies</t>
  </si>
  <si>
    <t>LaCenterra at Cinco Ranch|Tox Strategies</t>
  </si>
  <si>
    <t>LaCenterra at Cinco Ranch|Trader Joe's</t>
  </si>
  <si>
    <t>UPS Store</t>
  </si>
  <si>
    <t>LaCenterra at Cinco Ranch|UPS Store</t>
  </si>
  <si>
    <t>Venetian Nail Spa</t>
  </si>
  <si>
    <t>LaCenterra at Cinco Ranch|Venetian Nail Spa</t>
  </si>
  <si>
    <t>LaCenterra at Cinco Ranch|Warby Parker</t>
  </si>
  <si>
    <t>Weichert Realtors</t>
  </si>
  <si>
    <t>LaCenterra at Cinco Ranch|Weichert Realtors</t>
  </si>
  <si>
    <t>LaCenterra at Cinco Ranch|White House | Black Market</t>
  </si>
  <si>
    <t>LaCenterra at Cinco Ranch|World of Beer</t>
  </si>
  <si>
    <t>Liberty Center|Agave &amp; Rye</t>
  </si>
  <si>
    <t>Liberty Center|American Eagle Outfitters</t>
  </si>
  <si>
    <t>Liberty Center|Anthony Vince Nail Spa</t>
  </si>
  <si>
    <t>Asian Max</t>
  </si>
  <si>
    <t>Liberty Center|Asian Max</t>
  </si>
  <si>
    <t>Liberty Center|Auntie Annes</t>
  </si>
  <si>
    <t>Liberty Center|Bath &amp; Body Works</t>
  </si>
  <si>
    <t>Bella Divine</t>
  </si>
  <si>
    <t>Liberty Center|Bella Divine</t>
  </si>
  <si>
    <t>Bibibop Asian Grill</t>
  </si>
  <si>
    <t>Liberty Center|Bibibop Asian Grill</t>
  </si>
  <si>
    <t>Liberty Center|Box Lunch</t>
  </si>
  <si>
    <t>Liberty Center|Buckle</t>
  </si>
  <si>
    <t>Liberty Center|Build-A-Bear Workshop</t>
  </si>
  <si>
    <t>Liberty Center|Champs Sports</t>
  </si>
  <si>
    <t>Liberty Center|Charley's Philly Steaks</t>
  </si>
  <si>
    <t>Liberty Center|Chico's</t>
  </si>
  <si>
    <t>Liberty Center|Cinnabon</t>
  </si>
  <si>
    <t>Liberty Center|Claire's</t>
  </si>
  <si>
    <t>Liberty Center|Coopers Hawk Winery &amp; Restaurant</t>
  </si>
  <si>
    <t>Liberty Center|Dry Goods</t>
  </si>
  <si>
    <t>Elevate Office</t>
  </si>
  <si>
    <t>Liberty Center|Elevate Office</t>
  </si>
  <si>
    <t>Liberty Center|Express</t>
  </si>
  <si>
    <t>F45 Training</t>
  </si>
  <si>
    <t>Liberty Center|F45 Training</t>
  </si>
  <si>
    <t>Folchi Formal Wear</t>
  </si>
  <si>
    <t>Liberty Center|Folchi Formal Wear</t>
  </si>
  <si>
    <t>Liberty Center|Foot Locker</t>
  </si>
  <si>
    <t>Ford’s Garage</t>
  </si>
  <si>
    <t>Liberty Center|Ford’s Garage</t>
  </si>
  <si>
    <t>Liberty Center|Francesca's</t>
  </si>
  <si>
    <t>Frutta Bowls</t>
  </si>
  <si>
    <t>Liberty Center|Frutta Bowls</t>
  </si>
  <si>
    <t>Liberty Center|Funny Bone Comedy Club and Restaurant</t>
  </si>
  <si>
    <t>Graeter's Ice Cream</t>
  </si>
  <si>
    <t>Liberty Center|Graeter's Ice Cream</t>
  </si>
  <si>
    <t>Liberty Center|Great American Cookies</t>
  </si>
  <si>
    <t>Liberty Center|H&amp;M</t>
  </si>
  <si>
    <t>Liberty Center|Hannoush Jewelers</t>
  </si>
  <si>
    <t>Liberty Center|Hollister</t>
  </si>
  <si>
    <t>Liberty Center|Hot Topic</t>
  </si>
  <si>
    <t>iFly Indoor Skydiving</t>
  </si>
  <si>
    <t>Liberty Center|iFly Indoor Skydiving</t>
  </si>
  <si>
    <t>In the Game</t>
  </si>
  <si>
    <t>Liberty Center|In the Game</t>
  </si>
  <si>
    <t>Liberty Center|It'Sugar</t>
  </si>
  <si>
    <t>Jake's Toggery</t>
  </si>
  <si>
    <t>Liberty Center|Jake's Toggery</t>
  </si>
  <si>
    <t>Liberty Center|Journeys</t>
  </si>
  <si>
    <t>Liberty Center|Kendra Scott</t>
  </si>
  <si>
    <t>Liberty Center|Kona Grill</t>
  </si>
  <si>
    <t>Liberty Center|Le Macaron</t>
  </si>
  <si>
    <t>Liberty Center|Lenscrafters</t>
  </si>
  <si>
    <t>Liberty Center|Lids</t>
  </si>
  <si>
    <t>Liberty Center|Lululemon</t>
  </si>
  <si>
    <t>Liberty Center|Lush Fresh Handmade Cosmetics</t>
  </si>
  <si>
    <t>Northstar Cafe</t>
  </si>
  <si>
    <t>Liberty Center|Northstar Cafe</t>
  </si>
  <si>
    <t>Occasionally Yours</t>
  </si>
  <si>
    <t>Liberty Center|Occasionally Yours</t>
  </si>
  <si>
    <t>Liberty Center|Old Navy</t>
  </si>
  <si>
    <t>Liberty Center|Pacific Sunwear</t>
  </si>
  <si>
    <t>Liberty Center|Pandora</t>
  </si>
  <si>
    <t>Pen &amp; Nash</t>
  </si>
  <si>
    <t>Liberty Center|Pen &amp; Nash</t>
  </si>
  <si>
    <t>Pies &amp; Pints</t>
  </si>
  <si>
    <t>Liberty Center|Pies &amp; Pints</t>
  </si>
  <si>
    <t>PopShelf</t>
  </si>
  <si>
    <t>Liberty Center|PopShelf</t>
  </si>
  <si>
    <t>Prime IV Hydration &amp; Wellness</t>
  </si>
  <si>
    <t>Liberty Center|Prime IV Hydration &amp; Wellness</t>
  </si>
  <si>
    <t>Liberty Center|Rally House</t>
  </si>
  <si>
    <t>Liberty Center|Sandbox VR</t>
  </si>
  <si>
    <t>Liberty Center|Sbarro The Italian Eatery</t>
  </si>
  <si>
    <t>Sea Love</t>
  </si>
  <si>
    <t>Liberty Center|Sea Love</t>
  </si>
  <si>
    <t>Liberty Center|Sephora</t>
  </si>
  <si>
    <t>Shindig Park and Son of a Butcher</t>
  </si>
  <si>
    <t>Liberty Center|Shindig Park and Son of a Butcher</t>
  </si>
  <si>
    <t>Liberty Center|Soma Intimates</t>
  </si>
  <si>
    <t>Liberty Center|Spencer Gifts</t>
  </si>
  <si>
    <t>Liberty Center|Starbucks Coffee</t>
  </si>
  <si>
    <t>Liberty Center|Sunglass Hut</t>
  </si>
  <si>
    <t>Sweetgreen</t>
  </si>
  <si>
    <t>Liberty Center|Sweetgreen</t>
  </si>
  <si>
    <t>Liberty Center|Talbots</t>
  </si>
  <si>
    <t>Liberty Center|The Cheesecake Factory</t>
  </si>
  <si>
    <t>Liberty Center|The Childrens Place</t>
  </si>
  <si>
    <t>The Roosevelt Room</t>
  </si>
  <si>
    <t>Liberty Center|The Roosevelt Room</t>
  </si>
  <si>
    <t>Liberty Center|T-Mobile</t>
  </si>
  <si>
    <t>Toast &amp; Berry</t>
  </si>
  <si>
    <t>Liberty Center|Toast &amp; Berry</t>
  </si>
  <si>
    <t>Liberty Center|Torrid</t>
  </si>
  <si>
    <t>Liberty Center|Victorias Secret</t>
  </si>
  <si>
    <t>Liberty Center|Warby Parker</t>
  </si>
  <si>
    <t>Liberty Center|White House | Black Market</t>
  </si>
  <si>
    <t>Liberty Center|Windsor</t>
  </si>
  <si>
    <t>Liberty Center|Yihi Japan</t>
  </si>
  <si>
    <t>Liberty Center|Zales Jewelers</t>
  </si>
  <si>
    <t>Liberty Center|Zumiez</t>
  </si>
  <si>
    <t>Mall at Partridge Creek|American Eagle Outfitters</t>
  </si>
  <si>
    <t>Andiamo Pasta &amp; Chops</t>
  </si>
  <si>
    <t>Mall at Partridge Creek|Andiamo Pasta &amp; Chops</t>
  </si>
  <si>
    <t>Mall at Partridge Creek|Ann Taylor</t>
  </si>
  <si>
    <t>Mall at Partridge Creek|Auntie Annes</t>
  </si>
  <si>
    <t>Mall at Partridge Creek|Bath &amp; Body Works</t>
  </si>
  <si>
    <t>Mall at Partridge Creek|Box Lunch</t>
  </si>
  <si>
    <t>Mall at Partridge Creek|Brighton Collectibles</t>
  </si>
  <si>
    <t>Bubbleology</t>
  </si>
  <si>
    <t>Mall at Partridge Creek|Bubbleology</t>
  </si>
  <si>
    <t>Mall at Partridge Creek|Buckle</t>
  </si>
  <si>
    <t>Mall at Partridge Creek|California Pizza Kitchen</t>
  </si>
  <si>
    <t>Cellar 59</t>
  </si>
  <si>
    <t>Mall at Partridge Creek|Cellar 59</t>
  </si>
  <si>
    <t>Mall at Partridge Creek|Chico's</t>
  </si>
  <si>
    <t>Mall at Partridge Creek|Claire's</t>
  </si>
  <si>
    <t>Mall at Partridge Creek|Coach</t>
  </si>
  <si>
    <t>Mall at Partridge Creek|Coopers Hawk Winery &amp; Restaurant</t>
  </si>
  <si>
    <t>Mall at Partridge Creek|Crocs</t>
  </si>
  <si>
    <t>Mall at Partridge Creek|Dick's Sporting Goods</t>
  </si>
  <si>
    <t>Mall at Partridge Creek|Dry Goods</t>
  </si>
  <si>
    <t>Mall at Partridge Creek|Eddie Bauer</t>
  </si>
  <si>
    <t>Mall at Partridge Creek|European Wax Center</t>
  </si>
  <si>
    <t>Mall at Partridge Creek|Evereve</t>
  </si>
  <si>
    <t>Mall at Partridge Creek|Express</t>
  </si>
  <si>
    <t>Mall at Partridge Creek|Francesca's</t>
  </si>
  <si>
    <t>Mall at Partridge Creek|Hollister</t>
  </si>
  <si>
    <t>HopCat</t>
  </si>
  <si>
    <t>Mall at Partridge Creek|HopCat</t>
  </si>
  <si>
    <t>Mall at Partridge Creek|Hot Topic</t>
  </si>
  <si>
    <t>J. Barbaro Clothiers</t>
  </si>
  <si>
    <t>Mall at Partridge Creek|J. Barbaro Clothiers</t>
  </si>
  <si>
    <t>Mall at Partridge Creek|JD Sports</t>
  </si>
  <si>
    <t>Mall at Partridge Creek|Journeys</t>
  </si>
  <si>
    <t>Mall at Partridge Creek|Kay Jewelers</t>
  </si>
  <si>
    <t>Kids Empire</t>
  </si>
  <si>
    <t>Mall at Partridge Creek|Kids Empire</t>
  </si>
  <si>
    <t>Kiki at Partridge Creek</t>
  </si>
  <si>
    <t>Mall at Partridge Creek|Kiki at Partridge Creek</t>
  </si>
  <si>
    <t>L.L. Bean</t>
  </si>
  <si>
    <t>Mall at Partridge Creek|L.L. Bean</t>
  </si>
  <si>
    <t>Mall at Partridge Creek|Lane Bryant</t>
  </si>
  <si>
    <t>Mall at Partridge Creek|Lenscrafters</t>
  </si>
  <si>
    <t>Mall at Partridge Creek|Lids</t>
  </si>
  <si>
    <t>Mall at Partridge Creek|Loft</t>
  </si>
  <si>
    <t>Mall at Partridge Creek|LoveSac</t>
  </si>
  <si>
    <t>Mall at Partridge Creek|Lovisa</t>
  </si>
  <si>
    <t>Mall at Partridge Creek|Lucky Brand Jeans</t>
  </si>
  <si>
    <t>Mall at Partridge Creek|Lululemon</t>
  </si>
  <si>
    <t>Mall at Partridge Creek|Lush Fresh Handmade Cosmetics</t>
  </si>
  <si>
    <t>MJR Digital Cinema 14</t>
  </si>
  <si>
    <t>Mall at Partridge Creek|MJR Digital Cinema 14</t>
  </si>
  <si>
    <t>Mall at Partridge Creek|Mobile Fix</t>
  </si>
  <si>
    <t>Mr. Miguel's Mexican Grille &amp; Cantina</t>
  </si>
  <si>
    <t>Mall at Partridge Creek|Mr. Miguel's Mexican Grille &amp; Cantina</t>
  </si>
  <si>
    <t>Mall at Partridge Creek|P.F. Changs</t>
  </si>
  <si>
    <t>Mall at Partridge Creek|Pandora</t>
  </si>
  <si>
    <t>Mall at Partridge Creek|Rocky Mountain Chocolate Factory</t>
  </si>
  <si>
    <t>Mall at Partridge Creek|Sephora</t>
  </si>
  <si>
    <t>Mall at Partridge Creek|Sola Salon Studios</t>
  </si>
  <si>
    <t>Mall at Partridge Creek|Soma Intimates</t>
  </si>
  <si>
    <t>Mall at Partridge Creek|Spencer Gifts</t>
  </si>
  <si>
    <t>Mall at Partridge Creek|Starbucks Coffee</t>
  </si>
  <si>
    <t>Mall at Partridge Creek|Sunglass Hut</t>
  </si>
  <si>
    <t>Mall at Partridge Creek|Surf City Squeeze</t>
  </si>
  <si>
    <t>Mall at Partridge Creek|Swarovski</t>
  </si>
  <si>
    <t>Mall at Partridge Creek|The B12 Store</t>
  </si>
  <si>
    <t>The Nail Lounge</t>
  </si>
  <si>
    <t>Mall at Partridge Creek|The Nail Lounge</t>
  </si>
  <si>
    <t>Three Dog Bakery</t>
  </si>
  <si>
    <t>Mall at Partridge Creek|Three Dog Bakery</t>
  </si>
  <si>
    <t>Mall at Partridge Creek|Tricho Salon &amp; Spa</t>
  </si>
  <si>
    <t>Mall at Partridge Creek|Trollbeads</t>
  </si>
  <si>
    <t>Mall at Partridge Creek|Vera Bradley</t>
  </si>
  <si>
    <t>Mall at Partridge Creek|Versona</t>
  </si>
  <si>
    <t>Mall at Partridge Creek|Victorias Secret</t>
  </si>
  <si>
    <t>Mall at Partridge Creek|White House | Black Market</t>
  </si>
  <si>
    <t>Mall at Partridge Creek|Windsor</t>
  </si>
  <si>
    <t>Mall at Partridge Creek|Zales Jewelers</t>
  </si>
  <si>
    <t>Mall at Partridge Creek|Zumiez</t>
  </si>
  <si>
    <t>&amp;pizza</t>
  </si>
  <si>
    <t>Mall at Prince Georges|&amp;pizza</t>
  </si>
  <si>
    <t>A &amp; A Jewelers</t>
  </si>
  <si>
    <t>Mall at Prince Georges|A &amp; A Jewelers</t>
  </si>
  <si>
    <t>Mall at Prince Georges|Against All Odds</t>
  </si>
  <si>
    <t>Allure Jewelers</t>
  </si>
  <si>
    <t>Mall at Prince Georges|Allure Jewelers</t>
  </si>
  <si>
    <t>Ashley Stewart</t>
  </si>
  <si>
    <t>Mall at Prince Georges|Ashley Stewart</t>
  </si>
  <si>
    <t>Mall at Prince Georges|AT&amp;T</t>
  </si>
  <si>
    <t>Mall at Prince Georges|Auntie Annes</t>
  </si>
  <si>
    <t>Mall at Prince Georges|Bath &amp; Body Works</t>
  </si>
  <si>
    <t>Bling Jewelry &amp; Repair</t>
  </si>
  <si>
    <t>Mall at Prince Georges|Bling Jewelry &amp; Repair</t>
  </si>
  <si>
    <t>California Grill</t>
  </si>
  <si>
    <t>Mall at Prince Georges|California Grill</t>
  </si>
  <si>
    <t>Mall at Prince Georges|Champs Sports</t>
  </si>
  <si>
    <t>Mall at Prince Georges|Charley's Philly Steaks</t>
  </si>
  <si>
    <t>Chelsea's Beauty Supply</t>
  </si>
  <si>
    <t>Mall at Prince Georges|Chelsea's Beauty Supply</t>
  </si>
  <si>
    <t>Mall at Prince Georges|Chipotle Mexican Grill</t>
  </si>
  <si>
    <t>Mall at Prince Georges|Cinnabon</t>
  </si>
  <si>
    <t>City Jewelers</t>
  </si>
  <si>
    <t>Mall at Prince Georges|City Jewelers</t>
  </si>
  <si>
    <t>Mall at Prince Georges|Claire's</t>
  </si>
  <si>
    <t>Cold Slab Ice Cream</t>
  </si>
  <si>
    <t>Mall at Prince Georges|Cold Slab Ice Cream</t>
  </si>
  <si>
    <t>CubeSmart</t>
  </si>
  <si>
    <t>Mall at Prince Georges|CubeSmart</t>
  </si>
  <si>
    <t>Dazzle Premium</t>
  </si>
  <si>
    <t>Mall at Prince Georges|Dazzle Premium</t>
  </si>
  <si>
    <t>DC Charcoal Chicken</t>
  </si>
  <si>
    <t>Mall at Prince Georges|DC Charcoal Chicken</t>
  </si>
  <si>
    <t>Mall at Prince Georges|DSW Shoe Warehouse</t>
  </si>
  <si>
    <t>Mall at Prince Georges|DTLR</t>
  </si>
  <si>
    <t>Ebony Barbers</t>
  </si>
  <si>
    <t>Mall at Prince Georges|Ebony Barbers</t>
  </si>
  <si>
    <t>Fifth Avenue</t>
  </si>
  <si>
    <t>Mall at Prince Georges|Fifth Avenue</t>
  </si>
  <si>
    <t>Mall at Prince Georges|Five Below</t>
  </si>
  <si>
    <t>Mall at Prince Georges|Five Guys</t>
  </si>
  <si>
    <t>Mall at Prince Georges|Foot Locker</t>
  </si>
  <si>
    <t>Mall at Prince Georges|GameStop</t>
  </si>
  <si>
    <t>Ghana Jollof</t>
  </si>
  <si>
    <t>Mall at Prince Georges|Ghana Jollof</t>
  </si>
  <si>
    <t>Mall at Prince Georges|GNC</t>
  </si>
  <si>
    <t>Gold Rush</t>
  </si>
  <si>
    <t>Mall at Prince Georges|Gold Rush</t>
  </si>
  <si>
    <t>Golden Dream Jewelers</t>
  </si>
  <si>
    <t>Mall at Prince Georges|Golden Dream Jewelers</t>
  </si>
  <si>
    <t>Golden Krust Caribbean</t>
  </si>
  <si>
    <t>Mall at Prince Georges|Golden Krust Caribbean</t>
  </si>
  <si>
    <t>Grand Jewelers</t>
  </si>
  <si>
    <t>Mall at Prince Georges|Grand Jewelers</t>
  </si>
  <si>
    <t>Mall at Prince Georges|H&amp;M</t>
  </si>
  <si>
    <t>Healthy Magic</t>
  </si>
  <si>
    <t>Mall at Prince Georges|Healthy Magic</t>
  </si>
  <si>
    <t>Hook &amp; Reel</t>
  </si>
  <si>
    <t>Mall at Prince Georges|Hook &amp; Reel</t>
  </si>
  <si>
    <t>I Mobile Tech</t>
  </si>
  <si>
    <t>Mall at Prince Georges|I Mobile Tech</t>
  </si>
  <si>
    <t>Ice Ice Baby</t>
  </si>
  <si>
    <t>Mall at Prince Georges|Ice Ice Baby</t>
  </si>
  <si>
    <t>Infinity Gold and Diamonds</t>
  </si>
  <si>
    <t>Mall at Prince Georges|Infinity Gold and Diamonds</t>
  </si>
  <si>
    <t>Mall at Prince Georges|JD Sports</t>
  </si>
  <si>
    <t>Mall at Prince Georges|Kay Jewelers</t>
  </si>
  <si>
    <t>Mall at Prince Georges|Kellys Cajun Grill</t>
  </si>
  <si>
    <t>Mall at Prince Georges|Kids Foot Locker</t>
  </si>
  <si>
    <t>Kids For Less</t>
  </si>
  <si>
    <t>Mall at Prince Georges|Kids For Less</t>
  </si>
  <si>
    <t>Kingston Arbor</t>
  </si>
  <si>
    <t>Mall at Prince Georges|Kingston Arbor</t>
  </si>
  <si>
    <t>Kiso Life</t>
  </si>
  <si>
    <t>Mall at Prince Georges|Kiso Life</t>
  </si>
  <si>
    <t>Mall at Prince Georges|La Biotique</t>
  </si>
  <si>
    <t>Larry's Cookies</t>
  </si>
  <si>
    <t>Mall at Prince Georges|Larry's Cookies</t>
  </si>
  <si>
    <t>Last Stop</t>
  </si>
  <si>
    <t>Mall at Prince Georges|Last Stop</t>
  </si>
  <si>
    <t>Mall at Prince Georges|Lids</t>
  </si>
  <si>
    <t>Mall at Prince Georges|Macys</t>
  </si>
  <si>
    <t>Madrag</t>
  </si>
  <si>
    <t>Mall at Prince Georges|Madrag</t>
  </si>
  <si>
    <t>Marshalls</t>
  </si>
  <si>
    <t>Mall at Prince Georges|Marshalls</t>
  </si>
  <si>
    <t>Mall at Prince Georges|Mcdonalds</t>
  </si>
  <si>
    <t>Metro By T-Mobile</t>
  </si>
  <si>
    <t>Mall at Prince Georges|Metro By T-Mobile</t>
  </si>
  <si>
    <t>Mall at Prince Georges|My Cellphone Repairs</t>
  </si>
  <si>
    <t>N K Jewelers</t>
  </si>
  <si>
    <t>Mall at Prince Georges|N K Jewelers</t>
  </si>
  <si>
    <t>Nails &amp; Super Hair Braiding</t>
  </si>
  <si>
    <t>Mall at Prince Georges|Nails &amp; Super Hair Braiding</t>
  </si>
  <si>
    <t>Mall at Prince Georges|Old Navy</t>
  </si>
  <si>
    <t>Olive Ole</t>
  </si>
  <si>
    <t>Mall at Prince Georges|Olive Ole</t>
  </si>
  <si>
    <t>Phone Repair Place</t>
  </si>
  <si>
    <t>Mall at Prince Georges|Phone Repair Place</t>
  </si>
  <si>
    <t>Photo Palace</t>
  </si>
  <si>
    <t>Mall at Prince Georges|Photo Palace</t>
  </si>
  <si>
    <t>Planet Fitness</t>
  </si>
  <si>
    <t>Mall at Prince Georges|Planet Fitness</t>
  </si>
  <si>
    <t>Mall at Prince Georges|Popeyes Louisiana Kitchen</t>
  </si>
  <si>
    <t>Prime Time Jewelers</t>
  </si>
  <si>
    <t>Mall at Prince Georges|Prime Time Jewelers</t>
  </si>
  <si>
    <t>Mall at Prince Georges|Rainbow</t>
  </si>
  <si>
    <t>Mall at Prince Georges|Ross Dress For Less</t>
  </si>
  <si>
    <t>Ruby Jewelers Gold and Diamond</t>
  </si>
  <si>
    <t>Mall at Prince Georges|Ruby Jewelers Gold and Diamond</t>
  </si>
  <si>
    <t>Mall at Prince Georges|Ruby Thai Kitchen</t>
  </si>
  <si>
    <t>Samie Jewelers</t>
  </si>
  <si>
    <t>Mall at Prince Georges|Samie Jewelers</t>
  </si>
  <si>
    <t>Mall at Prince Georges|Sbarro The Italian Eatery</t>
  </si>
  <si>
    <t>Shingar</t>
  </si>
  <si>
    <t>Mall at Prince Georges|Shingar</t>
  </si>
  <si>
    <t>Mall at Prince Georges|Shoe Department/Encore</t>
  </si>
  <si>
    <t>Mall at Prince Georges|Snipes</t>
  </si>
  <si>
    <t>Mall at Prince Georges|Subway</t>
  </si>
  <si>
    <t>Suki Hana</t>
  </si>
  <si>
    <t>Mall at Prince Georges|Suki Hana</t>
  </si>
  <si>
    <t>Mall at Prince Georges|Target</t>
  </si>
  <si>
    <t>Mall at Prince Georges|The Childrens Place</t>
  </si>
  <si>
    <t>Mall at Prince Georges|TJ Maxx</t>
  </si>
  <si>
    <t>Mall at Prince Georges|T-Mobile</t>
  </si>
  <si>
    <t>Treasures - The Diamond Place</t>
  </si>
  <si>
    <t>Mall at Prince Georges|Treasures - The Diamond Place</t>
  </si>
  <si>
    <t>Tropical Smoothie Cafe</t>
  </si>
  <si>
    <t>Mall at Prince Georges|Tropical Smoothie Cafe</t>
  </si>
  <si>
    <t>Mall at Prince Georges|Ulta Beauty</t>
  </si>
  <si>
    <t>Mall at Prince Georges|Underground by Journeys</t>
  </si>
  <si>
    <t>Mall at Prince Georges|UPS Store</t>
  </si>
  <si>
    <t>Mall at Prince Georges|Victorias Secret</t>
  </si>
  <si>
    <t>Wok A Holic</t>
  </si>
  <si>
    <t>Mall at Prince Georges|Wok A Holic</t>
  </si>
  <si>
    <t>Mall at Wellington Green|Abercrombie &amp; Fitch</t>
  </si>
  <si>
    <t>Mall at Wellington Green|Aeropostale</t>
  </si>
  <si>
    <t>Mall at Wellington Green|Aldo</t>
  </si>
  <si>
    <t>Mall at Wellington Green|American Eagle Outfitters</t>
  </si>
  <si>
    <t>Mall at Wellington Green|Apple</t>
  </si>
  <si>
    <t>Arcade Time Entertainment</t>
  </si>
  <si>
    <t>Mall at Wellington Green|Arcade Time Entertainment</t>
  </si>
  <si>
    <t>Mall at Wellington Green|AT&amp;T</t>
  </si>
  <si>
    <t>Mall at Wellington Green|Auntie Annes</t>
  </si>
  <si>
    <t>Mall at Wellington Green|Bath &amp; Body Works</t>
  </si>
  <si>
    <t>BH 2.0</t>
  </si>
  <si>
    <t>Mall at Wellington Green|BH 2.0</t>
  </si>
  <si>
    <t>Black Pearl Boba Tea</t>
  </si>
  <si>
    <t>Mall at Wellington Green|Black Pearl Boba Tea</t>
  </si>
  <si>
    <t>Mall at Wellington Green|Box Lunch</t>
  </si>
  <si>
    <t>Mall at Wellington Green|Brighton Collectibles</t>
  </si>
  <si>
    <t>Mall at Wellington Green|Brow Art 23</t>
  </si>
  <si>
    <t>Mall at Wellington Green|California Pizza Kitchen</t>
  </si>
  <si>
    <t>Mall at Wellington Green|Carters</t>
  </si>
  <si>
    <t>Cellaxs Phone Repair</t>
  </si>
  <si>
    <t>Mall at Wellington Green|Cellaxs Phone Repair</t>
  </si>
  <si>
    <t>Mall at Wellington Green|Champs Sports</t>
  </si>
  <si>
    <t>Mall at Wellington Green|Charley's Philly Steaks</t>
  </si>
  <si>
    <t>Mall at Wellington Green|Charlotte Russe</t>
  </si>
  <si>
    <t>Charm Pop Party</t>
  </si>
  <si>
    <t>Mall at Wellington Green|Charm Pop Party</t>
  </si>
  <si>
    <t>Chi Spa</t>
  </si>
  <si>
    <t>Mall at Wellington Green|Chi Spa</t>
  </si>
  <si>
    <t>Mall at Wellington Green|Chick-Fil-A</t>
  </si>
  <si>
    <t>Mall at Wellington Green|Chico's</t>
  </si>
  <si>
    <t>Mall at Wellington Green|Cinnabon</t>
  </si>
  <si>
    <t>City Furniture</t>
  </si>
  <si>
    <t>Mall at Wellington Green|City Furniture</t>
  </si>
  <si>
    <t>Mall at Wellington Green|Claire's</t>
  </si>
  <si>
    <t>CMX Cinemas Wellington 10</t>
  </si>
  <si>
    <t>Mall at Wellington Green|CMX Cinemas Wellington 10</t>
  </si>
  <si>
    <t>Mall at Wellington Green|Daniel's Jewelers</t>
  </si>
  <si>
    <t>Mall at Wellington Green|Express</t>
  </si>
  <si>
    <t>Eyes of Wellington</t>
  </si>
  <si>
    <t>Mall at Wellington Green|Eyes of Wellington</t>
  </si>
  <si>
    <t>Mall at Wellington Green|Fast-Fix Jewelry And Watch Repair</t>
  </si>
  <si>
    <t>Mall at Wellington Green|Finish Line</t>
  </si>
  <si>
    <t>Mall at Wellington Green|Fit 2 Run</t>
  </si>
  <si>
    <t>Mall at Wellington Green|Foot Locker</t>
  </si>
  <si>
    <t>Mall at Wellington Green|Francesca's</t>
  </si>
  <si>
    <t>Mall at Wellington Green|FYE Music &amp; Movies</t>
  </si>
  <si>
    <t>Galt Sand</t>
  </si>
  <si>
    <t>Mall at Wellington Green|Galt Sand</t>
  </si>
  <si>
    <t>Mall at Wellington Green|GameStop</t>
  </si>
  <si>
    <t>Mall at Wellington Green|Guess</t>
  </si>
  <si>
    <t>Mall at Wellington Green|H&amp;M</t>
  </si>
  <si>
    <t>Mall at Wellington Green|Hallmark</t>
  </si>
  <si>
    <t>Mall at Wellington Green|Helzberg Diamonds</t>
  </si>
  <si>
    <t>Mall at Wellington Green|Hollister</t>
  </si>
  <si>
    <t>Mall at Wellington Green|Hot Topic</t>
  </si>
  <si>
    <t>Mall at Wellington Green|IRepair Xpert</t>
  </si>
  <si>
    <t>Mall at Wellington Green|Journeys</t>
  </si>
  <si>
    <t>Mall at Wellington Green|Kay Jewelers</t>
  </si>
  <si>
    <t>Mall at Wellington Green|Kellys Cajun Grill</t>
  </si>
  <si>
    <t>Mall at Wellington Green|Kids Foot Locker</t>
  </si>
  <si>
    <t>Lemongrass Asian Bistro</t>
  </si>
  <si>
    <t>Mall at Wellington Green|Lemongrass Asian Bistro</t>
  </si>
  <si>
    <t>Mall at Wellington Green|Lenscrafters</t>
  </si>
  <si>
    <t>Mall at Wellington Green|Lids</t>
  </si>
  <si>
    <t>Lifetime Kitchen</t>
  </si>
  <si>
    <t>Mall at Wellington Green|Lifetime Kitchen</t>
  </si>
  <si>
    <t>Mall at Wellington Green|Locker Room by Lids</t>
  </si>
  <si>
    <t>Mall at Wellington Green|Lovisa</t>
  </si>
  <si>
    <t>Mall at Wellington Green|Lush Fresh Handmade Cosmetics</t>
  </si>
  <si>
    <t>Mall at Wellington Green|Miniso</t>
  </si>
  <si>
    <t>MJ's Jewelry &amp; Watch</t>
  </si>
  <si>
    <t>Mall at Wellington Green|MJ's Jewelry &amp; Watch</t>
  </si>
  <si>
    <t>Nail Pro &amp; Spa</t>
  </si>
  <si>
    <t>Mall at Wellington Green|Nail Pro &amp; Spa</t>
  </si>
  <si>
    <t>Ncognito</t>
  </si>
  <si>
    <t>Mall at Wellington Green|Ncognito</t>
  </si>
  <si>
    <t>Mall at Wellington Green|Pacific Sunwear</t>
  </si>
  <si>
    <t>Mall at Wellington Green|Pandora</t>
  </si>
  <si>
    <t>Mall at Wellington Green|Perfumania</t>
  </si>
  <si>
    <t>Piercing Pagoda</t>
  </si>
  <si>
    <t>Mall at Wellington Green|Piercing Pagoda</t>
  </si>
  <si>
    <t>Mall at Wellington Green|Popeyes Louisiana Kitchen</t>
  </si>
  <si>
    <t>Mall at Wellington Green|Sbarro The Italian Eatery</t>
  </si>
  <si>
    <t>Scoops &amp; Beyond</t>
  </si>
  <si>
    <t>Mall at Wellington Green|Scoops &amp; Beyond</t>
  </si>
  <si>
    <t>Mall at Wellington Green|Shoe Palace</t>
  </si>
  <si>
    <t>Mall at Wellington Green|Spencer Gifts</t>
  </si>
  <si>
    <t>Mall at Wellington Green|Starbucks Coffee</t>
  </si>
  <si>
    <t>Mall at Wellington Green|Sunglass Hut</t>
  </si>
  <si>
    <t>Mall at Wellington Green|The Inspiration Co</t>
  </si>
  <si>
    <t>Mall at Wellington Green|T-Mobile</t>
  </si>
  <si>
    <t>Mall at Wellington Green|Tommy Bahama</t>
  </si>
  <si>
    <t>Mall at Wellington Green|Torrid</t>
  </si>
  <si>
    <t>Mall at Wellington Green|Vans</t>
  </si>
  <si>
    <t>Verified Sneaker Boutique</t>
  </si>
  <si>
    <t>Mall at Wellington Green|Verified Sneaker Boutique</t>
  </si>
  <si>
    <t>Mall at Wellington Green|Versona</t>
  </si>
  <si>
    <t>Mall at Wellington Green|Victorias Secret</t>
  </si>
  <si>
    <t>Mall at Wellington Green|Windsor</t>
  </si>
  <si>
    <t>Yeung's Lotus Express</t>
  </si>
  <si>
    <t>Mall at Wellington Green|Yeung's Lotus Express</t>
  </si>
  <si>
    <t>Mall at Wellington Green|Zales Jewelers</t>
  </si>
  <si>
    <t>Mall at Wellington Green|Zumiez</t>
  </si>
  <si>
    <t>A/X Armani Exchange</t>
  </si>
  <si>
    <t>Mall del Norte|A/X Armani Exchange</t>
  </si>
  <si>
    <t>Mall del Norte|Aeropostale</t>
  </si>
  <si>
    <t>Alfa Western Wear</t>
  </si>
  <si>
    <t>Mall del Norte|Alfa Western Wear</t>
  </si>
  <si>
    <t>Mall del Norte|American Eagle Outfitters</t>
  </si>
  <si>
    <t>Mall del Norte|Auntie Annes</t>
  </si>
  <si>
    <t>Mall del Norte|Bank of America</t>
  </si>
  <si>
    <t>Mall del Norte|Banter by Piercing Pagoda</t>
  </si>
  <si>
    <t>Mall del Norte|Barnes &amp; Noble</t>
  </si>
  <si>
    <t>Mall del Norte|Bath &amp; Body Works</t>
  </si>
  <si>
    <t>Mall del Norte|Belle Brows &amp; Beauty</t>
  </si>
  <si>
    <t>Mall del Norte|Bitcoin Depot</t>
  </si>
  <si>
    <t>Mall del Norte|Books-A-Million</t>
  </si>
  <si>
    <t>Mall del Norte|Box Lunch</t>
  </si>
  <si>
    <t>Mall del Norte|Buckle</t>
  </si>
  <si>
    <t>Mall del Norte|Build-A-Bear Workshop</t>
  </si>
  <si>
    <t>CATO Fashions</t>
  </si>
  <si>
    <t>Mall del Norte|CATO Fashions</t>
  </si>
  <si>
    <t>Cell Repair Xpert</t>
  </si>
  <si>
    <t>Mall del Norte|Cell Repair Xpert</t>
  </si>
  <si>
    <t>Mall del Norte|Champs Sports</t>
  </si>
  <si>
    <t>Mall del Norte|Charley's Philly Steaks</t>
  </si>
  <si>
    <t>Mall del Norte|Charlotte Russe</t>
  </si>
  <si>
    <t>Mall del Norte|Chick-Fil-A</t>
  </si>
  <si>
    <t>Chuck E. Cheese's</t>
  </si>
  <si>
    <t>Mall del Norte|Chuck E. Cheese's</t>
  </si>
  <si>
    <t>Mall del Norte|Cinemark</t>
  </si>
  <si>
    <t>Mall del Norte|Claire's</t>
  </si>
  <si>
    <t>Cuadra</t>
  </si>
  <si>
    <t>Mall del Norte|Cuadra</t>
  </si>
  <si>
    <t>Mall del Norte|Daniel's Jewelers</t>
  </si>
  <si>
    <t>Mall del Norte|Dillard's</t>
  </si>
  <si>
    <t>Edge</t>
  </si>
  <si>
    <t>Mall del Norte|Edge</t>
  </si>
  <si>
    <t>Mall del Norte|Express</t>
  </si>
  <si>
    <t>Mall del Norte|GameStop</t>
  </si>
  <si>
    <t>Mall del Norte|GNC</t>
  </si>
  <si>
    <t>Mall del Norte|H&amp;M</t>
  </si>
  <si>
    <t>Mall del Norte|Hollister</t>
  </si>
  <si>
    <t>Mall del Norte|Hot Topic</t>
  </si>
  <si>
    <t>Mall del Norte|House Of Hoops By Foot Locker</t>
  </si>
  <si>
    <t>Huddle House</t>
  </si>
  <si>
    <t>Mall del Norte|Huddle House</t>
  </si>
  <si>
    <t>IBC Bank</t>
  </si>
  <si>
    <t>Mall del Norte|IBC Bank</t>
  </si>
  <si>
    <t>Mall del Norte|J.C. Penney</t>
  </si>
  <si>
    <t>James Avery</t>
  </si>
  <si>
    <t>Mall del Norte|James Avery</t>
  </si>
  <si>
    <t>Mall del Norte|JD Sports</t>
  </si>
  <si>
    <t>Mall del Norte|Journeys</t>
  </si>
  <si>
    <t>Mall del Norte|Journeys Kidz</t>
  </si>
  <si>
    <t>Mall del Norte|Kay Jewelers</t>
  </si>
  <si>
    <t>Mall del Norte|Kendra Scott</t>
  </si>
  <si>
    <t>Mall del Norte|Lids</t>
  </si>
  <si>
    <t>Logan's Roadhouse</t>
  </si>
  <si>
    <t>Mall del Norte|Logan's Roadhouse</t>
  </si>
  <si>
    <t>Long John Silver's</t>
  </si>
  <si>
    <t>Mall del Norte|Long John Silver's</t>
  </si>
  <si>
    <t>Mall del Norte|LongHorn Steakhouse</t>
  </si>
  <si>
    <t>Lotus Foot Spa</t>
  </si>
  <si>
    <t>Mall del Norte|Lotus Foot Spa</t>
  </si>
  <si>
    <t>Mall del Norte|Lovisa</t>
  </si>
  <si>
    <t>Mall del Norte|Macys</t>
  </si>
  <si>
    <t>Mall del Norte|Main Event</t>
  </si>
  <si>
    <t>Marble Slab Creamery</t>
  </si>
  <si>
    <t>Mall del Norte|Marble Slab Creamery</t>
  </si>
  <si>
    <t>Mall del Norte|Miniso</t>
  </si>
  <si>
    <t>Mall del Norte|Miss A</t>
  </si>
  <si>
    <t>Mr. Crabby’s Seafood Kitchen &amp; Bar</t>
  </si>
  <si>
    <t>Mall del Norte|Mr. Crabby’s Seafood Kitchen &amp; Bar</t>
  </si>
  <si>
    <t>My Melrose</t>
  </si>
  <si>
    <t>Mall del Norte|My Melrose</t>
  </si>
  <si>
    <t>Ojos Locos Sports Cantina</t>
  </si>
  <si>
    <t>Mall del Norte|Ojos Locos Sports Cantina</t>
  </si>
  <si>
    <t>Mall del Norte|Olive Garden Italian Restaurant</t>
  </si>
  <si>
    <t>Osaka Japan</t>
  </si>
  <si>
    <t>Mall del Norte|Osaka Japan</t>
  </si>
  <si>
    <t>Mall del Norte|Pandora</t>
  </si>
  <si>
    <t>Mall del Norte|Perfumania</t>
  </si>
  <si>
    <t>Prime Nails &amp; Spa</t>
  </si>
  <si>
    <t>Mall del Norte|Prime Nails &amp; Spa</t>
  </si>
  <si>
    <t>Mall del Norte|Red Lobster</t>
  </si>
  <si>
    <t>Mall del Norte|Ruby Thai Kitchen</t>
  </si>
  <si>
    <t>Mall del Norte|Sbarro The Italian Eatery</t>
  </si>
  <si>
    <t>Mall del Norte|Shoe Department/Encore</t>
  </si>
  <si>
    <t>Mall del Norte|Spencer Gifts</t>
  </si>
  <si>
    <t>Mall del Norte|Starbucks Coffee</t>
  </si>
  <si>
    <t>Mall del Norte|Sunglass Hut</t>
  </si>
  <si>
    <t>TDK</t>
  </si>
  <si>
    <t>Mall del Norte|TDK</t>
  </si>
  <si>
    <t>Mall del Norte|The Childrens Place</t>
  </si>
  <si>
    <t>Mall del Norte|T-Mobile</t>
  </si>
  <si>
    <t>Transform Holdco LLC</t>
  </si>
  <si>
    <t>Mall del Norte|Transform Holdco LLC</t>
  </si>
  <si>
    <t>TruFit Athletic Club</t>
  </si>
  <si>
    <t>Mall del Norte|TruFit Athletic Club</t>
  </si>
  <si>
    <t>Mall del Norte|Vans</t>
  </si>
  <si>
    <t>Mall del Norte|Victorias Secret</t>
  </si>
  <si>
    <t>Mall del Norte|Visionworks</t>
  </si>
  <si>
    <t>Vitamin World</t>
  </si>
  <si>
    <t>Mall del Norte|Vitamin World</t>
  </si>
  <si>
    <t>Warhammer</t>
  </si>
  <si>
    <t>Mall del Norte|Warhammer</t>
  </si>
  <si>
    <t>We Rock the Spectrum</t>
  </si>
  <si>
    <t>Mall del Norte|We Rock the Spectrum</t>
  </si>
  <si>
    <t>Mall del Norte|Windsor</t>
  </si>
  <si>
    <t>WOK 88</t>
  </si>
  <si>
    <t>Mall del Norte|WOK 88</t>
  </si>
  <si>
    <t>Mall del Norte|Zales Jewelers</t>
  </si>
  <si>
    <t>Mayfaire Town Center|Aerie</t>
  </si>
  <si>
    <t>Mayfaire Town Center|Altar'd State</t>
  </si>
  <si>
    <t>Mayfaire Town Center|Ann Taylor</t>
  </si>
  <si>
    <t>Mayfaire Town Center|Anthropologie</t>
  </si>
  <si>
    <t>Art in Bloom Gallery</t>
  </si>
  <si>
    <t>Mayfaire Town Center|Art in Bloom Gallery</t>
  </si>
  <si>
    <t>Mayfaire Town Center|AT&amp;T</t>
  </si>
  <si>
    <t>Mayfaire Town Center|Athleta</t>
  </si>
  <si>
    <t>Mayfaire Town Center|Banana Republic</t>
  </si>
  <si>
    <t>Mayfaire Town Center|Barnes &amp; Noble</t>
  </si>
  <si>
    <t>Mayfaire Town Center|Bath &amp; Body Works</t>
  </si>
  <si>
    <t>Mayfaire Town Center|Belk</t>
  </si>
  <si>
    <t>Blakeley’s Apparel and Gifts</t>
  </si>
  <si>
    <t>Mayfaire Town Center|Blakeley’s Apparel and Gifts</t>
  </si>
  <si>
    <t>Brixx Woodfired Pizza</t>
  </si>
  <si>
    <t>Mayfaire Town Center|Brixx Woodfired Pizza</t>
  </si>
  <si>
    <t>Mayfaire Town Center|Buckle</t>
  </si>
  <si>
    <t>Mayfaire Town Center|Buff City Soap</t>
  </si>
  <si>
    <t>Mayfaire Town Center|Cava Grill</t>
  </si>
  <si>
    <t>Mayfaire Town Center|Chico's</t>
  </si>
  <si>
    <t>Mayfaire Town Center|Chipotle Mexican Grill</t>
  </si>
  <si>
    <t>Cinnaholic</t>
  </si>
  <si>
    <t>Mayfaire Town Center|Cinnaholic</t>
  </si>
  <si>
    <t>Mayfaire Town Center|Claire's</t>
  </si>
  <si>
    <t>Clean Juice</t>
  </si>
  <si>
    <t>Mayfaire Town Center|Clean Juice</t>
  </si>
  <si>
    <t>Coastal Golf Academy</t>
  </si>
  <si>
    <t>Mayfaire Town Center|Coastal Golf Academy</t>
  </si>
  <si>
    <t>Coquina Fishbar</t>
  </si>
  <si>
    <t>Mayfaire Town Center|Coquina Fishbar</t>
  </si>
  <si>
    <t>Cost Plus World Market</t>
  </si>
  <si>
    <t>Mayfaire Town Center|Cost Plus World Market</t>
  </si>
  <si>
    <t>Mayfaire Town Center|Dave &amp; Busters</t>
  </si>
  <si>
    <t>Drift Coffee &amp; Kitchen</t>
  </si>
  <si>
    <t>Mayfaire Town Center|Drift Coffee &amp; Kitchen</t>
  </si>
  <si>
    <t>Mayfaire Town Center|Drybar</t>
  </si>
  <si>
    <t>Mayfaire Town Center|Electrify America</t>
  </si>
  <si>
    <t>Envy Nails Salon</t>
  </si>
  <si>
    <t>Mayfaire Town Center|Envy Nails Salon</t>
  </si>
  <si>
    <t>First Watch</t>
  </si>
  <si>
    <t>Mayfaire Town Center|First Watch</t>
  </si>
  <si>
    <t>Fit 4 Life</t>
  </si>
  <si>
    <t>Mayfaire Town Center|Fit 4 Life</t>
  </si>
  <si>
    <t>Flip N Fly</t>
  </si>
  <si>
    <t>Mayfaire Town Center|Flip N Fly</t>
  </si>
  <si>
    <t>Mayfaire Town Center|Francesca's</t>
  </si>
  <si>
    <t>Mayfaire Town Center|Free People</t>
  </si>
  <si>
    <t>Mayfaire Town Center|GameStop</t>
  </si>
  <si>
    <t>Mayfaire Town Center|Gap</t>
  </si>
  <si>
    <t>Mayfaire Town Center|H&amp;M</t>
  </si>
  <si>
    <t>Mayfaire Town Center|Hand &amp; Stone Massage &amp; Facial Spa</t>
  </si>
  <si>
    <t>Isa Roe</t>
  </si>
  <si>
    <t>Mayfaire Town Center|Isa Roe</t>
  </si>
  <si>
    <t>Mayfaire Town Center|J. Jill</t>
  </si>
  <si>
    <t>Mayfaire Town Center|J.Crew</t>
  </si>
  <si>
    <t>Mayfaire Town Center|Jos A. Bank</t>
  </si>
  <si>
    <t>Julie's Boutique</t>
  </si>
  <si>
    <t>Mayfaire Town Center|Julie's Boutique</t>
  </si>
  <si>
    <t>Mayfaire Town Center|Kendra Scott</t>
  </si>
  <si>
    <t>Mayfaire Town Center|Lane Bryant</t>
  </si>
  <si>
    <t>Lilly Pulitzer</t>
  </si>
  <si>
    <t>Mayfaire Town Center|Lilly Pulitzer</t>
  </si>
  <si>
    <t>Mayfaire Town Center|Loft</t>
  </si>
  <si>
    <t>Mayfaire Town Center|Lululemon</t>
  </si>
  <si>
    <t>Mayfaire Town Center|Madewell</t>
  </si>
  <si>
    <t>Mayfaire Town Center|Massage Envy</t>
  </si>
  <si>
    <t>Michaels</t>
  </si>
  <si>
    <t>Mayfaire Town Center|Michaels</t>
  </si>
  <si>
    <t>Movement</t>
  </si>
  <si>
    <t>Mayfaire Town Center|Movement</t>
  </si>
  <si>
    <t>My Sisters Cottage</t>
  </si>
  <si>
    <t>Mayfaire Town Center|My Sisters Cottage</t>
  </si>
  <si>
    <t>Nest Realty</t>
  </si>
  <si>
    <t>Mayfaire Town Center|Nest Realty</t>
  </si>
  <si>
    <t>Mayfaire Town Center|Palmetto Moon</t>
  </si>
  <si>
    <t>Pinspiration Arts and Crafts Studio</t>
  </si>
  <si>
    <t>Mayfaire Town Center|Pinspiration Arts and Crafts Studio</t>
  </si>
  <si>
    <t>Playa Bowls</t>
  </si>
  <si>
    <t>Mayfaire Town Center|Playa Bowls</t>
  </si>
  <si>
    <t>Mayfaire Town Center|Pottery Barn</t>
  </si>
  <si>
    <t>Mayfaire Town Center|Pure Barre</t>
  </si>
  <si>
    <t>Mayfaire Town Center|Rack Room Shoes</t>
  </si>
  <si>
    <t>Red Arrays Light Therapy Spa</t>
  </si>
  <si>
    <t>Mayfaire Town Center|Red Arrays Light Therapy Spa</t>
  </si>
  <si>
    <t>Mayfaire Town Center|Reeds Jewelers</t>
  </si>
  <si>
    <t>Mayfaire Town Center|Rowan</t>
  </si>
  <si>
    <t>School of Rock – Wilmington</t>
  </si>
  <si>
    <t>Mayfaire Town Center|School of Rock – Wilmington</t>
  </si>
  <si>
    <t>Mayfaire Town Center|Sleep Number</t>
  </si>
  <si>
    <t>Mayfaire Town Center|Sola Salon Studios</t>
  </si>
  <si>
    <t>Mayfaire Town Center|Soma Intimates</t>
  </si>
  <si>
    <t>Mayfaire Town Center|Spectrum</t>
  </si>
  <si>
    <t>Mayfaire Town Center|Sunglass Hut</t>
  </si>
  <si>
    <t>Mayfaire Town Center|Talbots</t>
  </si>
  <si>
    <t>Tesla Motors</t>
  </si>
  <si>
    <t>Mayfaire Town Center|Tesla Motors</t>
  </si>
  <si>
    <t>The Fresh Market</t>
  </si>
  <si>
    <t>Mayfaire Town Center|The Fresh Market</t>
  </si>
  <si>
    <t>The Good Feet Store / Good Feet</t>
  </si>
  <si>
    <t>Mayfaire Town Center|The Good Feet Store / Good Feet</t>
  </si>
  <si>
    <t>The Melting Pot</t>
  </si>
  <si>
    <t>Mayfaire Town Center|The Melting Pot</t>
  </si>
  <si>
    <t>The Tutu School Wilmington</t>
  </si>
  <si>
    <t>Mayfaire Town Center|The Tutu School Wilmington</t>
  </si>
  <si>
    <t>Tokyo 101</t>
  </si>
  <si>
    <t>Mayfaire Town Center|Tokyo 101</t>
  </si>
  <si>
    <t>Mayfaire Town Center|Torrid</t>
  </si>
  <si>
    <t>Tusc</t>
  </si>
  <si>
    <t>Mayfaire Town Center|Tusc</t>
  </si>
  <si>
    <t>Mayfaire Town Center|Ulta Beauty</t>
  </si>
  <si>
    <t>Mayfaire Town Center|Victorias Secret</t>
  </si>
  <si>
    <t>Mayfaire Town Center|Warby Parker</t>
  </si>
  <si>
    <t>Mayfaire Town Center|White House | Black Market</t>
  </si>
  <si>
    <t>Mayfaire Town Center|Williams Sonoma</t>
  </si>
  <si>
    <t>Wrightsville Ave Women and Children’s Boutique</t>
  </si>
  <si>
    <t>Mayfaire Town Center|Wrightsville Ave Women and Children’s Boutique</t>
  </si>
  <si>
    <t>A &amp; W All American Food</t>
  </si>
  <si>
    <t>Mesa Mall|A &amp; W All American Food</t>
  </si>
  <si>
    <t>Mesa Mall|American Eagle Outfitters</t>
  </si>
  <si>
    <t>Mesa Mall|Auntie Annes</t>
  </si>
  <si>
    <t>Mesa Mall|Banter by Piercing Pagoda</t>
  </si>
  <si>
    <t>Mesa Mall|Bath &amp; Body Works</t>
  </si>
  <si>
    <t>Mesa Mall|Best Buy</t>
  </si>
  <si>
    <t>Boot Barn</t>
  </si>
  <si>
    <t>Mesa Mall|Boot Barn</t>
  </si>
  <si>
    <t>Mesa Mall|Box Lunch</t>
  </si>
  <si>
    <t>Mesa Mall|Brow Arc</t>
  </si>
  <si>
    <t>Mesa Mall|Buckle</t>
  </si>
  <si>
    <t>Mesa Mall|Buffalo Wild Wings</t>
  </si>
  <si>
    <t>Cabela's</t>
  </si>
  <si>
    <t>Mesa Mall|Cabela's</t>
  </si>
  <si>
    <t>Carolina ATM</t>
  </si>
  <si>
    <t>Mesa Mall|Carolina ATM</t>
  </si>
  <si>
    <t>Cellfix</t>
  </si>
  <si>
    <t>Mesa Mall|Cellfix</t>
  </si>
  <si>
    <t>Mesa Mall|Charley's Philly Steaks</t>
  </si>
  <si>
    <t>China Pantry</t>
  </si>
  <si>
    <t>Mesa Mall|China Pantry</t>
  </si>
  <si>
    <t>Mesa Mall|Cinnabon</t>
  </si>
  <si>
    <t>Mesa Mall|Claire's</t>
  </si>
  <si>
    <t>Connectivity Source</t>
  </si>
  <si>
    <t>Mesa Mall|Connectivity Source</t>
  </si>
  <si>
    <t>Cost Cutters</t>
  </si>
  <si>
    <t>Mesa Mall|Cost Cutters</t>
  </si>
  <si>
    <t>Mesa Mall|Dick's Sporting Goods</t>
  </si>
  <si>
    <t>Mesa Mall|Dillard's</t>
  </si>
  <si>
    <t>EntertainMART</t>
  </si>
  <si>
    <t>Mesa Mall|EntertainMART</t>
  </si>
  <si>
    <t>Famous Dave's Bar-B-Que</t>
  </si>
  <si>
    <t>Mesa Mall|Famous Dave's Bar-B-Que</t>
  </si>
  <si>
    <t>Mesa Mall|Famous Footwear</t>
  </si>
  <si>
    <t>Mesa Mall|Five Below</t>
  </si>
  <si>
    <t>Mesa Mall|Foot Locker</t>
  </si>
  <si>
    <t>Fragrance Outlet</t>
  </si>
  <si>
    <t>Mesa Mall|Fragrance Outlet</t>
  </si>
  <si>
    <t>Mesa Mall|Francesca's</t>
  </si>
  <si>
    <t>Mesa Mall|GNC</t>
  </si>
  <si>
    <t>Golden Chinese Massage</t>
  </si>
  <si>
    <t>Mesa Mall|Golden Chinese Massage</t>
  </si>
  <si>
    <t>Guitar Center</t>
  </si>
  <si>
    <t>Mesa Mall|Guitar Center</t>
  </si>
  <si>
    <t>HomeGoods</t>
  </si>
  <si>
    <t>Mesa Mall|HomeGoods</t>
  </si>
  <si>
    <t>Mesa Mall|Hot Topic</t>
  </si>
  <si>
    <t>IHOP Restaurant</t>
  </si>
  <si>
    <t>Mesa Mall|IHOP Restaurant</t>
  </si>
  <si>
    <t>Mesa Mall|J.C. Penney</t>
  </si>
  <si>
    <t>Mesa Mall|JD Sports</t>
  </si>
  <si>
    <t>Jjang Korean BBQ and Hot Pot</t>
  </si>
  <si>
    <t>Mesa Mall|Jjang Korean BBQ and Hot Pot</t>
  </si>
  <si>
    <t>Mesa Mall|Journeys</t>
  </si>
  <si>
    <t>Mesa Mall|Kay Jewelers</t>
  </si>
  <si>
    <t>Mesa Mall|Lids</t>
  </si>
  <si>
    <t>Mesa Mall|Maurices</t>
  </si>
  <si>
    <t>Mesa Mall|Mcdonalds</t>
  </si>
  <si>
    <t>Mesa Mall|Men's Wearhouse</t>
  </si>
  <si>
    <t>Mesa Mall|Miniso</t>
  </si>
  <si>
    <t>Nail Focus</t>
  </si>
  <si>
    <t>Mesa Mall|Nail Focus</t>
  </si>
  <si>
    <t>Mesa Mall|Olive Garden Italian Restaurant</t>
  </si>
  <si>
    <t>Mesa Mall|Outback Steakhouse</t>
  </si>
  <si>
    <t>Mesa Mall|Pacific Sunwear</t>
  </si>
  <si>
    <t>Mesa Mall|Panda Express</t>
  </si>
  <si>
    <t>Mesa Mall|Pandora</t>
  </si>
  <si>
    <t>Mesa Mall|Red Lobster</t>
  </si>
  <si>
    <t>Retro Games By Phone Medic</t>
  </si>
  <si>
    <t>Mesa Mall|Retro Games By Phone Medic</t>
  </si>
  <si>
    <t>Riddle's Jewelry</t>
  </si>
  <si>
    <t>Mesa Mall|Riddle's Jewelry</t>
  </si>
  <si>
    <t>Rivian Vehicles</t>
  </si>
  <si>
    <t>Mesa Mall|Rivian Vehicles</t>
  </si>
  <si>
    <t>Mesa Mall|Shoe Department/Encore</t>
  </si>
  <si>
    <t>Sock 'Em Sock Emporium</t>
  </si>
  <si>
    <t>Mesa Mall|Sock 'Em Sock Emporium</t>
  </si>
  <si>
    <t>Mesa Mall|Sola Salon Studios</t>
  </si>
  <si>
    <t>Mesa Mall|Spencer Gifts</t>
  </si>
  <si>
    <t>Sugar &amp; Ice</t>
  </si>
  <si>
    <t>Mesa Mall|Sugar &amp; Ice</t>
  </si>
  <si>
    <t>Mesa Mall|Sunglass Hut</t>
  </si>
  <si>
    <t>Mesa Mall|Taco Bell</t>
  </si>
  <si>
    <t>Mesa Mall|Target</t>
  </si>
  <si>
    <t>Mesa Mall|Tesla Motors</t>
  </si>
  <si>
    <t>Mesa Mall|The Childrens Place</t>
  </si>
  <si>
    <t>Mesa Mall|Torrid</t>
  </si>
  <si>
    <t>Mesa Mall|Tradehome Shoes</t>
  </si>
  <si>
    <t>Mesa Mall|Verizon Wireless</t>
  </si>
  <si>
    <t>Mesa Mall|Victorias Secret</t>
  </si>
  <si>
    <t>Mesa Mall|Visionworks</t>
  </si>
  <si>
    <t>We Fix It</t>
  </si>
  <si>
    <t>Mesa Mall|We Fix It</t>
  </si>
  <si>
    <t>Mesa Mall|Wells Fargo</t>
  </si>
  <si>
    <t>Mesa Mall|Wendy's</t>
  </si>
  <si>
    <t>Mesa Mall|Windsor</t>
  </si>
  <si>
    <t>Mesa Mall|Zales Jewelers</t>
  </si>
  <si>
    <t>Mesa Mall|Zumiez</t>
  </si>
  <si>
    <t>Oak Park Mall|Abercrombie &amp; Fitch</t>
  </si>
  <si>
    <t>Academy Sports + Outdoors</t>
  </si>
  <si>
    <t>Oak Park Mall|Academy Sports + Outdoors</t>
  </si>
  <si>
    <t>Acapulco Paradise</t>
  </si>
  <si>
    <t>Oak Park Mall|Acapulco Paradise</t>
  </si>
  <si>
    <t>Oak Park Mall|Aerie</t>
  </si>
  <si>
    <t>Oak Park Mall|Aeropostale</t>
  </si>
  <si>
    <t>Oak Park Mall|Aldo</t>
  </si>
  <si>
    <t>Oak Park Mall|Altar'd State</t>
  </si>
  <si>
    <t>Oak Park Mall|American Eagle Outfitters</t>
  </si>
  <si>
    <t>Oak Park Mall|AT&amp;T</t>
  </si>
  <si>
    <t>Oak Park Mall|Auntie Annes</t>
  </si>
  <si>
    <t>Aur Society</t>
  </si>
  <si>
    <t>Oak Park Mall|Aur Society</t>
  </si>
  <si>
    <t>Bag &amp; Baggage</t>
  </si>
  <si>
    <t>Oak Park Mall|Bag &amp; Baggage</t>
  </si>
  <si>
    <t>Oak Park Mall|Banter by Piercing Pagoda</t>
  </si>
  <si>
    <t>Oak Park Mall|Barnes &amp; Noble</t>
  </si>
  <si>
    <t>Oak Park Mall|Bath &amp; Body Works</t>
  </si>
  <si>
    <t>Oak Park Mall|Bibibop Asian Grill</t>
  </si>
  <si>
    <t>Oak Park Mall|Box Lunch</t>
  </si>
  <si>
    <t>Oak Park Mall|Brow Art 23</t>
  </si>
  <si>
    <t>Oak Park Mall|Buckle</t>
  </si>
  <si>
    <t>Oak Park Mall|Build-A-Bear Workshop</t>
  </si>
  <si>
    <t>Camille La Vie</t>
  </si>
  <si>
    <t>Oak Park Mall|Camille La Vie</t>
  </si>
  <si>
    <t>Oak Park Mall|Cava Grill</t>
  </si>
  <si>
    <t>Oak Park Mall|Champs Sports</t>
  </si>
  <si>
    <t>Oak Park Mall|Charley's Philly Steaks</t>
  </si>
  <si>
    <t>Oak Park Mall|Charlotte Russe</t>
  </si>
  <si>
    <t>Cheddar's Scratch Kitchen</t>
  </si>
  <si>
    <t>Oak Park Mall|Cheddar's Scratch Kitchen</t>
  </si>
  <si>
    <t>Oak Park Mall|Chick-Fil-A</t>
  </si>
  <si>
    <t>Oak Park Mall|Chico's</t>
  </si>
  <si>
    <t>Oak Park Mall|Chipotle Mexican Grill</t>
  </si>
  <si>
    <t>Oak Park Mall|Cinnabon</t>
  </si>
  <si>
    <t>Oak Park Mall|Claire's</t>
  </si>
  <si>
    <t>Oak Park Mall|Coach</t>
  </si>
  <si>
    <t>Oak Park Mall|Dillard's</t>
  </si>
  <si>
    <t>Dragonfly Tea Zone</t>
  </si>
  <si>
    <t>Oak Park Mall|Dragonfly Tea Zone</t>
  </si>
  <si>
    <t>Oak Park Mall|Dry Goods</t>
  </si>
  <si>
    <t>Oak Park Mall|Eddie Bauer</t>
  </si>
  <si>
    <t>Oak Park Mall|EntertainMART</t>
  </si>
  <si>
    <t>Oak Park Mall|Express</t>
  </si>
  <si>
    <t>Fast Prints</t>
  </si>
  <si>
    <t>Oak Park Mall|Fast Prints</t>
  </si>
  <si>
    <t>Oak Park Mall|Finish Line</t>
  </si>
  <si>
    <t>Oak Park Mall|Five Guys</t>
  </si>
  <si>
    <t>Oak Park Mall|Foot Locker</t>
  </si>
  <si>
    <t>Oak Park Mall|Francesca's</t>
  </si>
  <si>
    <t>Oak Park Mall|FYE Music &amp; Movies</t>
  </si>
  <si>
    <t>Oak Park Mall|Garage</t>
  </si>
  <si>
    <t>Gearhead Outfitters</t>
  </si>
  <si>
    <t>Oak Park Mall|Gearhead Outfitters</t>
  </si>
  <si>
    <t>Oak Park Mall|H&amp;M</t>
  </si>
  <si>
    <t>Oak Park Mall|Haagen-Dazs</t>
  </si>
  <si>
    <t>Oak Park Mall|Hallmark</t>
  </si>
  <si>
    <t>Handel’s Homemade Ice Cream</t>
  </si>
  <si>
    <t>Oak Park Mall|Handel’s Homemade Ice Cream</t>
  </si>
  <si>
    <t>Oak Park Mall|Helzberg Diamonds</t>
  </si>
  <si>
    <t>Oak Park Mall|Hollister</t>
  </si>
  <si>
    <t>Oak Park Mall|Hot Topic</t>
  </si>
  <si>
    <t>Oak Park Mall|Houlihans</t>
  </si>
  <si>
    <t>Invision Eyewear</t>
  </si>
  <si>
    <t>Oak Park Mall|Invision Eyewear</t>
  </si>
  <si>
    <t>Oak Park Mall|J.C. Penney</t>
  </si>
  <si>
    <t>Jewelry Doctors</t>
  </si>
  <si>
    <t>Oak Park Mall|Jewelry Doctors</t>
  </si>
  <si>
    <t>Oak Park Mall|Johnston &amp; Murphy</t>
  </si>
  <si>
    <t>Oak Park Mall|Journeys</t>
  </si>
  <si>
    <t>Oak Park Mall|Kay Jewelers</t>
  </si>
  <si>
    <t>Oak Park Mall|Kids Foot Locker</t>
  </si>
  <si>
    <t>Oak Park Mall|Lane Bryant</t>
  </si>
  <si>
    <t>Oak Park Mall|LEGO</t>
  </si>
  <si>
    <t>Oak Park Mall|Lenscrafters</t>
  </si>
  <si>
    <t>Oak Park Mall|Lids</t>
  </si>
  <si>
    <t>Oak Park Mall|Loft</t>
  </si>
  <si>
    <t>Lolli and Pops</t>
  </si>
  <si>
    <t>Oak Park Mall|Lolli and Pops</t>
  </si>
  <si>
    <t>Oak Park Mall|Lovisa</t>
  </si>
  <si>
    <t>Oak Park Mall|Lush Fresh Handmade Cosmetics</t>
  </si>
  <si>
    <t>Oak Park Mall|Macys</t>
  </si>
  <si>
    <t>Made in KC</t>
  </si>
  <si>
    <t>Oak Park Mall|Made in KC</t>
  </si>
  <si>
    <t>Oak Park Mall|Maurices</t>
  </si>
  <si>
    <t>Oak Park Mall|Miniso</t>
  </si>
  <si>
    <t>Oak Park Mall|Mrs. Fields Cookies</t>
  </si>
  <si>
    <t>Oak Park Mall|Noodles &amp; Company</t>
  </si>
  <si>
    <t>Oak Park Mall|Nordstrom</t>
  </si>
  <si>
    <t>Oak Park Mall|Oakley</t>
  </si>
  <si>
    <t>Oak Park Mall|Outback Steakhouse</t>
  </si>
  <si>
    <t>Oak Park Mall|Pacific Sunwear</t>
  </si>
  <si>
    <t>Oak Park Mall|Panda Express</t>
  </si>
  <si>
    <t>Oak Park Mall|Pandora</t>
  </si>
  <si>
    <t>Park's Kitchen</t>
  </si>
  <si>
    <t>Oak Park Mall|Park's Kitchen</t>
  </si>
  <si>
    <t>Perfume Galaxy</t>
  </si>
  <si>
    <t>Oak Park Mall|Perfume Galaxy</t>
  </si>
  <si>
    <t>Oak Park Mall|Riddle's Jewelry</t>
  </si>
  <si>
    <t>Sal's Original Pizza</t>
  </si>
  <si>
    <t>Oak Park Mall|Sal's Original Pizza</t>
  </si>
  <si>
    <t>Oak Park Mall|Sarku Japan</t>
  </si>
  <si>
    <t>Oak Park Mall|Sephora</t>
  </si>
  <si>
    <t>Oak Park Mall|Shoe Department/Encore</t>
  </si>
  <si>
    <t>Soccerium</t>
  </si>
  <si>
    <t>Oak Park Mall|Soccerium</t>
  </si>
  <si>
    <t>Oak Park Mall|Spencer Gifts</t>
  </si>
  <si>
    <t>Oak Park Mall|Starbucks Coffee</t>
  </si>
  <si>
    <t>Street Corner</t>
  </si>
  <si>
    <t>Oak Park Mall|Street Corner</t>
  </si>
  <si>
    <t>Oak Park Mall|Sunglass Hut</t>
  </si>
  <si>
    <t>Takkra</t>
  </si>
  <si>
    <t>Oak Park Mall|Takkra</t>
  </si>
  <si>
    <t>Taste of Brazil</t>
  </si>
  <si>
    <t>Oak Park Mall|Taste of Brazil</t>
  </si>
  <si>
    <t>Oak Park Mall|The Childrens Place</t>
  </si>
  <si>
    <t>The Nailery</t>
  </si>
  <si>
    <t>Oak Park Mall|The Nailery</t>
  </si>
  <si>
    <t>Topsy's</t>
  </si>
  <si>
    <t>Oak Park Mall|Topsy's</t>
  </si>
  <si>
    <t>Toro Poke and Seafood</t>
  </si>
  <si>
    <t>Oak Park Mall|Toro Poke and Seafood</t>
  </si>
  <si>
    <t>Oak Park Mall|Torrid</t>
  </si>
  <si>
    <t>Oak Park Mall|Tradehome Shoes</t>
  </si>
  <si>
    <t>Vali's Tailor</t>
  </si>
  <si>
    <t>Oak Park Mall|Vali's Tailor</t>
  </si>
  <si>
    <t>Oak Park Mall|Vans</t>
  </si>
  <si>
    <t>Oak Park Mall|Victorias Secret</t>
  </si>
  <si>
    <t>Oak Park Mall|Visionworks</t>
  </si>
  <si>
    <t>Oak Park Mall|Wasteless Solutions</t>
  </si>
  <si>
    <t>Oak Park Mall|White House | Black Market</t>
  </si>
  <si>
    <t>Oak Park Mall|Windsor</t>
  </si>
  <si>
    <t>Oak Park Mall|Zales Jewelers</t>
  </si>
  <si>
    <t>Oak Park Mall|Zumiez</t>
  </si>
  <si>
    <t>Oklahoma City Collection|Allen Edmonds</t>
  </si>
  <si>
    <t>Oklahoma City Collection|Anthropologie</t>
  </si>
  <si>
    <t>Art Lab</t>
  </si>
  <si>
    <t>Oklahoma City Collection|Art Lab</t>
  </si>
  <si>
    <t>Oklahoma City Collection|Athleta</t>
  </si>
  <si>
    <t>Oklahoma City Collection|Aveda</t>
  </si>
  <si>
    <t>Balliet's</t>
  </si>
  <si>
    <t>Oklahoma City Collection|Balliet's</t>
  </si>
  <si>
    <t>Barre3</t>
  </si>
  <si>
    <t>Oklahoma City Collection|Barre3</t>
  </si>
  <si>
    <t>Oklahoma City Collection|Bassett Furniture</t>
  </si>
  <si>
    <t>BC Clark</t>
  </si>
  <si>
    <t>Oklahoma City Collection|BC Clark</t>
  </si>
  <si>
    <t>Bebe's</t>
  </si>
  <si>
    <t>Oklahoma City Collection|Bebe's</t>
  </si>
  <si>
    <t>Black Optical</t>
  </si>
  <si>
    <t>Oklahoma City Collection|Black Optical</t>
  </si>
  <si>
    <t>Oklahoma City Collection|Boardroom Salon</t>
  </si>
  <si>
    <t>Body20</t>
  </si>
  <si>
    <t>Oklahoma City Collection|Body20</t>
  </si>
  <si>
    <t>Bosquet</t>
  </si>
  <si>
    <t>Oklahoma City Collection|Bosquet</t>
  </si>
  <si>
    <t>Oklahoma City Collection|Cava Grill</t>
  </si>
  <si>
    <t>Christian Science Reading Room</t>
  </si>
  <si>
    <t>Oklahoma City Collection|Christian Science Reading Room</t>
  </si>
  <si>
    <t>CK &amp; Co.</t>
  </si>
  <si>
    <t>Oklahoma City Collection|CK &amp; Co.</t>
  </si>
  <si>
    <t>Cos Bar</t>
  </si>
  <si>
    <t>Oklahoma City Collection|Cos Bar</t>
  </si>
  <si>
    <t>Oklahoma City Collection|Cyclebar</t>
  </si>
  <si>
    <t>Oklahoma City Collection|Drybar</t>
  </si>
  <si>
    <t>Empire Slice Shop</t>
  </si>
  <si>
    <t>Oklahoma City Collection|Empire Slice Shop</t>
  </si>
  <si>
    <t>Oklahoma City Collection|European Wax Center</t>
  </si>
  <si>
    <t>Oklahoma City Collection|Evereve</t>
  </si>
  <si>
    <t>Everything But Water</t>
  </si>
  <si>
    <t>Oklahoma City Collection|Everything But Water</t>
  </si>
  <si>
    <t>Oklahoma City Collection|Fabletics</t>
  </si>
  <si>
    <t>Oklahoma City Collection|Fidelity Investments</t>
  </si>
  <si>
    <t>First Fidelity Bank</t>
  </si>
  <si>
    <t>Oklahoma City Collection|First Fidelity Bank</t>
  </si>
  <si>
    <t>Flower Child</t>
  </si>
  <si>
    <t>Oklahoma City Collection|Flower Child</t>
  </si>
  <si>
    <t>Gloss Nail Salon</t>
  </si>
  <si>
    <t>Oklahoma City Collection|Gloss Nail Salon</t>
  </si>
  <si>
    <t>Oklahoma City Collection|Gorjana</t>
  </si>
  <si>
    <t>Green Goodies</t>
  </si>
  <si>
    <t>Oklahoma City Collection|Green Goodies</t>
  </si>
  <si>
    <t>Gretta Sloane</t>
  </si>
  <si>
    <t>Oklahoma City Collection|Gretta Sloane</t>
  </si>
  <si>
    <t>Hollywood Feed</t>
  </si>
  <si>
    <t>Oklahoma City Collection|Hollywood Feed</t>
  </si>
  <si>
    <t>Hutch On Avendale</t>
  </si>
  <si>
    <t>Oklahoma City Collection|Hutch On Avendale</t>
  </si>
  <si>
    <t>J. McLaughlin</t>
  </si>
  <si>
    <t>Oklahoma City Collection|J. McLaughlin</t>
  </si>
  <si>
    <t>Johhny Was</t>
  </si>
  <si>
    <t>Oklahoma City Collection|Johhny Was</t>
  </si>
  <si>
    <t>Oklahoma City Collection|Kendra Scott</t>
  </si>
  <si>
    <t>Oklahoma City Collection|Laser Away</t>
  </si>
  <si>
    <t>Oklahoma City Collection|LoveSac</t>
  </si>
  <si>
    <t>Oklahoma City Collection|Lululemon</t>
  </si>
  <si>
    <t>Mercy-GoHealth Urgent Care</t>
  </si>
  <si>
    <t>Oklahoma City Collection|Mercy-GoHealth Urgent Care</t>
  </si>
  <si>
    <t>Milo &amp; Lily</t>
  </si>
  <si>
    <t>Oklahoma City Collection|Milo &amp; Lily</t>
  </si>
  <si>
    <t>Oklahoma City Collection|Mizzen + Main</t>
  </si>
  <si>
    <t>Naifeh's Fine Jewelry</t>
  </si>
  <si>
    <t>Oklahoma City Collection|Naifeh's Fine Jewelry</t>
  </si>
  <si>
    <t>Oklahoma City Collection|Nothing Bundt Cakes</t>
  </si>
  <si>
    <t>Orangetheory Fitness</t>
  </si>
  <si>
    <t>Oklahoma City Collection|Orangetheory Fitness</t>
  </si>
  <si>
    <t>Organic Squeeze</t>
  </si>
  <si>
    <t>Oklahoma City Collection|Organic Squeeze</t>
  </si>
  <si>
    <t>Performance Life Chiropractic</t>
  </si>
  <si>
    <t>Oklahoma City Collection|Performance Life Chiropractic</t>
  </si>
  <si>
    <t>Perspire Sauna Studio</t>
  </si>
  <si>
    <t>Oklahoma City Collection|Perspire Sauna Studio</t>
  </si>
  <si>
    <t>PLNK Fitness</t>
  </si>
  <si>
    <t>Oklahoma City Collection|PLNK Fitness</t>
  </si>
  <si>
    <t>Oklahoma City Collection|Pure Barre</t>
  </si>
  <si>
    <t>Red Coyote</t>
  </si>
  <si>
    <t>Oklahoma City Collection|Red Coyote</t>
  </si>
  <si>
    <t>Republic Gastropub</t>
  </si>
  <si>
    <t>Oklahoma City Collection|Republic Gastropub</t>
  </si>
  <si>
    <t>Restore</t>
  </si>
  <si>
    <t>Oklahoma City Collection|Restore</t>
  </si>
  <si>
    <t>Rosegold</t>
  </si>
  <si>
    <t>Oklahoma City Collection|Rosegold</t>
  </si>
  <si>
    <t>Oklahoma City Collection|Rowan</t>
  </si>
  <si>
    <t>Roxy's Ice Cream Social</t>
  </si>
  <si>
    <t>Oklahoma City Collection|Roxy's Ice Cream Social</t>
  </si>
  <si>
    <t>Rumble Fitness</t>
  </si>
  <si>
    <t>Oklahoma City Collection|Rumble Fitness</t>
  </si>
  <si>
    <t>RYE 51</t>
  </si>
  <si>
    <t>Oklahoma City Collection|RYE 51</t>
  </si>
  <si>
    <t>Saturn Grill</t>
  </si>
  <si>
    <t>Oklahoma City Collection|Saturn Grill</t>
  </si>
  <si>
    <t>Oklahoma City Collection|Scout &amp; Molly's</t>
  </si>
  <si>
    <t>Oklahoma City Collection|Sephora</t>
  </si>
  <si>
    <t>Show House LC</t>
  </si>
  <si>
    <t>Oklahoma City Collection|Show House LC</t>
  </si>
  <si>
    <t>Oklahoma City Collection|Sleep Number</t>
  </si>
  <si>
    <t>Spark Burgers</t>
  </si>
  <si>
    <t>Oklahoma City Collection|Spark Burgers</t>
  </si>
  <si>
    <t>Oklahoma City Collection|Starbucks Coffee</t>
  </si>
  <si>
    <t>Sur La Table</t>
  </si>
  <si>
    <t>Oklahoma City Collection|Sur La Table</t>
  </si>
  <si>
    <t>Susie Cakes</t>
  </si>
  <si>
    <t>Oklahoma City Collection|Susie Cakes</t>
  </si>
  <si>
    <t>Oklahoma City Collection|Tecovas</t>
  </si>
  <si>
    <t>The Upper Crust</t>
  </si>
  <si>
    <t>Oklahoma City Collection|The Upper Crust</t>
  </si>
  <si>
    <t>Tommy John</t>
  </si>
  <si>
    <t>Oklahoma City Collection|Tommy John</t>
  </si>
  <si>
    <t>Oklahoma City Collection|Torchy's Taco</t>
  </si>
  <si>
    <t>Oklahoma City Collection|Trader Joe's</t>
  </si>
  <si>
    <t>Tucker's Onion Burgers</t>
  </si>
  <si>
    <t>Oklahoma City Collection|Tucker's Onion Burgers</t>
  </si>
  <si>
    <t>Van Cleef's Salon</t>
  </si>
  <si>
    <t>Oklahoma City Collection|Van Cleef's Salon</t>
  </si>
  <si>
    <t>Oklahoma City Collection|Warby Parker</t>
  </si>
  <si>
    <t>West Elm</t>
  </si>
  <si>
    <t>Oklahoma City Collection|West Elm</t>
  </si>
  <si>
    <t>Oklahoma City Collection|Whole Foods</t>
  </si>
  <si>
    <t>Winter House Interiors</t>
  </si>
  <si>
    <t>Oklahoma City Collection|Winter House Interiors</t>
  </si>
  <si>
    <t>Paddock Mall|Aeropostale</t>
  </si>
  <si>
    <t>Paddock Mall|American Eagle Outfitters</t>
  </si>
  <si>
    <t>Paddock Mall|Auntie Annes</t>
  </si>
  <si>
    <t>Paddock Mall|Banter by Piercing Pagoda</t>
  </si>
  <si>
    <t>Paddock Mall|Banter By Piercing Pagoda</t>
  </si>
  <si>
    <t>Paddock Mall|Bath &amp; Body Works</t>
  </si>
  <si>
    <t>Paddock Mall|Belk</t>
  </si>
  <si>
    <t>Blossom Juicy Bar</t>
  </si>
  <si>
    <t>Paddock Mall|Blossom Juicy Bar</t>
  </si>
  <si>
    <t>BM Jewelers</t>
  </si>
  <si>
    <t>Paddock Mall|BM Jewelers</t>
  </si>
  <si>
    <t>Paddock Mall|Buckle</t>
  </si>
  <si>
    <t>Bunker 27</t>
  </si>
  <si>
    <t>Paddock Mall|Bunker 27</t>
  </si>
  <si>
    <t>Paddock Mall|Charley's Philly Steaks</t>
  </si>
  <si>
    <t>Chi Reflexology</t>
  </si>
  <si>
    <t>Paddock Mall|Chi Reflexology</t>
  </si>
  <si>
    <t>Paddock Mall|Chick-Fil-A</t>
  </si>
  <si>
    <t>Paddock Mall|Claire's</t>
  </si>
  <si>
    <t>Paddock Mall|Express Jewelers</t>
  </si>
  <si>
    <t>Paddock Mall|Fit 2 Run</t>
  </si>
  <si>
    <t>Paddock Mall|Foot Locker</t>
  </si>
  <si>
    <t>Paddock Mall|Francesca's</t>
  </si>
  <si>
    <t>Paddock Mall|FYE Music &amp; Movies</t>
  </si>
  <si>
    <t>Paddock Mall|GameStop</t>
  </si>
  <si>
    <t>Paddock Mall|GNC</t>
  </si>
  <si>
    <t>Go Green CBD</t>
  </si>
  <si>
    <t>Paddock Mall|Go Green CBD</t>
  </si>
  <si>
    <t>Paddock Mall|Hollister</t>
  </si>
  <si>
    <t>Home Gadgets</t>
  </si>
  <si>
    <t>Paddock Mall|Home Gadgets</t>
  </si>
  <si>
    <t>Paddock Mall|J.C. Penney</t>
  </si>
  <si>
    <t>Paddock Mall|JD Sports</t>
  </si>
  <si>
    <t>Jewelry World</t>
  </si>
  <si>
    <t>Paddock Mall|Jewelry World</t>
  </si>
  <si>
    <t>Paddock Mall|Journeys</t>
  </si>
  <si>
    <t>Paddock Mall|Kay Jewelers</t>
  </si>
  <si>
    <t>Paddock Mall|Lane Bryant</t>
  </si>
  <si>
    <t>Paddock Mall|Lids</t>
  </si>
  <si>
    <t>Paddock Mall|Macys</t>
  </si>
  <si>
    <t>Paddock Mall|Maurices</t>
  </si>
  <si>
    <t>Paddock Mall|Miniso</t>
  </si>
  <si>
    <t>Paddock Mall|Mobile Saver Station</t>
  </si>
  <si>
    <t>My Little Town Kids</t>
  </si>
  <si>
    <t>Paddock Mall|My Little Town Kids</t>
  </si>
  <si>
    <t>Ocala Jewelers</t>
  </si>
  <si>
    <t>Paddock Mall|Ocala Jewelers</t>
  </si>
  <si>
    <t>Paddock Mall|Pandora</t>
  </si>
  <si>
    <t>Pei Wei Asian Express</t>
  </si>
  <si>
    <t>Paddock Mall|Pei Wei Asian Express</t>
  </si>
  <si>
    <t>Perfume Collection</t>
  </si>
  <si>
    <t>Paddock Mall|Perfume Collection</t>
  </si>
  <si>
    <t>Phone Fashion</t>
  </si>
  <si>
    <t>Paddock Mall|Phone Fashion</t>
  </si>
  <si>
    <t>Poke Express</t>
  </si>
  <si>
    <t>Paddock Mall|Poke Express</t>
  </si>
  <si>
    <t>Paddock Mall|Popeyes Louisiana Kitchen</t>
  </si>
  <si>
    <t>Paddock Mall|Rack Room Shoes</t>
  </si>
  <si>
    <t>Paddock Mall|Reeds Jewelers</t>
  </si>
  <si>
    <t>SAAS Brow</t>
  </si>
  <si>
    <t>Paddock Mall|SAAS Brow</t>
  </si>
  <si>
    <t>Seritage Growth Properties</t>
  </si>
  <si>
    <t>Paddock Mall|Seritage Growth Properties</t>
  </si>
  <si>
    <t>Paddock Mall|Snipes</t>
  </si>
  <si>
    <t>Paddock Mall|Spencer Gifts</t>
  </si>
  <si>
    <t>Paddock Mall|Sunglass Hut</t>
  </si>
  <si>
    <t>Symmetry Coffee</t>
  </si>
  <si>
    <t>Paddock Mall|Symmetry Coffee</t>
  </si>
  <si>
    <t>Paddock Mall|Texas Roadhouse</t>
  </si>
  <si>
    <t>Today's Male</t>
  </si>
  <si>
    <t>Paddock Mall|Today's Male</t>
  </si>
  <si>
    <t>Paddock Mall|Torrid</t>
  </si>
  <si>
    <t>Treasure Fine Jewelers</t>
  </si>
  <si>
    <t>Paddock Mall|Treasure Fine Jewelers</t>
  </si>
  <si>
    <t>Tua Pelle</t>
  </si>
  <si>
    <t>Paddock Mall|Tua Pelle</t>
  </si>
  <si>
    <t>Vernon's Vintage Barbershop</t>
  </si>
  <si>
    <t>Paddock Mall|Vernon's Vintage Barbershop</t>
  </si>
  <si>
    <t>Paddock Mall|Victorias Secret</t>
  </si>
  <si>
    <t>Paddock Mall|Windsor</t>
  </si>
  <si>
    <t>Paddock Mall|Yankee Candle</t>
  </si>
  <si>
    <t>Paddock Mall|Zales Jewelers</t>
  </si>
  <si>
    <t>Paddock Mall|Zumiez</t>
  </si>
  <si>
    <t>Palisades Center|5 Wits</t>
  </si>
  <si>
    <t>Palisades Center|Abercrombie &amp; Fitch</t>
  </si>
  <si>
    <t>Accessory Outlet</t>
  </si>
  <si>
    <t>Palisades Center|Accessory Outlet</t>
  </si>
  <si>
    <t>Active Physical Therapy &amp; Wellness Center</t>
  </si>
  <si>
    <t>Palisades Center|Active Physical Therapy &amp; Wellness Center</t>
  </si>
  <si>
    <t>Adidas</t>
  </si>
  <si>
    <t>Palisades Center|Adidas</t>
  </si>
  <si>
    <t>Palisades Center|Aerie</t>
  </si>
  <si>
    <t>Palisades Center|Aeropostale</t>
  </si>
  <si>
    <t>Palisades Center|Against All Odds</t>
  </si>
  <si>
    <t>Palisades Center|Aldo</t>
  </si>
  <si>
    <t>Palisades Center|AMC Theatres</t>
  </si>
  <si>
    <t>Palisades Center|American Eagle Outfitters</t>
  </si>
  <si>
    <t>Palisades Center|Ardene</t>
  </si>
  <si>
    <t>Palisades Center|Auntie Annes</t>
  </si>
  <si>
    <t>Autobahn</t>
  </si>
  <si>
    <t>Palisades Center|Autobahn</t>
  </si>
  <si>
    <t>Backstage</t>
  </si>
  <si>
    <t>Palisades Center|Backstage</t>
  </si>
  <si>
    <t>Palisades Center|Barnes &amp; Noble</t>
  </si>
  <si>
    <t>Palisades Center|Bath &amp; Body Works</t>
  </si>
  <si>
    <t>Palisades Center|Best Buy</t>
  </si>
  <si>
    <t>Palisades Center|Billy Beez</t>
  </si>
  <si>
    <t>BJ's Wholesale Club</t>
  </si>
  <si>
    <t>Palisades Center|BJ's Wholesale Club</t>
  </si>
  <si>
    <t>Palisades Center|Box Lunch</t>
  </si>
  <si>
    <t>Bridges</t>
  </si>
  <si>
    <t>Palisades Center|Bridges</t>
  </si>
  <si>
    <t>Bridges Sensory Room</t>
  </si>
  <si>
    <t>Palisades Center|Bridges Sensory Room</t>
  </si>
  <si>
    <t>Bronte</t>
  </si>
  <si>
    <t>Palisades Center|Bronte</t>
  </si>
  <si>
    <t>Brothers Smokehouse BBQ &amp; Soul</t>
  </si>
  <si>
    <t>Palisades Center|Brothers Smokehouse BBQ &amp; Soul</t>
  </si>
  <si>
    <t>Palisades Center|Build-A-Bear Workshop</t>
  </si>
  <si>
    <t>Palisades Center|Burger King</t>
  </si>
  <si>
    <t>Palisades Center|Burlington Coat Factory</t>
  </si>
  <si>
    <t>C&amp;C Market Research</t>
  </si>
  <si>
    <t>Palisades Center|C&amp;C Market Research</t>
  </si>
  <si>
    <t>Carlitos Tequileria &amp; Grill</t>
  </si>
  <si>
    <t>Palisades Center|Carlitos Tequileria &amp; Grill</t>
  </si>
  <si>
    <t>Palisades Center|Carters</t>
  </si>
  <si>
    <t>Palisades Center|Champs Sports</t>
  </si>
  <si>
    <t>Palisades Center|Charley's Philly Steaks</t>
  </si>
  <si>
    <t>Palisades Center|Charlotte Russe</t>
  </si>
  <si>
    <t>Palisades Center|Cheesecake Factory</t>
  </si>
  <si>
    <t>Chili's Grill &amp; Bar</t>
  </si>
  <si>
    <t>Palisades Center|Chili's Grill &amp; Bar</t>
  </si>
  <si>
    <t>Chip City</t>
  </si>
  <si>
    <t>Palisades Center|Chip City</t>
  </si>
  <si>
    <t>Palisades Center|Chipotle Mexican Grill</t>
  </si>
  <si>
    <t>Palisades Center|Cinnabon</t>
  </si>
  <si>
    <t>Palisades Center|Claire's</t>
  </si>
  <si>
    <t>Climb Zone</t>
  </si>
  <si>
    <t>Palisades Center|Climb Zone</t>
  </si>
  <si>
    <t>Palisades Center|Cohens Fashion Optical</t>
  </si>
  <si>
    <t>Palisades Center|Crocs</t>
  </si>
  <si>
    <t>Palisades Center|Dave &amp; Busters</t>
  </si>
  <si>
    <t>Palisades Center|Dick's Sporting Goods</t>
  </si>
  <si>
    <t>Doc Popcorn|Dippin' Dot</t>
  </si>
  <si>
    <t>Palisades Center|Doc Popcorn|Dippin' Dot</t>
  </si>
  <si>
    <t>Palisades Center|DSW Shoe Warehouse</t>
  </si>
  <si>
    <t>Palisades Center|Dunkin Donuts</t>
  </si>
  <si>
    <t>Palisades Center|Express</t>
  </si>
  <si>
    <t>Palisades Center|Famous Footwear</t>
  </si>
  <si>
    <t>Palisades Center|Finish Line</t>
  </si>
  <si>
    <t>Palisades Center|Five Below</t>
  </si>
  <si>
    <t>Palisades Center|Foot Locker</t>
  </si>
  <si>
    <t>Frozen D Lite</t>
  </si>
  <si>
    <t>Palisades Center|Frozen D Lite</t>
  </si>
  <si>
    <t>Palisades Center|FYE Music &amp; Movies</t>
  </si>
  <si>
    <t>Palisades Center|GameStop</t>
  </si>
  <si>
    <t>Palisades Center|Gap</t>
  </si>
  <si>
    <t>Palisades Center|Garage</t>
  </si>
  <si>
    <t>Glowing Candle</t>
  </si>
  <si>
    <t>Palisades Center|Glowing Candle</t>
  </si>
  <si>
    <t>Palisades Center|GNC</t>
  </si>
  <si>
    <t>Gold Mine Jewelers</t>
  </si>
  <si>
    <t>Palisades Center|Gold Mine Jewelers</t>
  </si>
  <si>
    <t>Golfzon Social</t>
  </si>
  <si>
    <t>Palisades Center|Golfzon Social</t>
  </si>
  <si>
    <t>Palisades Center|Gong Cha</t>
  </si>
  <si>
    <t>Palisades Center|Great American Cookies</t>
  </si>
  <si>
    <t>Gyuzo Japanese Bbq</t>
  </si>
  <si>
    <t>Palisades Center|Gyuzo Japanese Bbq</t>
  </si>
  <si>
    <t>Palisades Center|H&amp;M</t>
  </si>
  <si>
    <t>Palisades Center|Haagen-Dazs</t>
  </si>
  <si>
    <t>Palisades Center|Hollister</t>
  </si>
  <si>
    <t>Home Depot</t>
  </si>
  <si>
    <t>Palisades Center|Home Depot</t>
  </si>
  <si>
    <t>Palisades Center|Hot Topic</t>
  </si>
  <si>
    <t>Immersive Gamebox</t>
  </si>
  <si>
    <t>Palisades Center|Immersive Gamebox</t>
  </si>
  <si>
    <t>Palisades Center|It'Sugar</t>
  </si>
  <si>
    <t>Palisades Center|Johnny Rockets</t>
  </si>
  <si>
    <t>Palisades Center|Joseph Jacob Jewelers</t>
  </si>
  <si>
    <t>Palisades Center|Journeys</t>
  </si>
  <si>
    <t>KFC</t>
  </si>
  <si>
    <t>Palisades Center|KFC</t>
  </si>
  <si>
    <t>Kong Dog</t>
  </si>
  <si>
    <t>Palisades Center|Kong Dog</t>
  </si>
  <si>
    <t>Palisades Center|LEGO</t>
  </si>
  <si>
    <t>Palisades Center|Lenscrafters</t>
  </si>
  <si>
    <t>Levity Live Comedy Club And Restaurant</t>
  </si>
  <si>
    <t>Palisades Center|Levity Live Comedy Club And Restaurant</t>
  </si>
  <si>
    <t>Palisades Center|Lids</t>
  </si>
  <si>
    <t>Little Buddha Asian Bistro</t>
  </si>
  <si>
    <t>Palisades Center|Little Buddha Asian Bistro</t>
  </si>
  <si>
    <t>Little Tokyo</t>
  </si>
  <si>
    <t>Palisades Center|Little Tokyo</t>
  </si>
  <si>
    <t>Lord &amp; Taylor</t>
  </si>
  <si>
    <t>Palisades Center|Lord &amp; Taylor</t>
  </si>
  <si>
    <t>Palisades Center|Lovisa</t>
  </si>
  <si>
    <t>Palisades Center|Macys</t>
  </si>
  <si>
    <t>Master Wok</t>
  </si>
  <si>
    <t>Palisades Center|Master Wok</t>
  </si>
  <si>
    <t>Palisades Center|Metro By T-Mobile</t>
  </si>
  <si>
    <t>Palisades Center|Miniso</t>
  </si>
  <si>
    <t>Mobile Couture</t>
  </si>
  <si>
    <t>Palisades Center|Mobile Couture</t>
  </si>
  <si>
    <t>Palisades Center|Nail Pro &amp; Spa</t>
  </si>
  <si>
    <t>Palisades Center|Nathan's Famous</t>
  </si>
  <si>
    <t>New Yorker</t>
  </si>
  <si>
    <t>Palisades Center|New Yorker</t>
  </si>
  <si>
    <t>Palisades Center|Newbury Comics</t>
  </si>
  <si>
    <t>Palisades Center|Offline By Aerie</t>
  </si>
  <si>
    <t>Palisades Center|Old Navy</t>
  </si>
  <si>
    <t>Opinions</t>
  </si>
  <si>
    <t>Palisades Center|Opinions</t>
  </si>
  <si>
    <t>Oyishi Japan</t>
  </si>
  <si>
    <t>Palisades Center|Oyishi Japan</t>
  </si>
  <si>
    <t>Palisades Center|Pacific Sunwear</t>
  </si>
  <si>
    <t>Palisades Climb</t>
  </si>
  <si>
    <t>Palisades Center|Palisades Climb</t>
  </si>
  <si>
    <t>Palisades Dental</t>
  </si>
  <si>
    <t>Palisades Center|Palisades Dental</t>
  </si>
  <si>
    <t>Palisades Center|Pandora</t>
  </si>
  <si>
    <t>Perfume Romance</t>
  </si>
  <si>
    <t>Palisades Center|Perfume Romance</t>
  </si>
  <si>
    <t>Perfuroma</t>
  </si>
  <si>
    <t>Palisades Center|Perfuroma</t>
  </si>
  <si>
    <t>Picanha Brazilian Steakhouse</t>
  </si>
  <si>
    <t>Palisades Center|Picanha Brazilian Steakhouse</t>
  </si>
  <si>
    <t>Palisades Center|Piercing Pagoda</t>
  </si>
  <si>
    <t>Palisades Center|Popeyes Louisiana Kitchen</t>
  </si>
  <si>
    <t>Red Crab Juicy Seafood</t>
  </si>
  <si>
    <t>Palisades Center|Red Crab Juicy Seafood</t>
  </si>
  <si>
    <t>ReMax Opulent</t>
  </si>
  <si>
    <t>Palisades Center|ReMax Opulent</t>
  </si>
  <si>
    <t>Palisades Center|Saladworks</t>
  </si>
  <si>
    <t>Sbarro, The Italian Eatery</t>
  </si>
  <si>
    <t>Palisades Center|Sbarro, The Italian Eatery</t>
  </si>
  <si>
    <t>Palisades Center|Sephora</t>
  </si>
  <si>
    <t>Shah's Halal Food</t>
  </si>
  <si>
    <t>Palisades Center|Shah's Halal Food</t>
  </si>
  <si>
    <t>Palisades Center|Showcase</t>
  </si>
  <si>
    <t>Sing Choi Kee</t>
  </si>
  <si>
    <t>Palisades Center|Sing Choi Kee</t>
  </si>
  <si>
    <t>Speed Wireless</t>
  </si>
  <si>
    <t>Palisades Center|Speed Wireless</t>
  </si>
  <si>
    <t>Palisades Center|Spencer Gifts</t>
  </si>
  <si>
    <t>Palisades Center|Starbucks Coffee</t>
  </si>
  <si>
    <t>Stat Health</t>
  </si>
  <si>
    <t>Palisades Center|Stat Health</t>
  </si>
  <si>
    <t>Palisades Center|Subway</t>
  </si>
  <si>
    <t>Palisades Center|Swarovski</t>
  </si>
  <si>
    <t>Palisades Center|Taco Bell</t>
  </si>
  <si>
    <t>Palisades Center|Tai Chi</t>
  </si>
  <si>
    <t>Palisades Center|Target</t>
  </si>
  <si>
    <t>Palisades Center|The Inspiration Co</t>
  </si>
  <si>
    <t>The Modern Nails Bar</t>
  </si>
  <si>
    <t>Palisades Center|The Modern Nails Bar</t>
  </si>
  <si>
    <t>The Threading Place</t>
  </si>
  <si>
    <t>Palisades Center|The Threading Place</t>
  </si>
  <si>
    <t>TimeZone</t>
  </si>
  <si>
    <t>Palisades Center|TimeZone</t>
  </si>
  <si>
    <t>Palisades Center|T-Mobile</t>
  </si>
  <si>
    <t>US Postal Service</t>
  </si>
  <si>
    <t>Palisades Center|US Postal Service</t>
  </si>
  <si>
    <t>Palisades Center|Victorias Secret</t>
  </si>
  <si>
    <t>Vivi Bubble Tea</t>
  </si>
  <si>
    <t>Palisades Center|Vivi Bubble Tea</t>
  </si>
  <si>
    <t>Palisades Center|Wendy's</t>
  </si>
  <si>
    <t>Palisades Center|Wetzels Pretzels</t>
  </si>
  <si>
    <t>Palisades Center|Windsor</t>
  </si>
  <si>
    <t>Palisades Center|Yard House</t>
  </si>
  <si>
    <t>Palisades Center|Zales Jewelers</t>
  </si>
  <si>
    <t>Palisades Center|Zara</t>
  </si>
  <si>
    <t>Palisades Center|Zumiez</t>
  </si>
  <si>
    <t>3300 Shops, LLC</t>
  </si>
  <si>
    <t>Pearland Town Center|3300 Shops, LLC</t>
  </si>
  <si>
    <t>A Shaving Grace Barber Shop</t>
  </si>
  <si>
    <t>Pearland Town Center|A Shaving Grace Barber Shop</t>
  </si>
  <si>
    <t>Pearland Town Center|Aeropostale</t>
  </si>
  <si>
    <t>Pearland Town Center|Anthony Vince Nail Spa</t>
  </si>
  <si>
    <t>Pearland Town Center|Barnes &amp; Noble</t>
  </si>
  <si>
    <t>Pearland Town Center|Bath &amp; Body Works</t>
  </si>
  <si>
    <t>Pearland Town Center|BJ's Restaurant Brewhouse</t>
  </si>
  <si>
    <t>Bodybar Pilates</t>
  </si>
  <si>
    <t>Pearland Town Center|Bodybar Pilates</t>
  </si>
  <si>
    <t>Pearland Town Center|Bonchon</t>
  </si>
  <si>
    <t>Bricks &amp; Minifigs</t>
  </si>
  <si>
    <t>Pearland Town Center|Bricks &amp; Minifigs</t>
  </si>
  <si>
    <t>Pearland Town Center|Buckle</t>
  </si>
  <si>
    <t>Pearland Town Center|Buff City Soap</t>
  </si>
  <si>
    <t>Pearland Town Center|Champs Sports</t>
  </si>
  <si>
    <t>Pearland Town Center|Chico's</t>
  </si>
  <si>
    <t>City Gear</t>
  </si>
  <si>
    <t>Pearland Town Center|City Gear</t>
  </si>
  <si>
    <t>Pearland Town Center|Claire's</t>
  </si>
  <si>
    <t>Coastal CBD Relief</t>
  </si>
  <si>
    <t>Pearland Town Center|Coastal CBD Relief</t>
  </si>
  <si>
    <t>Courtyard by Marriott</t>
  </si>
  <si>
    <t>Pearland Town Center|Courtyard by Marriott</t>
  </si>
  <si>
    <t>Pearland Town Center|Dick's Sporting Goods</t>
  </si>
  <si>
    <t>Pearland Town Center|Dillard's</t>
  </si>
  <si>
    <t>DQ / OrangeJulius</t>
  </si>
  <si>
    <t>Pearland Town Center|DQ / OrangeJulius</t>
  </si>
  <si>
    <t>Pearland Town Center|European Wax Center</t>
  </si>
  <si>
    <t>Pearland Town Center|Express</t>
  </si>
  <si>
    <t>Fish City Grill</t>
  </si>
  <si>
    <t>Pearland Town Center|Fish City Grill</t>
  </si>
  <si>
    <t>Pearland Town Center|Francesca's</t>
  </si>
  <si>
    <t>Freebirds World Burrito</t>
  </si>
  <si>
    <t>Pearland Town Center|Freebirds World Burrito</t>
  </si>
  <si>
    <t>Pearland Town Center|GameStop</t>
  </si>
  <si>
    <t>Pearland Town Center|GNC</t>
  </si>
  <si>
    <t>Goodyear</t>
  </si>
  <si>
    <t>Pearland Town Center|Goodyear</t>
  </si>
  <si>
    <t>Gringo's Tex-Mex</t>
  </si>
  <si>
    <t>Pearland Town Center|Gringo's Tex-Mex</t>
  </si>
  <si>
    <t>Pearland Town Center|H&amp;M</t>
  </si>
  <si>
    <t>Pearland Town Center|Hallmark</t>
  </si>
  <si>
    <t>Pearland Town Center|Hollister</t>
  </si>
  <si>
    <t>HoneyBaked Ham</t>
  </si>
  <si>
    <t>Pearland Town Center|HoneyBaked Ham</t>
  </si>
  <si>
    <t>Hospital Corporation of America</t>
  </si>
  <si>
    <t>Pearland Town Center|Hospital Corporation of America</t>
  </si>
  <si>
    <t>Pearland Town Center|Hot Topic</t>
  </si>
  <si>
    <t>Pearland Town Center|James Avery</t>
  </si>
  <si>
    <t>Pearland Town Center|JD Sports</t>
  </si>
  <si>
    <t>Pearland Town Center|Journeys</t>
  </si>
  <si>
    <t>Pearland Town Center|Journeys Kidz</t>
  </si>
  <si>
    <t>Pearland Town Center|Kay Jewelers</t>
  </si>
  <si>
    <t>Pearland Town Center|Kendra Scott</t>
  </si>
  <si>
    <t>Krispy Kreme</t>
  </si>
  <si>
    <t>Pearland Town Center|Krispy Kreme</t>
  </si>
  <si>
    <t>Pearland Town Center|Kung Fu Tea</t>
  </si>
  <si>
    <t>La Madeleine Country French Cafe</t>
  </si>
  <si>
    <t>Pearland Town Center|La Madeleine Country French Cafe</t>
  </si>
  <si>
    <t>Pearland Town Center|Laser Away</t>
  </si>
  <si>
    <t>Pearland Town Center|Lenscrafters</t>
  </si>
  <si>
    <t>LICK Ice Cream</t>
  </si>
  <si>
    <t>Pearland Town Center|LICK Ice Cream</t>
  </si>
  <si>
    <t>Pearland Town Center|Lids</t>
  </si>
  <si>
    <t>Pearland Town Center|Lotus Foot Spa</t>
  </si>
  <si>
    <t>Lovett Dental</t>
  </si>
  <si>
    <t>Pearland Town Center|Lovett Dental</t>
  </si>
  <si>
    <t>Luu Luu Nails &amp; Spa</t>
  </si>
  <si>
    <t>Pearland Town Center|Luu Luu Nails &amp; Spa</t>
  </si>
  <si>
    <t>Pearland Town Center|Macys</t>
  </si>
  <si>
    <t>Mauricio's Authentic Mexican Food</t>
  </si>
  <si>
    <t>Pearland Town Center|Mauricio's Authentic Mexican Food</t>
  </si>
  <si>
    <t>Mini Seoul Mart</t>
  </si>
  <si>
    <t>Pearland Town Center|Mini Seoul Mart</t>
  </si>
  <si>
    <t>Pearland Town Center|Miniso</t>
  </si>
  <si>
    <t>MONGO The Mongolian Firepit</t>
  </si>
  <si>
    <t>Pearland Town Center|MONGO The Mongolian Firepit</t>
  </si>
  <si>
    <t>My Eyelab</t>
  </si>
  <si>
    <t>Pearland Town Center|My Eyelab</t>
  </si>
  <si>
    <t>Neighbors Emergency Center</t>
  </si>
  <si>
    <t>Pearland Town Center|Neighbors Emergency Center</t>
  </si>
  <si>
    <t>Pearland Town Center|Pandora</t>
  </si>
  <si>
    <t>Pearland Convention &amp; Visitor's Bureau</t>
  </si>
  <si>
    <t>Pearland Town Center|Pearland Convention &amp; Visitor's Bureau</t>
  </si>
  <si>
    <t>Pearland School of Music</t>
  </si>
  <si>
    <t>Pearland Town Center|Pearland School of Music</t>
  </si>
  <si>
    <t>Perfume Depot</t>
  </si>
  <si>
    <t>Pearland Town Center|Perfume Depot</t>
  </si>
  <si>
    <t>PetSuites of America</t>
  </si>
  <si>
    <t>Pearland Town Center|PetSuites of America</t>
  </si>
  <si>
    <t>Piada</t>
  </si>
  <si>
    <t>Pearland Town Center|Piada</t>
  </si>
  <si>
    <t>Pearland Town Center|Popeyes Louisiana Kitchen</t>
  </si>
  <si>
    <t>Pearland Town Center|Pretzelmaker</t>
  </si>
  <si>
    <t>Pearland Town Center|Rack Room Shoes</t>
  </si>
  <si>
    <t>Residences at Pearland Town Center</t>
  </si>
  <si>
    <t>Pearland Town Center|Residences at Pearland Town Center</t>
  </si>
  <si>
    <t>RL.PTX LLC</t>
  </si>
  <si>
    <t>Pearland Town Center|RL.PTX LLC</t>
  </si>
  <si>
    <t>Russo's New York Pizzeria</t>
  </si>
  <si>
    <t>Pearland Town Center|Russo's New York Pizzeria</t>
  </si>
  <si>
    <t>Salons By JC</t>
  </si>
  <si>
    <t>Pearland Town Center|Salons By JC</t>
  </si>
  <si>
    <t>Sharkeys Cuts for Kids</t>
  </si>
  <si>
    <t>Pearland Town Center|Sharkeys Cuts for Kids</t>
  </si>
  <si>
    <t>Pearland Town Center|Shoe Palace</t>
  </si>
  <si>
    <t>Shogun Japanese Grill &amp; Sushi</t>
  </si>
  <si>
    <t>Pearland Town Center|Shogun Japanese Grill &amp; Sushi</t>
  </si>
  <si>
    <t>Smallcakes</t>
  </si>
  <si>
    <t>Pearland Town Center|Smallcakes</t>
  </si>
  <si>
    <t>Space City Collective</t>
  </si>
  <si>
    <t>Pearland Town Center|Space City Collective</t>
  </si>
  <si>
    <t>Pearland Town Center|Spencer Gifts</t>
  </si>
  <si>
    <t>Spuds TCG</t>
  </si>
  <si>
    <t>Pearland Town Center|Spuds TCG</t>
  </si>
  <si>
    <t>Steak 'n Shake</t>
  </si>
  <si>
    <t>Pearland Town Center|Steak 'n Shake</t>
  </si>
  <si>
    <t>Pearland Town Center|Sunglass Hut</t>
  </si>
  <si>
    <t>Pearland Town Center|The Childrens Place</t>
  </si>
  <si>
    <t>The Vitamin Shoppe</t>
  </si>
  <si>
    <t>Pearland Town Center|The Vitamin Shoppe</t>
  </si>
  <si>
    <t>Tiff’s Treats</t>
  </si>
  <si>
    <t>Pearland Town Center|Tiff’s Treats</t>
  </si>
  <si>
    <t>Pearland Town Center|Torrid</t>
  </si>
  <si>
    <t>Pearland Town Center|Town Place Suites</t>
  </si>
  <si>
    <t>TRU Hotel</t>
  </si>
  <si>
    <t>Pearland Town Center|TRU Hotel</t>
  </si>
  <si>
    <t>UBreakiFix</t>
  </si>
  <si>
    <t>Pearland Town Center|UBreakiFix</t>
  </si>
  <si>
    <t>Ugly Donuts &amp; Corn Dogs</t>
  </si>
  <si>
    <t>Pearland Town Center|Ugly Donuts &amp; Corn Dogs</t>
  </si>
  <si>
    <t>Pearland Town Center|Vans</t>
  </si>
  <si>
    <t>Pearland Town Center|Versona</t>
  </si>
  <si>
    <t>Pearland Town Center|Victorias Secret</t>
  </si>
  <si>
    <t>Pearland Town Center|Wasteless Solutions</t>
  </si>
  <si>
    <t>Pearland Town Center|Windsor</t>
  </si>
  <si>
    <t>Pearland Town Center|Zales Jewelers</t>
  </si>
  <si>
    <t>Zoe's Kitchen</t>
  </si>
  <si>
    <t>Pearland Town Center|Zoe's Kitchen</t>
  </si>
  <si>
    <t>Pearland Town Center|Zumiez</t>
  </si>
  <si>
    <t>Providence Place|Abercrombie &amp; Fitch</t>
  </si>
  <si>
    <t>Providence Place|Aerie</t>
  </si>
  <si>
    <t>Providence Place|Aeropostale</t>
  </si>
  <si>
    <t>Akira</t>
  </si>
  <si>
    <t>Providence Place|Akira</t>
  </si>
  <si>
    <t>Providence Place|Aldo</t>
  </si>
  <si>
    <t>Providence Place|American Eagle Outfitters</t>
  </si>
  <si>
    <t>Providence Place|Apple</t>
  </si>
  <si>
    <t>Providence Place|AT&amp;T</t>
  </si>
  <si>
    <t>Providence Place|Auntie Annes</t>
  </si>
  <si>
    <t>Providence Place|Banter By Piercing Pagoda</t>
  </si>
  <si>
    <t>Providence Place|Bath &amp; Body Works</t>
  </si>
  <si>
    <t>Providence Place|Brooks Brothers</t>
  </si>
  <si>
    <t>Providence Place|Build-A-Bear Workshop</t>
  </si>
  <si>
    <t>Providence Place|Champs Sports</t>
  </si>
  <si>
    <t>Providence Place|Charley's Philly Steaks</t>
  </si>
  <si>
    <t>Providence Place|Charlotte Russe</t>
  </si>
  <si>
    <t>Providence Place|Courtside Kicks</t>
  </si>
  <si>
    <t>Cvs/Pharmacy</t>
  </si>
  <si>
    <t>Providence Place|Cvs/Pharmacy</t>
  </si>
  <si>
    <t>Providence Place|Cyclebar</t>
  </si>
  <si>
    <t>Providence Place|DSW Shoe Warehouse</t>
  </si>
  <si>
    <t>Providence Place|Express</t>
  </si>
  <si>
    <t>Providence Place|Francesca's</t>
  </si>
  <si>
    <t>Providence Place|GameStop</t>
  </si>
  <si>
    <t>Providence Place|Garage</t>
  </si>
  <si>
    <t>Geneva Nails And Spa</t>
  </si>
  <si>
    <t>Providence Place|Geneva Nails And Spa</t>
  </si>
  <si>
    <t>Providence Place|Granite Telecommunications</t>
  </si>
  <si>
    <t>Providence Place|H&amp;M</t>
  </si>
  <si>
    <t>Providence Place|Hollister</t>
  </si>
  <si>
    <t>Providence Place|Hot Topic</t>
  </si>
  <si>
    <t>I Thread &amp; Lash Spa</t>
  </si>
  <si>
    <t>Providence Place|I Thread &amp; Lash Spa</t>
  </si>
  <si>
    <t>Providence Place|J.Crew</t>
  </si>
  <si>
    <t>Providence Place|JD Sports</t>
  </si>
  <si>
    <t>Providence Place|Journeys</t>
  </si>
  <si>
    <t>Providence Place|Kids Foot Locker</t>
  </si>
  <si>
    <t>Providence Place|LEGO</t>
  </si>
  <si>
    <t>Providence Place|Lenscrafters</t>
  </si>
  <si>
    <t>Providence Place|Lids</t>
  </si>
  <si>
    <t>Providence Place|Lovisa</t>
  </si>
  <si>
    <t>Providence Place|Lucky Brand Jeans</t>
  </si>
  <si>
    <t>Providence Place|Lush Fresh Handmade Cosmetics</t>
  </si>
  <si>
    <t>Providence Place|Macys</t>
  </si>
  <si>
    <t>Metro Pcs</t>
  </si>
  <si>
    <t>Providence Place|Metro Pcs</t>
  </si>
  <si>
    <t>Providence Place|Miniso</t>
  </si>
  <si>
    <t>Providence Place|Newbury Comics</t>
  </si>
  <si>
    <t>Providence Place|Old Navy</t>
  </si>
  <si>
    <t>Providence Place|P.F. Changs</t>
  </si>
  <si>
    <t>Providence Place|Pacific Sunwear</t>
  </si>
  <si>
    <t>Providence Place|Pandora</t>
  </si>
  <si>
    <t>Providence Place|Panera Bread</t>
  </si>
  <si>
    <t>Providence Place|Pop Mart</t>
  </si>
  <si>
    <t>Providence Place Cinemas 16</t>
  </si>
  <si>
    <t>Providence Place|Providence Place Cinemas 16</t>
  </si>
  <si>
    <t>Qi Balance Spa</t>
  </si>
  <si>
    <t>Providence Place|Qi Balance Spa</t>
  </si>
  <si>
    <t>Providence Place|Rack Room Shoes</t>
  </si>
  <si>
    <t>Providence Place|Rainbow</t>
  </si>
  <si>
    <t>Providence Place|Ruby Thai Kitchen</t>
  </si>
  <si>
    <t>Providence Place|Sephora</t>
  </si>
  <si>
    <t>Providence Place|Showcase</t>
  </si>
  <si>
    <t>Providence Place|Spencer Gifts</t>
  </si>
  <si>
    <t>Providence Place|Starbucks Coffee</t>
  </si>
  <si>
    <t>Sushi Cafe</t>
  </si>
  <si>
    <t>Providence Place|Sushi Cafe</t>
  </si>
  <si>
    <t>Providence Place|The Cheesecake Factory</t>
  </si>
  <si>
    <t>Providence Place|The Childrens Place</t>
  </si>
  <si>
    <t>The Coffee Cup</t>
  </si>
  <si>
    <t>Providence Place|The Coffee Cup</t>
  </si>
  <si>
    <t>Providence Place|The North Face</t>
  </si>
  <si>
    <t>Providence Place|Tillys</t>
  </si>
  <si>
    <t>Providence Place|T-Mobile</t>
  </si>
  <si>
    <t>Tori Japan</t>
  </si>
  <si>
    <t>Providence Place|Tori Japan</t>
  </si>
  <si>
    <t>Providence Place|Verizon Wireless</t>
  </si>
  <si>
    <t>Providence Place|Victorias Secret</t>
  </si>
  <si>
    <t>Providence Place|Windsor</t>
  </si>
  <si>
    <t>Providence Place|Zales Jewelers</t>
  </si>
  <si>
    <t>Providence Place|Zara</t>
  </si>
  <si>
    <t>Providence Place|Zumiez</t>
  </si>
  <si>
    <t>Scottsdale Quarter|Abercrombie &amp; Fitch</t>
  </si>
  <si>
    <t>Albion</t>
  </si>
  <si>
    <t>Scottsdale Quarter|Albion</t>
  </si>
  <si>
    <t>Alice &amp; Olivia</t>
  </si>
  <si>
    <t>Scottsdale Quarter|Alice &amp; Olivia</t>
  </si>
  <si>
    <t>Scottsdale Quarter|Altar'd State</t>
  </si>
  <si>
    <t>American Threads</t>
  </si>
  <si>
    <t>Scottsdale Quarter|American Threads</t>
  </si>
  <si>
    <t>Scottsdale Quarter|Apple</t>
  </si>
  <si>
    <t>Scottsdale Quarter|Apple Breakroom</t>
  </si>
  <si>
    <t>Ariat</t>
  </si>
  <si>
    <t>Scottsdale Quarter|Ariat</t>
  </si>
  <si>
    <t>Aroma360</t>
  </si>
  <si>
    <t>Scottsdale Quarter|Aroma360</t>
  </si>
  <si>
    <t>Scottsdale Quarter|Bath &amp; Body Works</t>
  </si>
  <si>
    <t>Beach Bunny Swimwear</t>
  </si>
  <si>
    <t>Scottsdale Quarter|Beach Bunny Swimwear</t>
  </si>
  <si>
    <t>Beard Papa's</t>
  </si>
  <si>
    <t>Scottsdale Quarter|Beard Papa's</t>
  </si>
  <si>
    <t>Bonobos</t>
  </si>
  <si>
    <t>Scottsdale Quarter|Bonobos</t>
  </si>
  <si>
    <t>Brilliant Earth</t>
  </si>
  <si>
    <t>Scottsdale Quarter|Brilliant Earth</t>
  </si>
  <si>
    <t>Brown Jordan</t>
  </si>
  <si>
    <t>Scottsdale Quarter|Brown Jordan</t>
  </si>
  <si>
    <t>Bubble Bee</t>
  </si>
  <si>
    <t>Scottsdale Quarter|Bubble Bee</t>
  </si>
  <si>
    <t>Candle Chemistry</t>
  </si>
  <si>
    <t>Scottsdale Quarter|Candle Chemistry</t>
  </si>
  <si>
    <t>CB2</t>
  </si>
  <si>
    <t>Scottsdale Quarter|CB2</t>
  </si>
  <si>
    <t>CC Patio</t>
  </si>
  <si>
    <t>Scottsdale Quarter|CC Patio</t>
  </si>
  <si>
    <t>Scottsdale Quarter|Confidential Future Retailer</t>
  </si>
  <si>
    <t>Creamistry</t>
  </si>
  <si>
    <t>Scottsdale Quarter|Creamistry</t>
  </si>
  <si>
    <t>Culinary Dropout</t>
  </si>
  <si>
    <t>Scottsdale Quarter|Culinary Dropout</t>
  </si>
  <si>
    <t>Design Within Reach</t>
  </si>
  <si>
    <t>Scottsdale Quarter|Design Within Reach</t>
  </si>
  <si>
    <t>Dominick's Steakhouse</t>
  </si>
  <si>
    <t>Scottsdale Quarter|Dominick's Steakhouse</t>
  </si>
  <si>
    <t>Scottsdale Quarter|Drybar</t>
  </si>
  <si>
    <t>Earnhardt Genesis</t>
  </si>
  <si>
    <t>Scottsdale Quarter|Earnhardt Genesis</t>
  </si>
  <si>
    <t>Eddie V's Prime Seafood</t>
  </si>
  <si>
    <t>Scottsdale Quarter|Eddie V's Prime Seafood</t>
  </si>
  <si>
    <t>Etta</t>
  </si>
  <si>
    <t>Scottsdale Quarter|Etta</t>
  </si>
  <si>
    <t>Scottsdale Quarter|Everything But Water</t>
  </si>
  <si>
    <t>Scottsdale Quarter|Expedia Cash</t>
  </si>
  <si>
    <t>Scottsdale Quarter|Fabletics</t>
  </si>
  <si>
    <t>FAHERTY</t>
  </si>
  <si>
    <t>Scottsdale Quarter|FAHERTY</t>
  </si>
  <si>
    <t>Fashionphile</t>
  </si>
  <si>
    <t>Scottsdale Quarter|Fashionphile</t>
  </si>
  <si>
    <t>Feature</t>
  </si>
  <si>
    <t>Scottsdale Quarter|Feature</t>
  </si>
  <si>
    <t>Scottsdale Quarter|Free People</t>
  </si>
  <si>
    <t>G/Fore</t>
  </si>
  <si>
    <t>Scottsdale Quarter|G/Fore</t>
  </si>
  <si>
    <t>Galicia Fine Jewelry</t>
  </si>
  <si>
    <t>Scottsdale Quarter|Galicia Fine Jewelry</t>
  </si>
  <si>
    <t>Scottsdale Quarter|Gorjana</t>
  </si>
  <si>
    <t>Scottsdale Quarter|Grimaldi's Pizza</t>
  </si>
  <si>
    <t>Scottsdale Quarter|Intimissimi Italian Lingerie</t>
  </si>
  <si>
    <t>Scottsdale Quarter|It'Sugar</t>
  </si>
  <si>
    <t>Jeni's Ice Cream</t>
  </si>
  <si>
    <t>Scottsdale Quarter|Jeni's Ice Cream</t>
  </si>
  <si>
    <t>Jenni Kayne</t>
  </si>
  <si>
    <t>Scottsdale Quarter|Jenni Kayne</t>
  </si>
  <si>
    <t>Jennifer Croll</t>
  </si>
  <si>
    <t>Scottsdale Quarter|Jennifer Croll</t>
  </si>
  <si>
    <t>Jo Jo's Shake Bar</t>
  </si>
  <si>
    <t>Scottsdale Quarter|Jo Jo's Shake Bar</t>
  </si>
  <si>
    <t>Juby True</t>
  </si>
  <si>
    <t>Scottsdale Quarter|Juby True</t>
  </si>
  <si>
    <t>Scottsdale Quarter|Kendra Scott</t>
  </si>
  <si>
    <t>Landmark Theater</t>
  </si>
  <si>
    <t>Scottsdale Quarter|Landmark Theater</t>
  </si>
  <si>
    <t>Scottsdale Quarter|Laser Away</t>
  </si>
  <si>
    <t>Scottsdale Quarter|LEGO</t>
  </si>
  <si>
    <t>Scottsdale Quarter|Lenscrafters</t>
  </si>
  <si>
    <t>Levi's</t>
  </si>
  <si>
    <t>Scottsdale Quarter|Levi's</t>
  </si>
  <si>
    <t>Scottsdale Quarter|Lilly Pulitzer</t>
  </si>
  <si>
    <t>Lip Lab</t>
  </si>
  <si>
    <t>Scottsdale Quarter|Lip Lab</t>
  </si>
  <si>
    <t>Liz Modern Asian Restaurant</t>
  </si>
  <si>
    <t>Scottsdale Quarter|Liz Modern Asian Restaurant</t>
  </si>
  <si>
    <t>Love Shack Fancy</t>
  </si>
  <si>
    <t>Scottsdale Quarter|Love Shack Fancy</t>
  </si>
  <si>
    <t>Scottsdale Quarter|Lululemon</t>
  </si>
  <si>
    <t>Marine Layer</t>
  </si>
  <si>
    <t>Scottsdale Quarter|Marine Layer</t>
  </si>
  <si>
    <t>Mason's Famous Lobster</t>
  </si>
  <si>
    <t>Scottsdale Quarter|Mason's Famous Lobster</t>
  </si>
  <si>
    <t>Obon Sushi</t>
  </si>
  <si>
    <t>Scottsdale Quarter|Obon Sushi</t>
  </si>
  <si>
    <t>Paige</t>
  </si>
  <si>
    <t>Scottsdale Quarter|Paige</t>
  </si>
  <si>
    <t>Scottsdale Quarter|Pandora</t>
  </si>
  <si>
    <t>Parachute Home</t>
  </si>
  <si>
    <t>Scottsdale Quarter|Parachute Home</t>
  </si>
  <si>
    <t>Paris Optique</t>
  </si>
  <si>
    <t>Scottsdale Quarter|Paris Optique</t>
  </si>
  <si>
    <t>Peter Millar</t>
  </si>
  <si>
    <t>Scottsdale Quarter|Peter Millar</t>
  </si>
  <si>
    <t>Scottsdale Quarter|Pottery Barn</t>
  </si>
  <si>
    <t>Press Coffee</t>
  </si>
  <si>
    <t>Scottsdale Quarter|Press Coffee</t>
  </si>
  <si>
    <t>Pressed Juicery</t>
  </si>
  <si>
    <t>Scottsdale Quarter|Pressed Juicery</t>
  </si>
  <si>
    <t>Scottsdale Quarter|Purple Mattress</t>
  </si>
  <si>
    <t>Puttshack</t>
  </si>
  <si>
    <t>Scottsdale Quarter|Puttshack</t>
  </si>
  <si>
    <t>Rag &amp; Bone</t>
  </si>
  <si>
    <t>Scottsdale Quarter|Rag &amp; Bone</t>
  </si>
  <si>
    <t>Rails</t>
  </si>
  <si>
    <t>Scottsdale Quarter|Rails</t>
  </si>
  <si>
    <t>Reformation</t>
  </si>
  <si>
    <t>Scottsdale Quarter|Reformation</t>
  </si>
  <si>
    <t>Scottsdale Quarter|Restoration Hardware</t>
  </si>
  <si>
    <t>Scottsdale Quarter|Rowan</t>
  </si>
  <si>
    <t>Salon Lofts</t>
  </si>
  <si>
    <t>Scottsdale Quarter|Salon Lofts</t>
  </si>
  <si>
    <t>Sanderson Lincoln</t>
  </si>
  <si>
    <t>Scottsdale Quarter|Sanderson Lincoln</t>
  </si>
  <si>
    <t>Scottsdale Quarter|Sephora</t>
  </si>
  <si>
    <t>Skin Laundry</t>
  </si>
  <si>
    <t>Scottsdale Quarter|Skin Laundry</t>
  </si>
  <si>
    <t>SKINLAB by Dr. Maffi</t>
  </si>
  <si>
    <t>Scottsdale Quarter|SKINLAB by Dr. Maffi</t>
  </si>
  <si>
    <t>Sol Mexican Cucina</t>
  </si>
  <si>
    <t>Scottsdale Quarter|Sol Mexican Cucina</t>
  </si>
  <si>
    <t>Solidcore</t>
  </si>
  <si>
    <t>Scottsdale Quarter|Solidcore</t>
  </si>
  <si>
    <t>Southern Tide</t>
  </si>
  <si>
    <t>Scottsdale Quarter|Southern Tide</t>
  </si>
  <si>
    <t>Spaces</t>
  </si>
  <si>
    <t>Scottsdale Quarter|Spaces</t>
  </si>
  <si>
    <t>State and Liberty</t>
  </si>
  <si>
    <t>Scottsdale Quarter|State and Liberty</t>
  </si>
  <si>
    <t>Suitsupply</t>
  </si>
  <si>
    <t>Scottsdale Quarter|Suitsupply</t>
  </si>
  <si>
    <t>Scottsdale Quarter|Sunglass Hut</t>
  </si>
  <si>
    <t>Scottsdale Quarter|Swarovski</t>
  </si>
  <si>
    <t>Sweet Green</t>
  </si>
  <si>
    <t>Scottsdale Quarter|Sweet Green</t>
  </si>
  <si>
    <t>Scottsdale Quarter|Sweet Paris</t>
  </si>
  <si>
    <t>Scottsdale Quarter|Tempur-Pedic</t>
  </si>
  <si>
    <t>Scottsdale Quarter|The Shade Store</t>
  </si>
  <si>
    <t>Top Comp Homes</t>
  </si>
  <si>
    <t>Scottsdale Quarter|Top Comp Homes</t>
  </si>
  <si>
    <t>Scottsdale Quarter|True Food Kitchen</t>
  </si>
  <si>
    <t>Scottsdale Quarter|Urban Outfitters</t>
  </si>
  <si>
    <t>Urbana</t>
  </si>
  <si>
    <t>Scottsdale Quarter|Urbana</t>
  </si>
  <si>
    <t>Scottsdale Quarter|Vans</t>
  </si>
  <si>
    <t>Veronica Beard</t>
  </si>
  <si>
    <t>Scottsdale Quarter|Veronica Beard</t>
  </si>
  <si>
    <t>Vince</t>
  </si>
  <si>
    <t>Scottsdale Quarter|Vince</t>
  </si>
  <si>
    <t>Scottsdale Quarter|Vineyard Vines</t>
  </si>
  <si>
    <t>Scottsdale Quarter|Warby Parker</t>
  </si>
  <si>
    <t>Scottsdale Quarter|West Elm</t>
  </si>
  <si>
    <t>Scottsdale Quarter|Williams Sonoma</t>
  </si>
  <si>
    <t>Scottsdale Quarter|Yeti</t>
  </si>
  <si>
    <t>Zinburger Wine &amp; Burger Bar</t>
  </si>
  <si>
    <t>Scottsdale Quarter|Zinburger Wine &amp; Burger Bar</t>
  </si>
  <si>
    <t>Inline</t>
  </si>
  <si>
    <t>SoNo Collection|Apple</t>
  </si>
  <si>
    <t>SoNo Collection|Zara</t>
  </si>
  <si>
    <t>SoNo Collection|Arhaus</t>
  </si>
  <si>
    <t>SoNo Collection|Sephora</t>
  </si>
  <si>
    <t>Jacob's Pickles</t>
  </si>
  <si>
    <t>SoNo Collection|Jacob's Pickles</t>
  </si>
  <si>
    <t>SoNo Collection|H&amp;M</t>
  </si>
  <si>
    <t>Victoria's Secret</t>
  </si>
  <si>
    <t>SoNo Collection|Victoria's Secret</t>
  </si>
  <si>
    <t>SoNo Collection|JD Sports</t>
  </si>
  <si>
    <t>SoNo Collection|Abercrombie &amp; Fitch</t>
  </si>
  <si>
    <t>SoNo Collection|Hollister</t>
  </si>
  <si>
    <t>SoNo Collection|Warby Parker</t>
  </si>
  <si>
    <t>SoNo Collection|Aerie</t>
  </si>
  <si>
    <t>SoNo Collection|Pop Mart</t>
  </si>
  <si>
    <t>SoNo Collection|Bath &amp; Body Works</t>
  </si>
  <si>
    <t>SoNo Collection|American Eagle Outfitters</t>
  </si>
  <si>
    <t>SoNo Collection|Pacific Sunwear</t>
  </si>
  <si>
    <t>SoNo Collection|Pandora</t>
  </si>
  <si>
    <t>SoNo Collection|Champs Sports</t>
  </si>
  <si>
    <t>SoNo Collection|Lenscrafters</t>
  </si>
  <si>
    <t>SoNo Collection|Sunglass Hut</t>
  </si>
  <si>
    <t>SoNo Collection|Kay Jewelers</t>
  </si>
  <si>
    <t>SoNo Collection|Journeys</t>
  </si>
  <si>
    <t>Lush</t>
  </si>
  <si>
    <t>SoNo Collection|Lush</t>
  </si>
  <si>
    <t>SoNo Collection|Miniso</t>
  </si>
  <si>
    <t>SoNo Collection|Zumiez</t>
  </si>
  <si>
    <t>SoNo Collection|Hot Topic</t>
  </si>
  <si>
    <t>SoNo Collection|Lovisa</t>
  </si>
  <si>
    <t>SoNo Collection|GameStop</t>
  </si>
  <si>
    <t>SoNo Collection|Lids</t>
  </si>
  <si>
    <t>Carter's</t>
  </si>
  <si>
    <t>SoNo Collection|Carter's</t>
  </si>
  <si>
    <t>SoNo Collection|Altar'd State</t>
  </si>
  <si>
    <t>SoNo Collection|J. Jill</t>
  </si>
  <si>
    <t>SoNo Collection|Talbots</t>
  </si>
  <si>
    <t>SoNo Collection|Casper</t>
  </si>
  <si>
    <t>Mango</t>
  </si>
  <si>
    <t>SoNo Collection|Mango</t>
  </si>
  <si>
    <t>SoNo Collection|Soma Intimates</t>
  </si>
  <si>
    <t>The Children's Place</t>
  </si>
  <si>
    <t>SoNo Collection|The Children's Place</t>
  </si>
  <si>
    <t>SoNo Collection|Swarovski</t>
  </si>
  <si>
    <t>SoNo Collection|Clarks</t>
  </si>
  <si>
    <t>SoNo Collection|Charlotte Russe</t>
  </si>
  <si>
    <t>SoNo Collection|Abercrombie Kids</t>
  </si>
  <si>
    <t>SouthPark Mall (OH)|Abercrombie &amp; Fitch</t>
  </si>
  <si>
    <t>Activate Games</t>
  </si>
  <si>
    <t>SouthPark Mall (OH)|Activate Games</t>
  </si>
  <si>
    <t>SouthPark Mall (OH)|Aerie</t>
  </si>
  <si>
    <t>SouthPark Mall (OH)|Aeropostale</t>
  </si>
  <si>
    <t>SouthPark Mall (OH)|American Eagle Outfitters</t>
  </si>
  <si>
    <t>SouthPark Mall (OH)|Ann Taylor Loft</t>
  </si>
  <si>
    <t>Applebees</t>
  </si>
  <si>
    <t>SouthPark Mall (OH)|Applebees</t>
  </si>
  <si>
    <t>SouthPark Mall (OH)|Ashcroft &amp; Oak</t>
  </si>
  <si>
    <t>Asian Express and Sushi Bar</t>
  </si>
  <si>
    <t>SouthPark Mall (OH)|Asian Express and Sushi Bar</t>
  </si>
  <si>
    <t>SouthPark Mall (OH)|Auntie Annes</t>
  </si>
  <si>
    <t>SouthPark Mall (OH)|Bath &amp; Body Works</t>
  </si>
  <si>
    <t>SouthPark Mall (OH)|Books-A-Million</t>
  </si>
  <si>
    <t>SouthPark Mall (OH)|Boot Barn</t>
  </si>
  <si>
    <t>SouthPark Mall (OH)|Box Lunch</t>
  </si>
  <si>
    <t>SouthPark Mall (OH)|Brow Art 23</t>
  </si>
  <si>
    <t>Bubble Tea &amp; Juice Company</t>
  </si>
  <si>
    <t>SouthPark Mall (OH)|Bubble Tea &amp; Juice Company</t>
  </si>
  <si>
    <t>SouthPark Mall (OH)|Buckle</t>
  </si>
  <si>
    <t>SouthPark Mall (OH)|Build-A-Bear Workshop</t>
  </si>
  <si>
    <t>Cafe Fresh</t>
  </si>
  <si>
    <t>SouthPark Mall (OH)|Cafe Fresh</t>
  </si>
  <si>
    <t>California Nails</t>
  </si>
  <si>
    <t>SouthPark Mall (OH)|California Nails</t>
  </si>
  <si>
    <t>SouthPark Mall (OH)|Carters</t>
  </si>
  <si>
    <t>SouthPark Mall (OH)|Cell Repair Xpert</t>
  </si>
  <si>
    <t>SouthPark Mall (OH)|Champs Sports</t>
  </si>
  <si>
    <t>SouthPark Mall (OH)|Charley's Philly Steaks</t>
  </si>
  <si>
    <t>SouthPark Mall (OH)|Charlotte Russe</t>
  </si>
  <si>
    <t>SouthPark Mall (OH)|Chico's</t>
  </si>
  <si>
    <t>SouthPark Mall (OH)|Cinemark</t>
  </si>
  <si>
    <t>SouthPark Mall (OH)|Cinnabon</t>
  </si>
  <si>
    <t>SouthPark Mall (OH)|Claire's</t>
  </si>
  <si>
    <t>Curated</t>
  </si>
  <si>
    <t>SouthPark Mall (OH)|Curated</t>
  </si>
  <si>
    <t>Dairy Queen</t>
  </si>
  <si>
    <t>SouthPark Mall (OH)|Dairy Queen</t>
  </si>
  <si>
    <t>Designer Perfumes</t>
  </si>
  <si>
    <t>SouthPark Mall (OH)|Designer Perfumes</t>
  </si>
  <si>
    <t>Dino Palmieri Salon</t>
  </si>
  <si>
    <t>SouthPark Mall (OH)|Dino Palmieri Salon</t>
  </si>
  <si>
    <t>SouthPark Mall (OH)|Dry Goods</t>
  </si>
  <si>
    <t>SouthPark Mall (OH)|DTLR</t>
  </si>
  <si>
    <t>SouthPark Mall (OH)|Earthbound Trading Company</t>
  </si>
  <si>
    <t>Empowering Punch</t>
  </si>
  <si>
    <t>SouthPark Mall (OH)|Empowering Punch</t>
  </si>
  <si>
    <t>SouthPark Mall (OH)|Express</t>
  </si>
  <si>
    <t>SouthPark Mall (OH)|Finish Line</t>
  </si>
  <si>
    <t>SouthPark Mall (OH)|Foot Locker</t>
  </si>
  <si>
    <t>SouthPark Mall (OH)|Francesca's</t>
  </si>
  <si>
    <t>SouthPark Mall (OH)|FYE Music &amp; Movies</t>
  </si>
  <si>
    <t>SouthPark Mall (OH)|GNC</t>
  </si>
  <si>
    <t>SouthPark Mall (OH)|H&amp;M</t>
  </si>
  <si>
    <t>SouthPark Mall (OH)|Hollister</t>
  </si>
  <si>
    <t>Hooley House Sports Pub &amp; Grille</t>
  </si>
  <si>
    <t>SouthPark Mall (OH)|Hooley House Sports Pub &amp; Grille</t>
  </si>
  <si>
    <t>SouthPark Mall (OH)|Hot Topic</t>
  </si>
  <si>
    <t>Incredible Burger</t>
  </si>
  <si>
    <t>SouthPark Mall (OH)|Incredible Burger</t>
  </si>
  <si>
    <t>SouthPark Mall (OH)|J. Jill</t>
  </si>
  <si>
    <t>SouthPark Mall (OH)|Johnston &amp; Murphy</t>
  </si>
  <si>
    <t>SouthPark Mall (OH)|Journeys</t>
  </si>
  <si>
    <t>SouthPark Mall (OH)|Kay Jewelers</t>
  </si>
  <si>
    <t>Key Bank</t>
  </si>
  <si>
    <t>SouthPark Mall (OH)|Key Bank</t>
  </si>
  <si>
    <t>SouthPark Mall (OH)|Kids Empire</t>
  </si>
  <si>
    <t>SouthPark Mall (OH)|Kids Foot Locker</t>
  </si>
  <si>
    <t>Kohl's</t>
  </si>
  <si>
    <t>SouthPark Mall (OH)|Kohl's</t>
  </si>
  <si>
    <t>SouthPark Mall (OH)|KPot Korean BBQ</t>
  </si>
  <si>
    <t>Kyuramen</t>
  </si>
  <si>
    <t>SouthPark Mall (OH)|Kyuramen</t>
  </si>
  <si>
    <t>Lao Sze Chuan</t>
  </si>
  <si>
    <t>SouthPark Mall (OH)|Lao Sze Chuan</t>
  </si>
  <si>
    <t>Le Nails</t>
  </si>
  <si>
    <t>SouthPark Mall (OH)|Le Nails</t>
  </si>
  <si>
    <t>SouthPark Mall (OH)|Lids</t>
  </si>
  <si>
    <t>SouthPark Mall (OH)|Locker Room by Lids</t>
  </si>
  <si>
    <t>SouthPark Mall (OH)|LongHorn Steakhouse</t>
  </si>
  <si>
    <t>SouthPark Mall (OH)|Lovisa</t>
  </si>
  <si>
    <t>Lucky Shoes</t>
  </si>
  <si>
    <t>SouthPark Mall (OH)|Lucky Shoes</t>
  </si>
  <si>
    <t>SouthPark Mall (OH)|Massage Envy</t>
  </si>
  <si>
    <t>Milano Gents</t>
  </si>
  <si>
    <t>SouthPark Mall (OH)|Milano Gents</t>
  </si>
  <si>
    <t>SouthPark Mall (OH)|Miniso</t>
  </si>
  <si>
    <t>SouthPark Mall (OH)|Miss A</t>
  </si>
  <si>
    <t>Mr. Hero</t>
  </si>
  <si>
    <t>SouthPark Mall (OH)|Mr. Hero</t>
  </si>
  <si>
    <t>O Chi Acupressure</t>
  </si>
  <si>
    <t>SouthPark Mall (OH)|O Chi Acupressure</t>
  </si>
  <si>
    <t>SouthPark Mall (OH)|Opinions</t>
  </si>
  <si>
    <t>SouthPark Mall (OH)|Pacific Sunwear</t>
  </si>
  <si>
    <t>SouthPark Mall (OH)|Pandora</t>
  </si>
  <si>
    <t>Petland</t>
  </si>
  <si>
    <t>SouthPark Mall (OH)|Petland</t>
  </si>
  <si>
    <t>SouthPark Mall (OH)|Piercing Pagoda</t>
  </si>
  <si>
    <t>Piercing Perfection</t>
  </si>
  <si>
    <t>SouthPark Mall (OH)|Piercing Perfection</t>
  </si>
  <si>
    <t>SouthPark Mall (OH)|Pink</t>
  </si>
  <si>
    <t>SouthPark Mall (OH)|Popeyes Louisiana Kitchen</t>
  </si>
  <si>
    <t>SouthPark Mall (OH)|Ruby Thai Kitchen</t>
  </si>
  <si>
    <t>SouthPark Mall (OH)|Sarku Japan</t>
  </si>
  <si>
    <t>SouthPark Mall (OH)|Sbarro The Italian Eatery</t>
  </si>
  <si>
    <t>SouthPark Mall (OH)|Shoe Department/Encore</t>
  </si>
  <si>
    <t>SouthPark Mall (OH)|Spencer Gifts</t>
  </si>
  <si>
    <t>SouthPark Mall (OH)|Starbucks Coffee</t>
  </si>
  <si>
    <t>SouthPark Mall (OH)|Sunglass Hut</t>
  </si>
  <si>
    <t>SouthPark Mall (OH)|The Childrens Place</t>
  </si>
  <si>
    <t>The Leather Company</t>
  </si>
  <si>
    <t>SouthPark Mall (OH)|The Leather Company</t>
  </si>
  <si>
    <t>Ticknors</t>
  </si>
  <si>
    <t>SouthPark Mall (OH)|Ticknors</t>
  </si>
  <si>
    <t>SouthPark Mall (OH)|Tillys</t>
  </si>
  <si>
    <t>SouthPark Mall (OH)|Torrid</t>
  </si>
  <si>
    <t>SouthPark Mall (OH)|Trollbeads</t>
  </si>
  <si>
    <t>SouthPark Mall (OH)|Vans</t>
  </si>
  <si>
    <t>SouthPark Mall (OH)|Victorias Secret</t>
  </si>
  <si>
    <t>Where I'm From Apparel</t>
  </si>
  <si>
    <t>SouthPark Mall (OH)|Where I'm From Apparel</t>
  </si>
  <si>
    <t>SouthPark Mall (OH)|Windsor</t>
  </si>
  <si>
    <t>SouthPark Mall (OH)|Yankee Candle</t>
  </si>
  <si>
    <t>SouthPark Mall (OH)|Zales Jewelers</t>
  </si>
  <si>
    <t>Zion Jewelers</t>
  </si>
  <si>
    <t>SouthPark Mall (OH)|Zion Jewelers</t>
  </si>
  <si>
    <t>SouthPark Mall (OH)|Zumiez</t>
  </si>
  <si>
    <t>Southgate Mall|AMC Theatres</t>
  </si>
  <si>
    <t>Southgate Mall|American Eagle Outfitters</t>
  </si>
  <si>
    <t>Southgate Mall|Apricot Lane</t>
  </si>
  <si>
    <t>Southgate Mall|Athleta</t>
  </si>
  <si>
    <t>Southgate Mall|Auntie Annes</t>
  </si>
  <si>
    <t>Southgate Mall|Bath &amp; Body Works</t>
  </si>
  <si>
    <t>Big Sky Arcadia</t>
  </si>
  <si>
    <t>Southgate Mall|Big Sky Arcadia</t>
  </si>
  <si>
    <t>Bigfoot Cookies</t>
  </si>
  <si>
    <t>Southgate Mall|Bigfoot Cookies</t>
  </si>
  <si>
    <t>Southgate Mall|Buckle</t>
  </si>
  <si>
    <t>Southgate Mall|Chico's</t>
  </si>
  <si>
    <t>Southgate Mall|Claire's</t>
  </si>
  <si>
    <t>Southgate Mall|Cricket Wireless</t>
  </si>
  <si>
    <t>Southgate Mall|Dillard's</t>
  </si>
  <si>
    <t>Elote Mexican Bar &amp; Grille</t>
  </si>
  <si>
    <t>Southgate Mall|Elote Mexican Bar &amp; Grille</t>
  </si>
  <si>
    <t>Southgate Mall|EntertainMART</t>
  </si>
  <si>
    <t>Family Dental</t>
  </si>
  <si>
    <t>Southgate Mall|Family Dental</t>
  </si>
  <si>
    <t>Southgate Mall|Famous Footwear</t>
  </si>
  <si>
    <t>Fuzziwig's Candy Factory</t>
  </si>
  <si>
    <t>Southgate Mall|Fuzziwig's Candy Factory</t>
  </si>
  <si>
    <t>Southgate Mall|GameStop</t>
  </si>
  <si>
    <t>Greek Pastry Shop/#1 Gyros</t>
  </si>
  <si>
    <t>Southgate Mall|Greek Pastry Shop/#1 Gyros</t>
  </si>
  <si>
    <t>Southgate Mall|H&amp;M</t>
  </si>
  <si>
    <t>Health Care Massage</t>
  </si>
  <si>
    <t>Southgate Mall|Health Care Massage</t>
  </si>
  <si>
    <t>Hoagieville</t>
  </si>
  <si>
    <t>Southgate Mall|Hoagieville</t>
  </si>
  <si>
    <t>Southgate Mall|Hobby Lobby</t>
  </si>
  <si>
    <t>Southgate Mall|Hollister</t>
  </si>
  <si>
    <t>Southgate Mall|J.Crew</t>
  </si>
  <si>
    <t>Southgate Mall|Journeys</t>
  </si>
  <si>
    <t>Southgate Mall|Lenscrafters</t>
  </si>
  <si>
    <t>Southgate Mall|Lids</t>
  </si>
  <si>
    <t>Southgate Mall|Lululemon</t>
  </si>
  <si>
    <t>Southgate Mall|Maurices</t>
  </si>
  <si>
    <t>Southgate Mall|Miniso</t>
  </si>
  <si>
    <t>Montana Skin Academy</t>
  </si>
  <si>
    <t>Southgate Mall|Montana Skin Academy</t>
  </si>
  <si>
    <t>Southgate Mall|Morgan Jewelers</t>
  </si>
  <si>
    <t>Mustard Seed</t>
  </si>
  <si>
    <t>Southgate Mall|Mustard Seed</t>
  </si>
  <si>
    <t>Southgate Mall|Nail Trix</t>
  </si>
  <si>
    <t>Noodle Express</t>
  </si>
  <si>
    <t>Southgate Mall|Noodle Express</t>
  </si>
  <si>
    <t>Now Care</t>
  </si>
  <si>
    <t>Southgate Mall|Now Care</t>
  </si>
  <si>
    <t>Southgate Mall|Pandora</t>
  </si>
  <si>
    <t>Southgate Mall|Pro Image Sports</t>
  </si>
  <si>
    <t>Southgate Mall|Riddle's Jewelry</t>
  </si>
  <si>
    <t>River City Hair Studio</t>
  </si>
  <si>
    <t>Southgate Mall|River City Hair Studio</t>
  </si>
  <si>
    <t>Scheels</t>
  </si>
  <si>
    <t>Southgate Mall|Scheels</t>
  </si>
  <si>
    <t>Skin Chic</t>
  </si>
  <si>
    <t>Southgate Mall|Skin Chic</t>
  </si>
  <si>
    <t>Southgate Mall|Spencer Gifts</t>
  </si>
  <si>
    <t>Taylors Landing</t>
  </si>
  <si>
    <t>Southgate Mall|Taylors Landing</t>
  </si>
  <si>
    <t>Southgate Mall|Texas Roadhouse</t>
  </si>
  <si>
    <t>Southgate Mall|T-Mobile</t>
  </si>
  <si>
    <t>Southgate Mall|Torrid</t>
  </si>
  <si>
    <t>Southgate Mall|Tradehome Shoes</t>
  </si>
  <si>
    <t>Southgate Mall|Verizon Wireless</t>
  </si>
  <si>
    <t>Southgate Mall|Victorias Secret</t>
  </si>
  <si>
    <t>Southgate Mall|Zumiez</t>
  </si>
  <si>
    <t>Staten Island Mall|A/X Armani Exchange</t>
  </si>
  <si>
    <t>Staten Island Mall|Adore Me</t>
  </si>
  <si>
    <t>Staten Island Mall|Aeropostale</t>
  </si>
  <si>
    <t>Staten Island Mall|Against All Odds</t>
  </si>
  <si>
    <t>Staten Island Mall|Aldo</t>
  </si>
  <si>
    <t>Staten Island Mall|AMC Theatres</t>
  </si>
  <si>
    <t>Staten Island Mall|American Eagle Outfitters</t>
  </si>
  <si>
    <t>Angelinas Kitchen</t>
  </si>
  <si>
    <t>Staten Island Mall|Angelinas Kitchen</t>
  </si>
  <si>
    <t>Staten Island Mall|Apple</t>
  </si>
  <si>
    <t>Apple Bank</t>
  </si>
  <si>
    <t>Staten Island Mall|Apple Bank</t>
  </si>
  <si>
    <t>Staten Island Mall|Applebees</t>
  </si>
  <si>
    <t>Archie Jacobson</t>
  </si>
  <si>
    <t>Staten Island Mall|Archie Jacobson</t>
  </si>
  <si>
    <t>Staten Island Mall|AT&amp;T</t>
  </si>
  <si>
    <t>Staten Island Mall|Auntie Annes</t>
  </si>
  <si>
    <t>Bandstand Watches &amp; Fine</t>
  </si>
  <si>
    <t>Staten Island Mall|Bandstand Watches &amp; Fine</t>
  </si>
  <si>
    <t>Staten Island Mall|Banter By Piercing Pagoda</t>
  </si>
  <si>
    <t>Staten Island Mall|Barnes &amp; Noble</t>
  </si>
  <si>
    <t>Staten Island Mall|Bath &amp; Body Works</t>
  </si>
  <si>
    <t>Bistrothai</t>
  </si>
  <si>
    <t>Staten Island Mall|Bistrothai</t>
  </si>
  <si>
    <t>Staten Island Mall|Box Lunch</t>
  </si>
  <si>
    <t>Staten Island Mall|Brighton Collectibles</t>
  </si>
  <si>
    <t>Staten Island Mall|Build-A-Bear Workshop</t>
  </si>
  <si>
    <t>Staten Island Mall|Burger King</t>
  </si>
  <si>
    <t>Staten Island Mall|Carters</t>
  </si>
  <si>
    <t>Carvel Ice Cream</t>
  </si>
  <si>
    <t>Staten Island Mall|Carvel Ice Cream</t>
  </si>
  <si>
    <t>Staten Island Mall|Cellaxs Phone Repair</t>
  </si>
  <si>
    <t>Staten Island Mall|Charley's Philly Steaks</t>
  </si>
  <si>
    <t>Staten Island Mall|Charlotte Russe</t>
  </si>
  <si>
    <t>Staten Island Mall|Chick-Fil-A</t>
  </si>
  <si>
    <t>Staten Island Mall|Chico's</t>
  </si>
  <si>
    <t>Staten Island Mall|Chipotle Mexican Grill</t>
  </si>
  <si>
    <t>Staten Island Mall|Cinnabon</t>
  </si>
  <si>
    <t>Staten Island Mall|Claire's</t>
  </si>
  <si>
    <t>Club Pilates</t>
  </si>
  <si>
    <t>Staten Island Mall|Club Pilates</t>
  </si>
  <si>
    <t>Staten Island Mall|Cohens Fashion Optical</t>
  </si>
  <si>
    <t>Staten Island Mall|Cotton On</t>
  </si>
  <si>
    <t>Staten Island Mall|Cotton On Kids</t>
  </si>
  <si>
    <t>Staten Island Mall|Dave &amp; Busters</t>
  </si>
  <si>
    <t>Davis Visionworks</t>
  </si>
  <si>
    <t>Staten Island Mall|Davis Visionworks</t>
  </si>
  <si>
    <t>Staten Island Mall|Dunkin Donuts</t>
  </si>
  <si>
    <t>Dynamite</t>
  </si>
  <si>
    <t>Staten Island Mall|Dynamite</t>
  </si>
  <si>
    <t>East Pacific Chinese &amp; Pa</t>
  </si>
  <si>
    <t>Staten Island Mall|East Pacific Chinese &amp; Pa</t>
  </si>
  <si>
    <t>Staten Island Mall|Express</t>
  </si>
  <si>
    <t>Staten Island Mall|Fast-Fix Jewelry And Watch Repair</t>
  </si>
  <si>
    <t>Staten Island Mall|Foot Locker</t>
  </si>
  <si>
    <t>Staten Island Mall|Forever 21</t>
  </si>
  <si>
    <t>Staten Island Mall|GameStop</t>
  </si>
  <si>
    <t>Staten Island Mall|Garage</t>
  </si>
  <si>
    <t>Gerald Peters</t>
  </si>
  <si>
    <t>Staten Island Mall|Gerald Peters</t>
  </si>
  <si>
    <t>Giorgios Fine Jewelry</t>
  </si>
  <si>
    <t>Staten Island Mall|Giorgios Fine Jewelry</t>
  </si>
  <si>
    <t>Staten Island Mall|Gloria Jeans Coffees</t>
  </si>
  <si>
    <t>Goff Jewelers</t>
  </si>
  <si>
    <t>Staten Island Mall|Goff Jewelers</t>
  </si>
  <si>
    <t>Staten Island Mall|Gong Cha</t>
  </si>
  <si>
    <t>Green Leafs, Taco Bell, V</t>
  </si>
  <si>
    <t>Staten Island Mall|Green Leafs, Taco Bell, V</t>
  </si>
  <si>
    <t>Staten Island Mall|H&amp;M</t>
  </si>
  <si>
    <t>H&amp;R Block</t>
  </si>
  <si>
    <t>Staten Island Mall|H&amp;R Block</t>
  </si>
  <si>
    <t>Staten Island Mall|Helzberg Diamonds</t>
  </si>
  <si>
    <t>Staten Island Mall|Hobby Lobby</t>
  </si>
  <si>
    <t>Staten Island Mall|Hollister</t>
  </si>
  <si>
    <t>Staten Island Mall|Hot Topic</t>
  </si>
  <si>
    <t>Staten Island Mall|Intimissimi Italian Lingerie</t>
  </si>
  <si>
    <t>Staten Island Mall|IRepair Xpert</t>
  </si>
  <si>
    <t>Staten Island Mall|J.C. Penney</t>
  </si>
  <si>
    <t>Staten Island Mall|J.Crew</t>
  </si>
  <si>
    <t>Staten Island Mall|JD Sports</t>
  </si>
  <si>
    <t>Staten Island Mall|Journeys</t>
  </si>
  <si>
    <t>Staten Island Mall|Kay Jewelers</t>
  </si>
  <si>
    <t>Staten Island Mall|Kids Foot Locker</t>
  </si>
  <si>
    <t>Staten Island Mall|LEGO</t>
  </si>
  <si>
    <t>Staten Island Mall|Lenscrafters</t>
  </si>
  <si>
    <t>Lidl</t>
  </si>
  <si>
    <t>Staten Island Mall|Lidl</t>
  </si>
  <si>
    <t>Staten Island Mall|Lids</t>
  </si>
  <si>
    <t>Lobo Loco</t>
  </si>
  <si>
    <t>Staten Island Mall|Lobo Loco</t>
  </si>
  <si>
    <t>Staten Island Mall|LoveSac</t>
  </si>
  <si>
    <t>Staten Island Mall|Lovisa</t>
  </si>
  <si>
    <t>Staten Island Mall|Lush Fresh Handmade Cosmetics</t>
  </si>
  <si>
    <t>Staten Island Mall|Macys</t>
  </si>
  <si>
    <t>Staten Island Mall|Madrag</t>
  </si>
  <si>
    <t>Staten Island Mall|Massage Envy</t>
  </si>
  <si>
    <t>Staten Island Mall|Master Wok</t>
  </si>
  <si>
    <t>Melt Shop</t>
  </si>
  <si>
    <t>Staten Island Mall|Melt Shop</t>
  </si>
  <si>
    <t>Metro Mart</t>
  </si>
  <si>
    <t>Staten Island Mall|Metro Mart</t>
  </si>
  <si>
    <t>Staten Island Mall|Michael Kors</t>
  </si>
  <si>
    <t>Mon Amiee Nail &amp; Hair Sal</t>
  </si>
  <si>
    <t>Staten Island Mall|Mon Amiee Nail &amp; Hair Sal</t>
  </si>
  <si>
    <t>Staten Island Mall|Newbury Comics</t>
  </si>
  <si>
    <t>Staten Island Mall|Opinions</t>
  </si>
  <si>
    <t>Staten Island Mall|Outback Steakhouse</t>
  </si>
  <si>
    <t>Staten Island Mall|Pandora</t>
  </si>
  <si>
    <t>Staten Island Mall|Panera Bread</t>
  </si>
  <si>
    <t>Staten Island Mall|Perfuroma</t>
  </si>
  <si>
    <t>Staten Island Mall|Piercing Pagoda</t>
  </si>
  <si>
    <t>Staten Island Mall|Pink</t>
  </si>
  <si>
    <t>Staten Island Mall|Playa Bowls</t>
  </si>
  <si>
    <t>Staten Island Mall|Popeyes Louisiana Kitchen</t>
  </si>
  <si>
    <t>Poukei</t>
  </si>
  <si>
    <t>Staten Island Mall|Poukei</t>
  </si>
  <si>
    <t>Staten Island Mall|Primark</t>
  </si>
  <si>
    <t>Quality Life Shoppers</t>
  </si>
  <si>
    <t>Staten Island Mall|Quality Life Shoppers</t>
  </si>
  <si>
    <t>Staten Island Mall|Rack Room Shoes</t>
  </si>
  <si>
    <t>Staten Island Mall|Rainbow</t>
  </si>
  <si>
    <t>Staten Island Mall|Real Fruit Bubble Tea</t>
  </si>
  <si>
    <t>Richmond Relaxation Stati</t>
  </si>
  <si>
    <t>Staten Island Mall|Richmond Relaxation Stati</t>
  </si>
  <si>
    <t>Rumi</t>
  </si>
  <si>
    <t>Staten Island Mall|Rumi</t>
  </si>
  <si>
    <t>Santander Bank</t>
  </si>
  <si>
    <t>Staten Island Mall|Santander Bank</t>
  </si>
  <si>
    <t>Staten Island Mall|Sarku Japan</t>
  </si>
  <si>
    <t>Staten Island Mall|Sephora</t>
  </si>
  <si>
    <t>Staten Island Mall|Shake Shack</t>
  </si>
  <si>
    <t>Staten Island Mall|Showcase</t>
  </si>
  <si>
    <t>Staten Island Mall|Skechers</t>
  </si>
  <si>
    <t>Staten Island Mall|Sleep Number</t>
  </si>
  <si>
    <t>Staten Island Mall|Snipes</t>
  </si>
  <si>
    <t>Solstice Sunglass Boutiqu</t>
  </si>
  <si>
    <t>Staten Island Mall|Solstice Sunglass Boutiqu</t>
  </si>
  <si>
    <t>Staten Island Mall|Spencer Gifts</t>
  </si>
  <si>
    <t>Staten Island Mall|Starbucks Coffee</t>
  </si>
  <si>
    <t>Staten Island Mall|Sterling Optical</t>
  </si>
  <si>
    <t>Staten Island Mall|Steve Madden</t>
  </si>
  <si>
    <t>Staten Island Mall|Sunglass Hut</t>
  </si>
  <si>
    <t>Superdry Store</t>
  </si>
  <si>
    <t>Staten Island Mall|Superdry Store</t>
  </si>
  <si>
    <t>Staten Island Mall|Swarovski</t>
  </si>
  <si>
    <t>Staten Island Mall|The Childrens Place</t>
  </si>
  <si>
    <t>Staten Island Mall|The Container Store</t>
  </si>
  <si>
    <t>The Mighty Crab</t>
  </si>
  <si>
    <t>Staten Island Mall|The Mighty Crab</t>
  </si>
  <si>
    <t>Threading Station, The</t>
  </si>
  <si>
    <t>Staten Island Mall|Threading Station, The</t>
  </si>
  <si>
    <t>Staten Island Mall|T-Mobile</t>
  </si>
  <si>
    <t>Tommys Tavern + Tap</t>
  </si>
  <si>
    <t>Staten Island Mall|Tommys Tavern + Tap</t>
  </si>
  <si>
    <t>Top Pot &amp; Bbq</t>
  </si>
  <si>
    <t>Staten Island Mall|Top Pot &amp; Bbq</t>
  </si>
  <si>
    <t>Staten Island Mall|Torrid</t>
  </si>
  <si>
    <t>Staten Island Mall|Ulta Beauty</t>
  </si>
  <si>
    <t>Uniqlo</t>
  </si>
  <si>
    <t>Staten Island Mall|Uniqlo</t>
  </si>
  <si>
    <t>Unisex Salon</t>
  </si>
  <si>
    <t>Staten Island Mall|Unisex Salon</t>
  </si>
  <si>
    <t>Staten Island Mall|Vans</t>
  </si>
  <si>
    <t>Staten Island Mall|Verizon Wireless</t>
  </si>
  <si>
    <t>Staten Island Mall|Victorias Secret</t>
  </si>
  <si>
    <t>Staten Island Mall|White House | Black Market</t>
  </si>
  <si>
    <t>Staten Island Mall|Windsor</t>
  </si>
  <si>
    <t>Staten Island Mall|Yankee Candle</t>
  </si>
  <si>
    <t>Staten Island Mall|Zales Jewelers</t>
  </si>
  <si>
    <t>Staten Island Mall|Zara</t>
  </si>
  <si>
    <t>Staten Island Mall|Zumiez</t>
  </si>
  <si>
    <t>The Shops At Evergreen Walk|Anthony Vince Nail Spa</t>
  </si>
  <si>
    <t>The Shops At Evergreen Walk|Anthropologie</t>
  </si>
  <si>
    <t>The Shops At Evergreen Walk|Apple</t>
  </si>
  <si>
    <t>Ben &amp; Jerry's</t>
  </si>
  <si>
    <t>The Shops At Evergreen Walk|Ben &amp; Jerry's</t>
  </si>
  <si>
    <t>The Shops At Evergreen Walk|Bluemercury</t>
  </si>
  <si>
    <t>The Shops At Evergreen Walk|Brighton Collectibles</t>
  </si>
  <si>
    <t>Burton's Grill</t>
  </si>
  <si>
    <t>The Shops At Evergreen Walk|Burton's Grill</t>
  </si>
  <si>
    <t>The Shops At Evergreen Walk|Carhartt</t>
  </si>
  <si>
    <t>The Shops At Evergreen Walk|Carters</t>
  </si>
  <si>
    <t>The Shops At Evergreen Walk|Charles Schwab</t>
  </si>
  <si>
    <t>Connecticut Mattress</t>
  </si>
  <si>
    <t>The Shops At Evergreen Walk|Connecticut Mattress</t>
  </si>
  <si>
    <t>Deka Lash</t>
  </si>
  <si>
    <t>The Shops At Evergreen Walk|Deka Lash</t>
  </si>
  <si>
    <t>The Shops At Evergreen Walk|Eddie Bauer</t>
  </si>
  <si>
    <t>Emerald City Smoothie</t>
  </si>
  <si>
    <t>The Shops At Evergreen Walk|Emerald City Smoothie</t>
  </si>
  <si>
    <t>Golf Lounge 18</t>
  </si>
  <si>
    <t>The Shops At Evergreen Walk|Golf Lounge 18</t>
  </si>
  <si>
    <t>Higher Ground Core</t>
  </si>
  <si>
    <t>The Shops At Evergreen Walk|Higher Ground Core</t>
  </si>
  <si>
    <t>The Shops At Evergreen Walk|J. Jill</t>
  </si>
  <si>
    <t>The Shops At Evergreen Walk|J.Crew</t>
  </si>
  <si>
    <t>The Shops At Evergreen Walk|Kung Fu Tea</t>
  </si>
  <si>
    <t>The Shops At Evergreen Walk|L.L. Bean</t>
  </si>
  <si>
    <t>The Shops At Evergreen Walk|La-Z-Boy</t>
  </si>
  <si>
    <t>Leaps &amp; Bones</t>
  </si>
  <si>
    <t>The Shops At Evergreen Walk|Leaps &amp; Bones</t>
  </si>
  <si>
    <t>The Shops At Evergreen Walk|Lenscrafters</t>
  </si>
  <si>
    <t>The Shops At Evergreen Walk|Loft</t>
  </si>
  <si>
    <t>The Shops At Evergreen Walk|LoveSac</t>
  </si>
  <si>
    <t>The Shops At Evergreen Walk|Lululemon</t>
  </si>
  <si>
    <t>The Shops At Evergreen Walk|Massage Envy</t>
  </si>
  <si>
    <t>Munsons Chocolates</t>
  </si>
  <si>
    <t>The Shops At Evergreen Walk|Munsons Chocolates</t>
  </si>
  <si>
    <t>MyEyeDr.</t>
  </si>
  <si>
    <t>The Shops At Evergreen Walk|MyEyeDr.</t>
  </si>
  <si>
    <t>New Balance</t>
  </si>
  <si>
    <t>The Shops At Evergreen Walk|New Balance</t>
  </si>
  <si>
    <t>The Shops At Evergreen Walk|Nike</t>
  </si>
  <si>
    <t>The Shops At Evergreen Walk|Old Navy</t>
  </si>
  <si>
    <t>Omaha Steaks</t>
  </si>
  <si>
    <t>The Shops At Evergreen Walk|Omaha Steaks</t>
  </si>
  <si>
    <t>The Shops At Evergreen Walk|Panera Bread</t>
  </si>
  <si>
    <t>The Shops At Evergreen Walk|Pottery Barn</t>
  </si>
  <si>
    <t>Red Heat Tavern</t>
  </si>
  <si>
    <t>The Shops At Evergreen Walk|Red Heat Tavern</t>
  </si>
  <si>
    <t>Sakura Garden</t>
  </si>
  <si>
    <t>The Shops At Evergreen Walk|Sakura Garden</t>
  </si>
  <si>
    <t>The Shops At Evergreen Walk|Sephora</t>
  </si>
  <si>
    <t>The Shops At Evergreen Walk|Sleep Number</t>
  </si>
  <si>
    <t>The Shops At Evergreen Walk|Soma Intimates</t>
  </si>
  <si>
    <t>Stonewall Kitchen</t>
  </si>
  <si>
    <t>The Shops At Evergreen Walk|Stonewall Kitchen</t>
  </si>
  <si>
    <t>The Shops At Evergreen Walk|Sunglass Hut</t>
  </si>
  <si>
    <t>The Shops At Evergreen Walk|Talbots</t>
  </si>
  <si>
    <t>The Shops At Evergreen Walk|Ted's Montana Grill</t>
  </si>
  <si>
    <t>The Goddard School</t>
  </si>
  <si>
    <t>The Shops At Evergreen Walk|The Goddard School</t>
  </si>
  <si>
    <t>The Paper Store</t>
  </si>
  <si>
    <t>The Shops At Evergreen Walk|The Paper Store</t>
  </si>
  <si>
    <t>Vionic Shoes</t>
  </si>
  <si>
    <t>The Shops At Evergreen Walk|Vionic Shoes</t>
  </si>
  <si>
    <t>The Shops At Evergreen Walk|White House | Black Market</t>
  </si>
  <si>
    <t>The Shops At Evergreen Walk|Williams Sonoma</t>
  </si>
  <si>
    <t>Towson Town Center|Aeropostale</t>
  </si>
  <si>
    <t>Towson Town Center|Akira</t>
  </si>
  <si>
    <t>Towson Town Center|Aldo</t>
  </si>
  <si>
    <t>Towson Town Center|American Eagle Outfitters</t>
  </si>
  <si>
    <t>Towson Town Center|Anthropologie</t>
  </si>
  <si>
    <t>Towson Town Center|Apple</t>
  </si>
  <si>
    <t>Armani Jewelers</t>
  </si>
  <si>
    <t>Towson Town Center|Armani Jewelers</t>
  </si>
  <si>
    <t>Towson Town Center|AT&amp;T</t>
  </si>
  <si>
    <t>Towson Town Center|Auntie Annes</t>
  </si>
  <si>
    <t>Towson Town Center|Banana Republic</t>
  </si>
  <si>
    <t>Towson Town Center|Bath &amp; Body Works</t>
  </si>
  <si>
    <t>Towson Town Center|Brow Art 23</t>
  </si>
  <si>
    <t>Towson Town Center|Build-A-Bear Workshop</t>
  </si>
  <si>
    <t>Towson Town Center|Burger King</t>
  </si>
  <si>
    <t>Towson Town Center|Champs Sports</t>
  </si>
  <si>
    <t>Towson Town Center|Charley's Philly Steaks</t>
  </si>
  <si>
    <t>Towson Town Center|Chick-Fil-A</t>
  </si>
  <si>
    <t>Towson Town Center|Cinnabon</t>
  </si>
  <si>
    <t>Towson Town Center|Claire's</t>
  </si>
  <si>
    <t>Towson Town Center|Coach</t>
  </si>
  <si>
    <t>Towson Town Center|Cold Stone Creamery</t>
  </si>
  <si>
    <t>Towson Town Center|Cotton On</t>
  </si>
  <si>
    <t>Towson Town Center|DTLR</t>
  </si>
  <si>
    <t>Towson Town Center|Express</t>
  </si>
  <si>
    <t>Towson Town Center|Finish Line</t>
  </si>
  <si>
    <t>Towson Town Center|Francesca's</t>
  </si>
  <si>
    <t>Towson Town Center|Gap</t>
  </si>
  <si>
    <t>Towson Town Center|H&amp;M</t>
  </si>
  <si>
    <t>Towson Town Center|Hot Topic</t>
  </si>
  <si>
    <t>Towson Town Center|House Of Hoops By Foot Locker</t>
  </si>
  <si>
    <t>Towson Town Center|J.Crew</t>
  </si>
  <si>
    <t>Towson Town Center|Journeys</t>
  </si>
  <si>
    <t>Towson Town Center|Journeys Kidz</t>
  </si>
  <si>
    <t>Towson Town Center|Kids Foot Locker</t>
  </si>
  <si>
    <t>Towson Town Center|Lenscrafters</t>
  </si>
  <si>
    <t>Towson Town Center|Lids</t>
  </si>
  <si>
    <t>Towson Town Center|LoveSac</t>
  </si>
  <si>
    <t>Towson Town Center|Lovisa</t>
  </si>
  <si>
    <t>Towson Town Center|Lucky Brand Jeans</t>
  </si>
  <si>
    <t>Towson Town Center|Lululemon</t>
  </si>
  <si>
    <t>Towson Town Center|Lush Fresh Handmade Cosmetics</t>
  </si>
  <si>
    <t>Towson Town Center|M.A.C Cosmetics</t>
  </si>
  <si>
    <t>Towson Town Center|Macys</t>
  </si>
  <si>
    <t>Towson Town Center|Madewell</t>
  </si>
  <si>
    <t>Towson Town Center|Miniso</t>
  </si>
  <si>
    <t>Towson Town Center|My Cellphone Repairs</t>
  </si>
  <si>
    <t>Towson Town Center|Nordstrom</t>
  </si>
  <si>
    <t>Towson Town Center|Pacific Sunwear</t>
  </si>
  <si>
    <t>Towson Town Center|Pandora</t>
  </si>
  <si>
    <t>Paradise Spa</t>
  </si>
  <si>
    <t>Towson Town Center|Paradise Spa</t>
  </si>
  <si>
    <t>Towson Town Center|Popeyes Louisiana Kitchen</t>
  </si>
  <si>
    <t>Towson Town Center|Pottery Barn</t>
  </si>
  <si>
    <t>Towson Town Center|Rack Room Shoes</t>
  </si>
  <si>
    <t>Towson Town Center|Rainbow</t>
  </si>
  <si>
    <t>Round 1 Bowling &amp; Amusement</t>
  </si>
  <si>
    <t>Towson Town Center|Round 1 Bowling &amp; Amusement</t>
  </si>
  <si>
    <t>Towson Town Center|Ruby Thai Kitchen</t>
  </si>
  <si>
    <t>Towson Town Center|Sarku Japan</t>
  </si>
  <si>
    <t>Towson Town Center|Sbarro The Italian Eatery</t>
  </si>
  <si>
    <t>Towson Town Center|Sephora</t>
  </si>
  <si>
    <t>Towson Town Center|Showcase</t>
  </si>
  <si>
    <t>Towson Town Center|Spencer Gifts</t>
  </si>
  <si>
    <t>Towson Town Center|Starbucks Coffee</t>
  </si>
  <si>
    <t>Towson Town Center|Steve Madden</t>
  </si>
  <si>
    <t>Towson Town Center|Sunglass Hut</t>
  </si>
  <si>
    <t>Towson Town Center|Talbots</t>
  </si>
  <si>
    <t>Towson Town Center|The Cheesecake Factory</t>
  </si>
  <si>
    <t>Towson Town Center|The Childrens Place</t>
  </si>
  <si>
    <t>The Great Cookie</t>
  </si>
  <si>
    <t>Towson Town Center|The Great Cookie</t>
  </si>
  <si>
    <t>Towson Town Center|The Inspiration Co</t>
  </si>
  <si>
    <t>Towson Town Center|The North Face</t>
  </si>
  <si>
    <t>Towson Town Center|T-Mobile</t>
  </si>
  <si>
    <t>Towson Town Center|Tommy Bahama</t>
  </si>
  <si>
    <t>Towson Town Center|Torrid</t>
  </si>
  <si>
    <t>Towson Town Center|Vans</t>
  </si>
  <si>
    <t>Towson Town Center|Victorias Secret</t>
  </si>
  <si>
    <t>Towson Town Center|Visionworks</t>
  </si>
  <si>
    <t>Towson Town Center|Warby Parker</t>
  </si>
  <si>
    <t>Towson Town Center|White House | Black Market</t>
  </si>
  <si>
    <t>Towson Town Center|Windsor</t>
  </si>
  <si>
    <t>Wockenfuss Candies</t>
  </si>
  <si>
    <t>Towson Town Center|Wockenfuss Candies</t>
  </si>
  <si>
    <t>Towson Town Center|Yankee Candle</t>
  </si>
  <si>
    <t>Towson Town Center|Zales Jewelers</t>
  </si>
  <si>
    <t>Towson Town Center|Zara</t>
  </si>
  <si>
    <t>Towson Town Center|Zumiez</t>
  </si>
  <si>
    <t>Tysons Corner|7-Eleven</t>
  </si>
  <si>
    <t>Tysons Corner|Abercrombie &amp; Fitch</t>
  </si>
  <si>
    <t>Tysons Corner|Abercrombie Kids</t>
  </si>
  <si>
    <t>Tysons Corner|Adidas</t>
  </si>
  <si>
    <t>Aesop</t>
  </si>
  <si>
    <t>Tysons Corner|Aesop</t>
  </si>
  <si>
    <t>Tysons Corner|Aldo</t>
  </si>
  <si>
    <t>Tysons Corner|AMC Theatres</t>
  </si>
  <si>
    <t>Tysons Corner|American Eagle Outfitters</t>
  </si>
  <si>
    <t>Americangirl</t>
  </si>
  <si>
    <t>Tysons Corner|Americangirl</t>
  </si>
  <si>
    <t>Tysons Corner|Ann Taylor</t>
  </si>
  <si>
    <t>Tysons Corner|Ann Taylor Loft</t>
  </si>
  <si>
    <t>Tysons Corner|Apple</t>
  </si>
  <si>
    <t>Arabian Oud</t>
  </si>
  <si>
    <t>Tysons Corner|Arabian Oud</t>
  </si>
  <si>
    <t>Arcteryx</t>
  </si>
  <si>
    <t>Tysons Corner|Arcteryx</t>
  </si>
  <si>
    <t>Tysons Corner|Aritzia</t>
  </si>
  <si>
    <t>Tysons Corner|AT&amp;T</t>
  </si>
  <si>
    <t>Tysons Corner|Athleta</t>
  </si>
  <si>
    <t>Tysons Corner|Auntie Annes</t>
  </si>
  <si>
    <t>Tysons Corner|Aveda</t>
  </si>
  <si>
    <t>Ballard Designs</t>
  </si>
  <si>
    <t>Tysons Corner|Ballard Designs</t>
  </si>
  <si>
    <t>Tysons Corner|Banana Republic</t>
  </si>
  <si>
    <t>Tysons Corner|Banter By Piercing Pagoda</t>
  </si>
  <si>
    <t>Tysons Corner|Barnes &amp; Noble</t>
  </si>
  <si>
    <t>Tysons Corner|Bath &amp; Body Works</t>
  </si>
  <si>
    <t>Beauty Nail Bar</t>
  </si>
  <si>
    <t>Tysons Corner|Beauty Nail Bar</t>
  </si>
  <si>
    <t>Bengbeng Chicken &amp; Grill</t>
  </si>
  <si>
    <t>Tysons Corner|Bengbeng Chicken &amp; Grill</t>
  </si>
  <si>
    <t>Beyoung Massage Therapy</t>
  </si>
  <si>
    <t>Tysons Corner|Beyoung Massage Therapy</t>
  </si>
  <si>
    <t>Blesssed</t>
  </si>
  <si>
    <t>Tysons Corner|Blesssed</t>
  </si>
  <si>
    <t>Tysons Corner|Bloomingdales</t>
  </si>
  <si>
    <t>Blue Nile</t>
  </si>
  <si>
    <t>Tysons Corner|Blue Nile</t>
  </si>
  <si>
    <t>Tysons Corner|Brooks Brothers</t>
  </si>
  <si>
    <t>Brow And Body Spa</t>
  </si>
  <si>
    <t>Tysons Corner|Brow And Body Spa</t>
  </si>
  <si>
    <t>Buck Mason</t>
  </si>
  <si>
    <t>Tysons Corner|Buck Mason</t>
  </si>
  <si>
    <t>Tysons Corner|California Pizza Kitchen</t>
  </si>
  <si>
    <t>California Tortilla</t>
  </si>
  <si>
    <t>Tysons Corner|California Tortilla</t>
  </si>
  <si>
    <t>Calzedonia Italian Legwear</t>
  </si>
  <si>
    <t>Tysons Corner|Calzedonia Italian Legwear</t>
  </si>
  <si>
    <t>Camp</t>
  </si>
  <si>
    <t>Tysons Corner|Camp</t>
  </si>
  <si>
    <t>Capital Musubi</t>
  </si>
  <si>
    <t>Tysons Corner|Capital Musubi</t>
  </si>
  <si>
    <t>Tysons Corner|Casper</t>
  </si>
  <si>
    <t>Cha Street Food</t>
  </si>
  <si>
    <t>Tysons Corner|Cha Street Food</t>
  </si>
  <si>
    <t>Chaliskan</t>
  </si>
  <si>
    <t>Tysons Corner|Chaliskan</t>
  </si>
  <si>
    <t>Tysons Corner|Champs Sports</t>
  </si>
  <si>
    <t>Charles Tyrwhitt</t>
  </si>
  <si>
    <t>Tysons Corner|Charles Tyrwhitt</t>
  </si>
  <si>
    <t>Tysons Corner|Charley's Philly Steaks</t>
  </si>
  <si>
    <t>Charlotte Artisanal</t>
  </si>
  <si>
    <t>Tysons Corner|Charlotte Artisanal</t>
  </si>
  <si>
    <t>Chef Lins</t>
  </si>
  <si>
    <t>Tysons Corner|Chef Lins</t>
  </si>
  <si>
    <t>Tysons Corner|Chico's</t>
  </si>
  <si>
    <t>China Kitchen</t>
  </si>
  <si>
    <t>Tysons Corner|China Kitchen</t>
  </si>
  <si>
    <t>Tysons Corner|Chipotle Mexican Grill</t>
  </si>
  <si>
    <t>Chopathi Indian Kitchen</t>
  </si>
  <si>
    <t>Tysons Corner|Chopathi Indian Kitchen</t>
  </si>
  <si>
    <t>Tysons Corner|Cinnabon</t>
  </si>
  <si>
    <t>Tysons Corner|Claire's</t>
  </si>
  <si>
    <t>Clean Origin</t>
  </si>
  <si>
    <t>Tysons Corner|Clean Origin</t>
  </si>
  <si>
    <t>Tysons Corner|Coach</t>
  </si>
  <si>
    <t>Coastal Flats</t>
  </si>
  <si>
    <t>Tysons Corner|Coastal Flats</t>
  </si>
  <si>
    <t>Cool Kicks</t>
  </si>
  <si>
    <t>Tysons Corner|Cool Kicks</t>
  </si>
  <si>
    <t>Tysons Corner|Cotton On</t>
  </si>
  <si>
    <t>Tysons Corner|Cotton On Kids</t>
  </si>
  <si>
    <t>Dhoom</t>
  </si>
  <si>
    <t>Tysons Corner|Dhoom</t>
  </si>
  <si>
    <t>Diesel</t>
  </si>
  <si>
    <t>Tysons Corner|Diesel</t>
  </si>
  <si>
    <t>Dr. Martens</t>
  </si>
  <si>
    <t>Tysons Corner|Dr. Martens</t>
  </si>
  <si>
    <t>Tysons Corner|Drybar</t>
  </si>
  <si>
    <t>Dyson</t>
  </si>
  <si>
    <t>Tysons Corner|Dyson</t>
  </si>
  <si>
    <t>Tysons Corner|Ecco</t>
  </si>
  <si>
    <t>Tysons Corner|Eddie Bauer</t>
  </si>
  <si>
    <t>Elite Jewelers</t>
  </si>
  <si>
    <t>Tysons Corner|Elite Jewelers</t>
  </si>
  <si>
    <t>Eravos</t>
  </si>
  <si>
    <t>Tysons Corner|Eravos</t>
  </si>
  <si>
    <t>Everlane</t>
  </si>
  <si>
    <t>Tysons Corner|Everlane</t>
  </si>
  <si>
    <t>Tysons Corner|Express</t>
  </si>
  <si>
    <t>Tysons Corner|Fabletics</t>
  </si>
  <si>
    <t>Falafel Inc</t>
  </si>
  <si>
    <t>Tysons Corner|Falafel Inc</t>
  </si>
  <si>
    <t>Tysons Corner|Fast-Fix Jewelry And Watch Repair</t>
  </si>
  <si>
    <t>Tysons Corner|Five Guys</t>
  </si>
  <si>
    <t>Fix &amp; Repair</t>
  </si>
  <si>
    <t>Tysons Corner|Fix &amp; Repair</t>
  </si>
  <si>
    <t>Tysons Corner|Foot Locker</t>
  </si>
  <si>
    <t>Tysons Corner|Fossil</t>
  </si>
  <si>
    <t>Tysons Corner|Francesca's</t>
  </si>
  <si>
    <t>Tysons Corner|Free People</t>
  </si>
  <si>
    <t>Gagawa</t>
  </si>
  <si>
    <t>Tysons Corner|Gagawa</t>
  </si>
  <si>
    <t>Tysons Corner|GameStop</t>
  </si>
  <si>
    <t>Tysons Corner|Gap</t>
  </si>
  <si>
    <t>Tysons Corner|Garage</t>
  </si>
  <si>
    <t>Tysons Corner|GNC</t>
  </si>
  <si>
    <t>Grandeur</t>
  </si>
  <si>
    <t>Tysons Corner|Grandeur</t>
  </si>
  <si>
    <t>Grill Kabob</t>
  </si>
  <si>
    <t>Tysons Corner|Grill Kabob</t>
  </si>
  <si>
    <t>Tysons Corner|Guess</t>
  </si>
  <si>
    <t>Tysons Corner|H&amp;M</t>
  </si>
  <si>
    <t>Tysons Corner|Haagen-Dazs</t>
  </si>
  <si>
    <t>Halal Guys, The</t>
  </si>
  <si>
    <t>Tysons Corner|Halal Guys, The</t>
  </si>
  <si>
    <t>Tysons Corner|Helzberg Diamonds</t>
  </si>
  <si>
    <t>Heuk Hwa Dang</t>
  </si>
  <si>
    <t>Tysons Corner|Heuk Hwa Dang</t>
  </si>
  <si>
    <t>Hobbs London</t>
  </si>
  <si>
    <t>Tysons Corner|Hobbs London</t>
  </si>
  <si>
    <t>Tysons Corner|Hollister</t>
  </si>
  <si>
    <t>Interior Define</t>
  </si>
  <si>
    <t>Tysons Corner|Interior Define</t>
  </si>
  <si>
    <t>Iqos</t>
  </si>
  <si>
    <t>Tysons Corner|Iqos</t>
  </si>
  <si>
    <t>Tysons Corner|J. Jill</t>
  </si>
  <si>
    <t>Tysons Corner|Jamba Juice</t>
  </si>
  <si>
    <t>Japanese Grill - Teriyaki Way</t>
  </si>
  <si>
    <t>Tysons Corner|Japanese Grill - Teriyaki Way</t>
  </si>
  <si>
    <t>Tysons Corner|JD Sports</t>
  </si>
  <si>
    <t>Tysons Corner|Johnston &amp; Murphy</t>
  </si>
  <si>
    <t>Tysons Corner|Journeys</t>
  </si>
  <si>
    <t>Tysons Corner|Kay Jewelers</t>
  </si>
  <si>
    <t>Tysons Corner|Kendra Scott</t>
  </si>
  <si>
    <t>Khaadi</t>
  </si>
  <si>
    <t>Tysons Corner|Khaadi</t>
  </si>
  <si>
    <t>Kiehls Since 1851</t>
  </si>
  <si>
    <t>Tysons Corner|Kiehls Since 1851</t>
  </si>
  <si>
    <t>Tysons Corner|Kung Fu Tea</t>
  </si>
  <si>
    <t>Laderach Chocolatier Suisse</t>
  </si>
  <si>
    <t>Tysons Corner|Laderach Chocolatier Suisse</t>
  </si>
  <si>
    <t>Tysons Corner|LEGO</t>
  </si>
  <si>
    <t>Lenkersdorfer</t>
  </si>
  <si>
    <t>Tysons Corner|Lenkersdorfer</t>
  </si>
  <si>
    <t>Tysons Corner|Lenscrafters</t>
  </si>
  <si>
    <t>Level99</t>
  </si>
  <si>
    <t>Tysons Corner|Level99</t>
  </si>
  <si>
    <t>Tysons Corner|Levi's</t>
  </si>
  <si>
    <t>Tysons Corner|Lids</t>
  </si>
  <si>
    <t>Tysons Corner|Loccitane</t>
  </si>
  <si>
    <t>Tysons Corner|Lolli And Pops</t>
  </si>
  <si>
    <t>Tysons Corner|LoveSac</t>
  </si>
  <si>
    <t>Tysons Corner|Lovisa</t>
  </si>
  <si>
    <t>Lucid Motors</t>
  </si>
  <si>
    <t>Tysons Corner|Lucid Motors</t>
  </si>
  <si>
    <t>Tysons Corner|Lululemon</t>
  </si>
  <si>
    <t>Tysons Corner|Lush Fresh Handmade Cosmetics</t>
  </si>
  <si>
    <t>Tysons Corner|Macys</t>
  </si>
  <si>
    <t>Tysons Corner|Madewell</t>
  </si>
  <si>
    <t>Tysons Corner|Maggianos Little Italy</t>
  </si>
  <si>
    <t>Tysons Corner|Mango</t>
  </si>
  <si>
    <t>Massage Express</t>
  </si>
  <si>
    <t>Tysons Corner|Massage Express</t>
  </si>
  <si>
    <t>Matcha Cafe Maiko</t>
  </si>
  <si>
    <t>Tysons Corner|Matcha Cafe Maiko</t>
  </si>
  <si>
    <t>Tysons Corner|Mcdonalds</t>
  </si>
  <si>
    <t>Mezeh</t>
  </si>
  <si>
    <t>Tysons Corner|Mezeh</t>
  </si>
  <si>
    <t>Tysons Corner|Michael Kors</t>
  </si>
  <si>
    <t>Tysons Corner|Miniso</t>
  </si>
  <si>
    <t>Mobilexpress</t>
  </si>
  <si>
    <t>Tysons Corner|Mobilexpress</t>
  </si>
  <si>
    <t>Moge Tee</t>
  </si>
  <si>
    <t>Tysons Corner|Moge Tee</t>
  </si>
  <si>
    <t>Murad &amp; Co</t>
  </si>
  <si>
    <t>Tysons Corner|Murad &amp; Co</t>
  </si>
  <si>
    <t>Na Hoku, Hawaiis Finest Jewelers Since 1924</t>
  </si>
  <si>
    <t>Tysons Corner|Na Hoku, Hawaiis Finest Jewelers Since 1924</t>
  </si>
  <si>
    <t>Nespresso</t>
  </si>
  <si>
    <t>Tysons Corner|Nespresso</t>
  </si>
  <si>
    <t>Tysons Corner|Nordstrom</t>
  </si>
  <si>
    <t>Northern Virginia Orthodontics</t>
  </si>
  <si>
    <t>Tysons Corner|Northern Virginia Orthodontics</t>
  </si>
  <si>
    <t>Oak + Fort</t>
  </si>
  <si>
    <t>Tysons Corner|Oak + Fort</t>
  </si>
  <si>
    <t>Tysons Corner|Oakley</t>
  </si>
  <si>
    <t>Tysons Corner|Offline By Aerie</t>
  </si>
  <si>
    <t>Tysons Corner|Old Navy</t>
  </si>
  <si>
    <t>Olivia Macaron</t>
  </si>
  <si>
    <t>Tysons Corner|Olivia Macaron</t>
  </si>
  <si>
    <t>Tysons Corner|Pacific Sunwear</t>
  </si>
  <si>
    <t>Tysons Corner|Panda Express</t>
  </si>
  <si>
    <t>Tysons Corner|Pandora</t>
  </si>
  <si>
    <t>Parfums De France</t>
  </si>
  <si>
    <t>Tysons Corner|Parfums De France</t>
  </si>
  <si>
    <t>Tysons Corner|Paul Mitchell</t>
  </si>
  <si>
    <t>Peachwave Of Tysons</t>
  </si>
  <si>
    <t>Tysons Corner|Peachwave Of Tysons</t>
  </si>
  <si>
    <t>Tysons Corner|Peloton</t>
  </si>
  <si>
    <t>Perfect Eyebrows</t>
  </si>
  <si>
    <t>Tysons Corner|Perfect Eyebrows</t>
  </si>
  <si>
    <t>Pizza, &amp;</t>
  </si>
  <si>
    <t>Tysons Corner|Pizza, &amp;</t>
  </si>
  <si>
    <t>Tysons Corner|Primark</t>
  </si>
  <si>
    <t>Psycho Bunny</t>
  </si>
  <si>
    <t>Tysons Corner|Psycho Bunny</t>
  </si>
  <si>
    <t>Pure Foot Spa And Massage</t>
  </si>
  <si>
    <t>Tysons Corner|Pure Foot Spa And Massage</t>
  </si>
  <si>
    <t>Tysons Corner|Purple Mattress</t>
  </si>
  <si>
    <t>Roman</t>
  </si>
  <si>
    <t>Tysons Corner|Roman</t>
  </si>
  <si>
    <t>Rose Florist</t>
  </si>
  <si>
    <t>Tysons Corner|Rose Florist</t>
  </si>
  <si>
    <t>Rothys</t>
  </si>
  <si>
    <t>Tysons Corner|Rothys</t>
  </si>
  <si>
    <t>Tysons Corner|Seasons 52</t>
  </si>
  <si>
    <t>Tysons Corner|Sephora</t>
  </si>
  <si>
    <t>Shilla Bakery</t>
  </si>
  <si>
    <t>Tysons Corner|Shilla Bakery</t>
  </si>
  <si>
    <t>Shinola</t>
  </si>
  <si>
    <t>Tysons Corner|Shinola</t>
  </si>
  <si>
    <t>Shoe Shoppe, The</t>
  </si>
  <si>
    <t>Tysons Corner|Shoe Shoppe, The</t>
  </si>
  <si>
    <t>Tysons Corner|Sleep Number</t>
  </si>
  <si>
    <t>Tysons Corner|Soma Intimates</t>
  </si>
  <si>
    <t>Soricha Tea &amp; Theater</t>
  </si>
  <si>
    <t>Tysons Corner|Soricha Tea &amp; Theater</t>
  </si>
  <si>
    <t>Tysons Corner|Spencer Gifts</t>
  </si>
  <si>
    <t>Tysons Corner|Starbucks Coffee</t>
  </si>
  <si>
    <t>Steinway</t>
  </si>
  <si>
    <t>Tysons Corner|Steinway</t>
  </si>
  <si>
    <t>Tysons Corner|Sterling Optical</t>
  </si>
  <si>
    <t>Tysons Corner|Sunglass Hut</t>
  </si>
  <si>
    <t>Tysons Corner|Swarovski</t>
  </si>
  <si>
    <t>Tysons Corner|T.G.I. Fridays</t>
  </si>
  <si>
    <t>Tysons Corner|Talbots</t>
  </si>
  <si>
    <t>Tysons Corner|Talk N Fix</t>
  </si>
  <si>
    <t>Tysons Corner|Tempur-Pedic</t>
  </si>
  <si>
    <t>Tysons Corner|The North Face</t>
  </si>
  <si>
    <t>Therabody</t>
  </si>
  <si>
    <t>Tysons Corner|Therabody</t>
  </si>
  <si>
    <t>Third Love</t>
  </si>
  <si>
    <t>Tysons Corner|Third Love</t>
  </si>
  <si>
    <t>Tysons Corner|T-Mobile</t>
  </si>
  <si>
    <t>Tonal</t>
  </si>
  <si>
    <t>Tysons Corner|Tonal</t>
  </si>
  <si>
    <t>True Classic</t>
  </si>
  <si>
    <t>Tysons Corner|True Classic</t>
  </si>
  <si>
    <t>Tysons Corner|Under Armour</t>
  </si>
  <si>
    <t>Tysons Corner|Uniqlo</t>
  </si>
  <si>
    <t>United Barber &amp; Salon</t>
  </si>
  <si>
    <t>Tysons Corner|United Barber &amp; Salon</t>
  </si>
  <si>
    <t>Tysons Corner|Untuckit</t>
  </si>
  <si>
    <t>Upwest</t>
  </si>
  <si>
    <t>Tysons Corner|Upwest</t>
  </si>
  <si>
    <t>Tysons Corner|Urban Outfitters</t>
  </si>
  <si>
    <t>Tysons Corner|Vans</t>
  </si>
  <si>
    <t>Venchi</t>
  </si>
  <si>
    <t>Tysons Corner|Venchi</t>
  </si>
  <si>
    <t>Tysons Corner|Verizon Wireless</t>
  </si>
  <si>
    <t>Tysons Corner|Victorias Secret</t>
  </si>
  <si>
    <t>Vince Leather</t>
  </si>
  <si>
    <t>Tysons Corner|Vince Leather</t>
  </si>
  <si>
    <t>Vuori</t>
  </si>
  <si>
    <t>Tysons Corner|Vuori</t>
  </si>
  <si>
    <t>Tysons Corner|Warby Parker</t>
  </si>
  <si>
    <t>Tysons Corner|Wasabi</t>
  </si>
  <si>
    <t>Tysons Corner|White House | Black Market</t>
  </si>
  <si>
    <t>Tysons Corner|Windsor</t>
  </si>
  <si>
    <t>Tysons Corner|Zagg</t>
  </si>
  <si>
    <t>Tysons Corner|Zara</t>
  </si>
  <si>
    <t>Tysons Corner|Zumiez</t>
  </si>
  <si>
    <t>Zwilling J.A. Henckels</t>
  </si>
  <si>
    <t>Tysons Corner|Zwilling J.A. Henckels</t>
  </si>
  <si>
    <t>Walden Galleria|5 Wits</t>
  </si>
  <si>
    <t>Walden Galleria|Abercrombie &amp; Fitch</t>
  </si>
  <si>
    <t>Walden Galleria|Aeropostale</t>
  </si>
  <si>
    <t>Walden Galleria|Against All Odds</t>
  </si>
  <si>
    <t>AJI Jewelers</t>
  </si>
  <si>
    <t>Walden Galleria|AJI Jewelers</t>
  </si>
  <si>
    <t>Walden Galleria|Aloha Krab</t>
  </si>
  <si>
    <t>Walden Galleria|American Eagle Outfitters</t>
  </si>
  <si>
    <t>Walden Galleria|Anthropologie</t>
  </si>
  <si>
    <t>Walden Galleria|Apple</t>
  </si>
  <si>
    <t>Walden Galleria|Ashcroft &amp; Oak</t>
  </si>
  <si>
    <t>Walden Galleria|AT&amp;T</t>
  </si>
  <si>
    <t>Walden Galleria|Auntie Annes</t>
  </si>
  <si>
    <t>Walden Galleria|Aveda</t>
  </si>
  <si>
    <t>Walden Galleria|Banter by Piercing Pagoda</t>
  </si>
  <si>
    <t>Walden Galleria|Barnes &amp; Noble</t>
  </si>
  <si>
    <t>Walden Galleria|Bath &amp; Body Works</t>
  </si>
  <si>
    <t>Bespoke Menswear</t>
  </si>
  <si>
    <t>Walden Galleria|Bespoke Menswear</t>
  </si>
  <si>
    <t>Walden Galleria|Best Buy</t>
  </si>
  <si>
    <t>Walden Galleria|Billy Beez</t>
  </si>
  <si>
    <t>Boba Stop</t>
  </si>
  <si>
    <t>Walden Galleria|Boba Stop</t>
  </si>
  <si>
    <t>Walden Galleria|Box Lunch</t>
  </si>
  <si>
    <t>Walden Galleria|Brighton Collectibles</t>
  </si>
  <si>
    <t>Walden Galleria|Buckle</t>
  </si>
  <si>
    <t>Walden Galleria|Build-A-Bear Workshop</t>
  </si>
  <si>
    <t>Walden Galleria|Burger King</t>
  </si>
  <si>
    <t>Walden Galleria|Champs Sports</t>
  </si>
  <si>
    <t>Walden Galleria|Charley's Philly Steaks</t>
  </si>
  <si>
    <t>Walden Galleria|Charlotte Russe</t>
  </si>
  <si>
    <t>Chayban's Tailors</t>
  </si>
  <si>
    <t>Walden Galleria|Chayban's Tailors</t>
  </si>
  <si>
    <t>Walden Galleria|Cheesecake Factory</t>
  </si>
  <si>
    <t>Walden Galleria|Cinnabon</t>
  </si>
  <si>
    <t>Walden Galleria|Claire's</t>
  </si>
  <si>
    <t>Walden Galleria|Coach</t>
  </si>
  <si>
    <t>Walden Galleria|Dave &amp; Busters</t>
  </si>
  <si>
    <t>Walden Galleria|Dick's Sporting Goods</t>
  </si>
  <si>
    <t>Walden Galleria|Dry Goods</t>
  </si>
  <si>
    <t>Walden Galleria|DSW Shoe Warehouse</t>
  </si>
  <si>
    <t>Walden Galleria|Earthbound Trading Company</t>
  </si>
  <si>
    <t>Walden Galleria|Eddie Bauer</t>
  </si>
  <si>
    <t>Emy's Nails</t>
  </si>
  <si>
    <t>Walden Galleria|Emy's Nails</t>
  </si>
  <si>
    <t>Walden Galleria|Express</t>
  </si>
  <si>
    <t>Walden Galleria|Express Jewelers</t>
  </si>
  <si>
    <t>E-Z Fix</t>
  </si>
  <si>
    <t>Walden Galleria|E-Z Fix</t>
  </si>
  <si>
    <t>Walden Galleria|Famous Footwear</t>
  </si>
  <si>
    <t>Walden Galleria|Five Below</t>
  </si>
  <si>
    <t>Walden Galleria|Five Guys</t>
  </si>
  <si>
    <t>Walden Galleria|Francesca's</t>
  </si>
  <si>
    <t>Walden Galleria|Free People</t>
  </si>
  <si>
    <t>Frozen Dlite</t>
  </si>
  <si>
    <t>Walden Galleria|Frozen Dlite</t>
  </si>
  <si>
    <t>Walden Galleria|FYE Music &amp; Movies</t>
  </si>
  <si>
    <t>Walden Galleria|GameStop</t>
  </si>
  <si>
    <t>Walden Galleria|Gap</t>
  </si>
  <si>
    <t>Walden Galleria|Garage</t>
  </si>
  <si>
    <t>Walden Galleria|GNC</t>
  </si>
  <si>
    <t>Walden Galleria|H&amp;M</t>
  </si>
  <si>
    <t>Walden Galleria|Hollister</t>
  </si>
  <si>
    <t>Walden Galleria|Hot Topic</t>
  </si>
  <si>
    <t>Walden Galleria|House Of Hoops By Foot Locker</t>
  </si>
  <si>
    <t>Walden Galleria|Hugo Boss</t>
  </si>
  <si>
    <t>Inchin's Indian Kitchen</t>
  </si>
  <si>
    <t>Walden Galleria|Inchin's Indian Kitchen</t>
  </si>
  <si>
    <t>Indochino</t>
  </si>
  <si>
    <t>Walden Galleria|Indochino</t>
  </si>
  <si>
    <t>Walden Galleria|It'Sugar</t>
  </si>
  <si>
    <t>Walden Galleria|J. Jill</t>
  </si>
  <si>
    <t>Walden Galleria|J.C. Penney</t>
  </si>
  <si>
    <t>Walden Galleria|J.Crew</t>
  </si>
  <si>
    <t>Walden Galleria|JD Sports</t>
  </si>
  <si>
    <t>Walden Galleria|Journeys</t>
  </si>
  <si>
    <t>Walden Galleria|Journeys Kidz</t>
  </si>
  <si>
    <t>Walden Galleria|Kay Jewelers</t>
  </si>
  <si>
    <t>Walden Galleria|Kids Foot Locker</t>
  </si>
  <si>
    <t>Walden Galleria|La Vie en Rose</t>
  </si>
  <si>
    <t>Walden Galleria|Lane Bryant</t>
  </si>
  <si>
    <t>Latino's Cuisine</t>
  </si>
  <si>
    <t>Walden Galleria|Latino's Cuisine</t>
  </si>
  <si>
    <t>Walden Galleria|Lee Nails</t>
  </si>
  <si>
    <t>Walden Galleria|LEGO</t>
  </si>
  <si>
    <t>Walden Galleria|Lenscrafters</t>
  </si>
  <si>
    <t>Walden Galleria|Lids</t>
  </si>
  <si>
    <t>Walden Galleria|Loft</t>
  </si>
  <si>
    <t>Walden Galleria|LoveSac</t>
  </si>
  <si>
    <t>Walden Galleria|Lovisa</t>
  </si>
  <si>
    <t>Walden Galleria|Lululemon</t>
  </si>
  <si>
    <t>Walden Galleria|Lush Fresh Handmade Cosmetics</t>
  </si>
  <si>
    <t>Walden Galleria|Macys</t>
  </si>
  <si>
    <t>Walden Galleria|Mandati Jewelers</t>
  </si>
  <si>
    <t>Walden Galleria|Mrs. Fields Cookies</t>
  </si>
  <si>
    <t>Walden Galleria|Newbury Comics</t>
  </si>
  <si>
    <t>Walden Galleria|Oakley</t>
  </si>
  <si>
    <t>Walden Galleria|Offline By Aerie</t>
  </si>
  <si>
    <t>Walden Galleria|Old Navy</t>
  </si>
  <si>
    <t>Osmow's</t>
  </si>
  <si>
    <t>Walden Galleria|Osmow's</t>
  </si>
  <si>
    <t>Walden Galleria|Oyishi Japan</t>
  </si>
  <si>
    <t>Walden Galleria|P.F. Changs</t>
  </si>
  <si>
    <t>Walden Galleria|Pacific Sunwear</t>
  </si>
  <si>
    <t>Walden Galleria|Pandora</t>
  </si>
  <si>
    <t>Walden Galleria|Rally House</t>
  </si>
  <si>
    <t>Walden Galleria|Real Fruit Bubble Tea</t>
  </si>
  <si>
    <t>Walden Galleria|Regal Cinemas</t>
  </si>
  <si>
    <t>Santora's Pizza Pub &amp; Grill</t>
  </si>
  <si>
    <t>Walden Galleria|Santora's Pizza Pub &amp; Grill</t>
  </si>
  <si>
    <t>Walden Galleria|Sbarro The Italian Eatery</t>
  </si>
  <si>
    <t>Senor Leon</t>
  </si>
  <si>
    <t>Walden Galleria|Senor Leon</t>
  </si>
  <si>
    <t>Walden Galleria|Sephora</t>
  </si>
  <si>
    <t>Walden Galleria|Showcase</t>
  </si>
  <si>
    <t>Walden Galleria|Sleep Number</t>
  </si>
  <si>
    <t>Walden Galleria|Soma Intimates</t>
  </si>
  <si>
    <t>Walden Galleria|Spencer Gifts</t>
  </si>
  <si>
    <t>Walden Galleria|Starbucks Coffee</t>
  </si>
  <si>
    <t>Walden Galleria|Stir Fry 88</t>
  </si>
  <si>
    <t>Walden Galleria|Street Game</t>
  </si>
  <si>
    <t>Walden Galleria|Subway</t>
  </si>
  <si>
    <t>Walden Galleria|Sunglass Hut</t>
  </si>
  <si>
    <t>Sushi Q</t>
  </si>
  <si>
    <t>Walden Galleria|Sushi Q</t>
  </si>
  <si>
    <t>Walden Galleria|Swarovski</t>
  </si>
  <si>
    <t>Walden Galleria|Talk N Fix</t>
  </si>
  <si>
    <t>Walden Galleria|Texas de Brazil Churrasciaria/Brazilian Steak House</t>
  </si>
  <si>
    <t>Walden Galleria|The Childrens Place</t>
  </si>
  <si>
    <t>Walden Galleria|The Inspiration Co</t>
  </si>
  <si>
    <t>Walden Galleria|The Melting Pot</t>
  </si>
  <si>
    <t>Walden Galleria|T-Mobile</t>
  </si>
  <si>
    <t>Walden Galleria|Torrid</t>
  </si>
  <si>
    <t>Tuxedo Junction</t>
  </si>
  <si>
    <t>Walden Galleria|Tuxedo Junction</t>
  </si>
  <si>
    <t>Walden Galleria|Underground by Journeys</t>
  </si>
  <si>
    <t>Urban Air Trampoline &amp; Adventure Park</t>
  </si>
  <si>
    <t>Walden Galleria|Urban Air Trampoline &amp; Adventure Park</t>
  </si>
  <si>
    <t>Walden Galleria|Urban Outfitters</t>
  </si>
  <si>
    <t>Walden Galleria|Vans</t>
  </si>
  <si>
    <t>Walden Galleria|Victorias Secret</t>
  </si>
  <si>
    <t>Waffle &amp; Crepes</t>
  </si>
  <si>
    <t>Walden Galleria|Waffle &amp; Crepes</t>
  </si>
  <si>
    <t>Walden Galleria|Wetzels Pretzels</t>
  </si>
  <si>
    <t>Walden Galleria|White House | Black Market</t>
  </si>
  <si>
    <t>Walden Galleria|Windsor</t>
  </si>
  <si>
    <t>Walden Galleria|Yankee Candle</t>
  </si>
  <si>
    <t>Walden Galleria|Zara</t>
  </si>
  <si>
    <t>Walden Galleria|Zumiez</t>
  </si>
  <si>
    <t>West County Center|Akira</t>
  </si>
  <si>
    <t>West County Center|Altar'd State</t>
  </si>
  <si>
    <t>West County Center|American Eagle Outfitters</t>
  </si>
  <si>
    <t>West County Center|Ann Taylor</t>
  </si>
  <si>
    <t>West County Center|Apple</t>
  </si>
  <si>
    <t>West County Center|Auntie Annes</t>
  </si>
  <si>
    <t>West County Center|Banana Republic</t>
  </si>
  <si>
    <t>West County Center|Barnes &amp; Noble</t>
  </si>
  <si>
    <t>West County Center|Bath &amp; Body Works</t>
  </si>
  <si>
    <t>West County Center|Brighton Collectibles</t>
  </si>
  <si>
    <t>West County Center|Brow Art 23</t>
  </si>
  <si>
    <t>West County Center|Buckle</t>
  </si>
  <si>
    <t>West County Center|Build-A-Bear Workshop</t>
  </si>
  <si>
    <t>West County Center|California Pizza Kitchen</t>
  </si>
  <si>
    <t>West County Center|Camille La Vie</t>
  </si>
  <si>
    <t>Capital One Café</t>
  </si>
  <si>
    <t>West County Center|Capital One Café</t>
  </si>
  <si>
    <t>West County Center|Champs Sports</t>
  </si>
  <si>
    <t>West County Center|Charley's Philly Steaks</t>
  </si>
  <si>
    <t>West County Center|Charlotte Russe</t>
  </si>
  <si>
    <t>West County Center|Chick-Fil-A</t>
  </si>
  <si>
    <t>West County Center|Chico's</t>
  </si>
  <si>
    <t>West County Center|Chipotle Mexican Grill</t>
  </si>
  <si>
    <t>West County Center|Claire's</t>
  </si>
  <si>
    <t>West County Center|Dick's Sporting Goods</t>
  </si>
  <si>
    <t>West County Center|Dry Goods</t>
  </si>
  <si>
    <t>West County Center|Earthbound Trading Company</t>
  </si>
  <si>
    <t>West County Center|Engel &amp; Volkers</t>
  </si>
  <si>
    <t>West County Center|Evereve</t>
  </si>
  <si>
    <t>West County Center|Fabletics</t>
  </si>
  <si>
    <t>West County Center|Foot Locker</t>
  </si>
  <si>
    <t>West County Center|Francesca's</t>
  </si>
  <si>
    <t>West County Center|Gap</t>
  </si>
  <si>
    <t>West County Center|Garage</t>
  </si>
  <si>
    <t>West County Center|Gearhead Outfitters</t>
  </si>
  <si>
    <t>West County Center|Great American Cookies</t>
  </si>
  <si>
    <t>West County Center|GW Gyro &amp; Wings</t>
  </si>
  <si>
    <t>West County Center|H&amp;M</t>
  </si>
  <si>
    <t>West County Center|Hallmark</t>
  </si>
  <si>
    <t>West County Center|Helzberg Diamonds</t>
  </si>
  <si>
    <t>West County Center|Hollister</t>
  </si>
  <si>
    <t>West County Center|Hot Topic</t>
  </si>
  <si>
    <t>Imagine That</t>
  </si>
  <si>
    <t>West County Center|Imagine That</t>
  </si>
  <si>
    <t>J. Gilbert's Wood Fired Steaks</t>
  </si>
  <si>
    <t>West County Center|J. Gilbert's Wood Fired Steaks</t>
  </si>
  <si>
    <t>West County Center|J. Jill</t>
  </si>
  <si>
    <t>West County Center|J.C. Penney</t>
  </si>
  <si>
    <t>West County Center|Jamba Juice</t>
  </si>
  <si>
    <t>West County Center|JD Sports</t>
  </si>
  <si>
    <t>West County Center|Johnston &amp; Murphy</t>
  </si>
  <si>
    <t>West County Center|Journeys</t>
  </si>
  <si>
    <t>West County Center|Kay Jewelers</t>
  </si>
  <si>
    <t>West County Center|LEGO</t>
  </si>
  <si>
    <t>West County Center|Lenscrafters</t>
  </si>
  <si>
    <t>West County Center|Lids</t>
  </si>
  <si>
    <t>West County Center|Loccitane</t>
  </si>
  <si>
    <t>West County Center|Loft</t>
  </si>
  <si>
    <t>West County Center|Lolli And Pops</t>
  </si>
  <si>
    <t>West County Center|LoveSac</t>
  </si>
  <si>
    <t>West County Center|Lovisa</t>
  </si>
  <si>
    <t>West County Center|Lululemon</t>
  </si>
  <si>
    <t>West County Center|Lush Fresh Handmade Cosmetics</t>
  </si>
  <si>
    <t>West County Center|Macys</t>
  </si>
  <si>
    <t>Mandalay Asian Cuisine</t>
  </si>
  <si>
    <t>West County Center|Mandalay Asian Cuisine</t>
  </si>
  <si>
    <t>West County Center|Maurices</t>
  </si>
  <si>
    <t>West County Center|Men's Wearhouse</t>
  </si>
  <si>
    <t>West County Center|Miniso</t>
  </si>
  <si>
    <t>West County Center|Nordstrom</t>
  </si>
  <si>
    <t>West County Center|Offline by Aerie</t>
  </si>
  <si>
    <t>West County Center|Pacific Sunwear</t>
  </si>
  <si>
    <t>West County Center|Panda Express</t>
  </si>
  <si>
    <t>West County Center|Pandora</t>
  </si>
  <si>
    <t>West County Center|Perfumania</t>
  </si>
  <si>
    <t>West County Center|Popeyes Louisiana Kitchen</t>
  </si>
  <si>
    <t>West County Center|Rally House</t>
  </si>
  <si>
    <t>Riviera Luggage</t>
  </si>
  <si>
    <t>West County Center|Riviera Luggage</t>
  </si>
  <si>
    <t>West County Center|Sarku Japan</t>
  </si>
  <si>
    <t>Savvi Formalwear</t>
  </si>
  <si>
    <t>West County Center|Savvi Formalwear</t>
  </si>
  <si>
    <t>West County Center|Sbarro The Italian Eatery</t>
  </si>
  <si>
    <t>West County Center|Sephora</t>
  </si>
  <si>
    <t>West County Center|Soma Intimates</t>
  </si>
  <si>
    <t>West County Center|Spencer Gifts</t>
  </si>
  <si>
    <t>West County Center|Starbucks Coffee</t>
  </si>
  <si>
    <t>West County Center|Sunglass Hut</t>
  </si>
  <si>
    <t>Sweet &amp; Sassy</t>
  </si>
  <si>
    <t>West County Center|Sweet &amp; Sassy</t>
  </si>
  <si>
    <t>West County Center|Tesla Motors</t>
  </si>
  <si>
    <t>West County Center|The Fix</t>
  </si>
  <si>
    <t>West County Center|The Normal Brand</t>
  </si>
  <si>
    <t>West County Center|Torrid</t>
  </si>
  <si>
    <t>West County Center|Tradehome Shoes</t>
  </si>
  <si>
    <t>West County Center|Vans</t>
  </si>
  <si>
    <t>West County Center|Victorias Secret</t>
  </si>
  <si>
    <t>West County Center|Vintage Stock</t>
  </si>
  <si>
    <t>West County Center|Visionworks</t>
  </si>
  <si>
    <t>West County Center|Wasteless Solutions</t>
  </si>
  <si>
    <t>Watch Technicians</t>
  </si>
  <si>
    <t>West County Center|Watch Technicians</t>
  </si>
  <si>
    <t>Wellness Massage</t>
  </si>
  <si>
    <t>West County Center|Wellness Massage</t>
  </si>
  <si>
    <t>West County Center|White House | Black Market</t>
  </si>
  <si>
    <t>West County Center|Windsor</t>
  </si>
  <si>
    <t>Zeeoma Boutique</t>
  </si>
  <si>
    <t>West County Center|Zeeoma Boutique</t>
  </si>
  <si>
    <t>West County Center|Zumiez</t>
  </si>
  <si>
    <t>West Towne Mall|A Shaving Grace Barber Shop</t>
  </si>
  <si>
    <t>Adams Outdoor</t>
  </si>
  <si>
    <t>West Towne Mall|Adams Outdoor</t>
  </si>
  <si>
    <t>Addiour Perfume</t>
  </si>
  <si>
    <t>West Towne Mall|Addiour Perfume</t>
  </si>
  <si>
    <t>West Towne Mall|Aerie</t>
  </si>
  <si>
    <t>West Towne Mall|American Eagle Outfitters</t>
  </si>
  <si>
    <t>West Towne Mall|Ann Taylor</t>
  </si>
  <si>
    <t>West Towne Mall|AT&amp;T</t>
  </si>
  <si>
    <t>West Towne Mall|Athleta</t>
  </si>
  <si>
    <t>West Towne Mall|Auntie Annes</t>
  </si>
  <si>
    <t>West Towne Mall|Aur Society</t>
  </si>
  <si>
    <t>West Towne Mall|Aveda</t>
  </si>
  <si>
    <t>West Towne Mall|Bath &amp; Body Works</t>
  </si>
  <si>
    <t>West Towne Mall|Bitcoin Depot</t>
  </si>
  <si>
    <t>West Towne Mall|Box Lunch</t>
  </si>
  <si>
    <t>West Towne Mall|Buckle</t>
  </si>
  <si>
    <t>West Towne Mall|Build-A-Bear Workshop</t>
  </si>
  <si>
    <t>West Towne Mall|CellXpert</t>
  </si>
  <si>
    <t>West Towne Mall|Champs Sports</t>
  </si>
  <si>
    <t>West Towne Mall|Charlotte Russe</t>
  </si>
  <si>
    <t>West Towne Mall|Chick-Fil-A</t>
  </si>
  <si>
    <t>West Towne Mall|Chili's Grill &amp; Bar</t>
  </si>
  <si>
    <t>West Towne Mall|China Experience</t>
  </si>
  <si>
    <t>West Towne Mall|Claire's</t>
  </si>
  <si>
    <t>D1 Sports Training</t>
  </si>
  <si>
    <t>West Towne Mall|D1 Sports Training</t>
  </si>
  <si>
    <t>West Towne Mall|Dick's Sporting Goods</t>
  </si>
  <si>
    <t>West Towne Mall|Dry Goods</t>
  </si>
  <si>
    <t>West Towne Mall|Eddie Bauer</t>
  </si>
  <si>
    <t>West Towne Mall|Express</t>
  </si>
  <si>
    <t>West Towne Mall|Francesca's</t>
  </si>
  <si>
    <t>West Towne Mall|GNC</t>
  </si>
  <si>
    <t>Gruno's Diamonds</t>
  </si>
  <si>
    <t>West Towne Mall|Gruno's Diamonds</t>
  </si>
  <si>
    <t>Gyro's Express</t>
  </si>
  <si>
    <t>West Towne Mall|Gyro's Express</t>
  </si>
  <si>
    <t>West Towne Mall|H&amp;M</t>
  </si>
  <si>
    <t>West Towne Mall|Hallmark</t>
  </si>
  <si>
    <t>Happy Feet Salon</t>
  </si>
  <si>
    <t>West Towne Mall|Happy Feet Salon</t>
  </si>
  <si>
    <t>West Towne Mall|Hot Topic</t>
  </si>
  <si>
    <t>West Towne Mall|J.C. Penney</t>
  </si>
  <si>
    <t>Jason's Deli</t>
  </si>
  <si>
    <t>West Towne Mall|Jason's Deli</t>
  </si>
  <si>
    <t>West Towne Mall|JD Sports</t>
  </si>
  <si>
    <t>Johnson Financial Group</t>
  </si>
  <si>
    <t>West Towne Mall|Johnson Financial Group</t>
  </si>
  <si>
    <t>West Towne Mall|Journeys</t>
  </si>
  <si>
    <t>West Towne Mall|Kay Jewelers</t>
  </si>
  <si>
    <t>West Towne Mall|Lane Bryant</t>
  </si>
  <si>
    <t>West Towne Mall|Lids</t>
  </si>
  <si>
    <t>West Towne Mall|LongHorn Steakhouse</t>
  </si>
  <si>
    <t>West Towne Mall|Lovisa</t>
  </si>
  <si>
    <t>Madison Wt Associates, Llc</t>
  </si>
  <si>
    <t>West Towne Mall|Madison Wt Associates, Llc</t>
  </si>
  <si>
    <t>West Towne Mall|Maurices</t>
  </si>
  <si>
    <t>Max Custom Tailor</t>
  </si>
  <si>
    <t>West Towne Mall|Max Custom Tailor</t>
  </si>
  <si>
    <t>West Towne Mall|Miniso</t>
  </si>
  <si>
    <t>West Towne Mall|Mobile Fix</t>
  </si>
  <si>
    <t>Mocha Boba</t>
  </si>
  <si>
    <t>West Towne Mall|Mocha Boba</t>
  </si>
  <si>
    <t>West Towne Mall|Mochi</t>
  </si>
  <si>
    <t>Mooyah Burger</t>
  </si>
  <si>
    <t>West Towne Mall|Mooyah Burger</t>
  </si>
  <si>
    <t>West Towne Mall|Olive Garden Italian Restaurant</t>
  </si>
  <si>
    <t>West Towne Mall|Pandora</t>
  </si>
  <si>
    <t>West Towne Mall|Planet Fitness</t>
  </si>
  <si>
    <t>West Towne Mall|Rally House</t>
  </si>
  <si>
    <t>Rama's Indo-American Fusion</t>
  </si>
  <si>
    <t>West Towne Mall|Rama's Indo-American Fusion</t>
  </si>
  <si>
    <t>Rogers &amp; Hollands Jewelers</t>
  </si>
  <si>
    <t>West Towne Mall|Rogers &amp; Hollands Jewelers</t>
  </si>
  <si>
    <t>West Towne Mall|Sarku Japan</t>
  </si>
  <si>
    <t>West Towne Mall|Sbarro The Italian Eatery</t>
  </si>
  <si>
    <t>West Towne Mall|Sephora</t>
  </si>
  <si>
    <t>West Towne Mall|Soma Intimates</t>
  </si>
  <si>
    <t>Steak Escape</t>
  </si>
  <si>
    <t>West Towne Mall|Steak Escape</t>
  </si>
  <si>
    <t>Stretch Zone</t>
  </si>
  <si>
    <t>West Towne Mall|Stretch Zone</t>
  </si>
  <si>
    <t>Sun Tan City</t>
  </si>
  <si>
    <t>West Towne Mall|Sun Tan City</t>
  </si>
  <si>
    <t>West Towne Mall|Sunglass Hut</t>
  </si>
  <si>
    <t>Super Nails and Spa</t>
  </si>
  <si>
    <t>West Towne Mall|Super Nails and Spa</t>
  </si>
  <si>
    <t>Sushi Lover's</t>
  </si>
  <si>
    <t>West Towne Mall|Sushi Lover's</t>
  </si>
  <si>
    <t>West Towne Mall|The B12 Store</t>
  </si>
  <si>
    <t>West Towne Mall|The Cheesecake Factory</t>
  </si>
  <si>
    <t>West Towne Mall|T-Mobile</t>
  </si>
  <si>
    <t>West Towne Mall|Torrid</t>
  </si>
  <si>
    <t>West Towne Mall|Tradehome Shoes</t>
  </si>
  <si>
    <t>West Towne Mall|Ulta Beauty</t>
  </si>
  <si>
    <t>West Towne Mall|Urban Air Trampoline &amp; Adventure Park</t>
  </si>
  <si>
    <t>West Towne Mall|Vans</t>
  </si>
  <si>
    <t>West Towne Mall|Victorias Secret</t>
  </si>
  <si>
    <t>Von Maur</t>
  </si>
  <si>
    <t>West Towne Mall|Von Maur</t>
  </si>
  <si>
    <t>West Towne Mall|Wasteless Solutions</t>
  </si>
  <si>
    <t>West Towne Mall|Windsor</t>
  </si>
  <si>
    <t>West Towne Mall|Zumiez</t>
  </si>
  <si>
    <t>A Sneaker City</t>
  </si>
  <si>
    <t>Westfarms Mall|A Sneaker City</t>
  </si>
  <si>
    <t>Westfarms Mall|Abercrombie &amp; Fitch</t>
  </si>
  <si>
    <t>Westfarms Mall|Aerie</t>
  </si>
  <si>
    <t>Westfarms Mall|Aeropostale</t>
  </si>
  <si>
    <t>Westfarms Mall|Aldo</t>
  </si>
  <si>
    <t>Alo Yoga</t>
  </si>
  <si>
    <t>Westfarms Mall|Alo Yoga</t>
  </si>
  <si>
    <t>Westfarms Mall|American Eagle Outfitters</t>
  </si>
  <si>
    <t>American Tower</t>
  </si>
  <si>
    <t>Westfarms Mall|American Tower</t>
  </si>
  <si>
    <t>Andreas Tailoring</t>
  </si>
  <si>
    <t>Westfarms Mall|Andreas Tailoring</t>
  </si>
  <si>
    <t>Westfarms Mall|Ann Taylor</t>
  </si>
  <si>
    <t>Westfarms Mall|Ann Taylor Loft</t>
  </si>
  <si>
    <t>Westfarms Mall|Anthropologie</t>
  </si>
  <si>
    <t>Westfarms Mall|Apple</t>
  </si>
  <si>
    <t>Westfarms Mall|Arhaus</t>
  </si>
  <si>
    <t>Westfarms Mall|AT&amp;T</t>
  </si>
  <si>
    <t>Westfarms Mall|Athleta</t>
  </si>
  <si>
    <t>Westfarms Mall|Auntie Annes</t>
  </si>
  <si>
    <t>Westfarms Mall|Aveda</t>
  </si>
  <si>
    <t>Westfarms Mall|Banana Republic</t>
  </si>
  <si>
    <t>Westfarms Mall|Banter By Piercing Pagoda</t>
  </si>
  <si>
    <t>Westfarms Mall|Bath &amp; Body Works</t>
  </si>
  <si>
    <t>Baumtech</t>
  </si>
  <si>
    <t>Westfarms Mall|Baumtech</t>
  </si>
  <si>
    <t>Beauty Zone Thread And Spa</t>
  </si>
  <si>
    <t>Westfarms Mall|Beauty Zone Thread And Spa</t>
  </si>
  <si>
    <t>Westfarms Mall|Box Lunch</t>
  </si>
  <si>
    <t>Westfarms Mall|Brighton Collectibles</t>
  </si>
  <si>
    <t>Brio Tuscan Grille</t>
  </si>
  <si>
    <t>Westfarms Mall|Brio Tuscan Grille</t>
  </si>
  <si>
    <t>Westfarms Mall|Brooks Brothers</t>
  </si>
  <si>
    <t>Westfarms Mall|Build-A-Bear Workshop</t>
  </si>
  <si>
    <t>Bye Stress Massage</t>
  </si>
  <si>
    <t>Westfarms Mall|Bye Stress Massage</t>
  </si>
  <si>
    <t>Westfarms Mall|California Pizza Kitchen</t>
  </si>
  <si>
    <t>Westfarms Mall|Champs Sports</t>
  </si>
  <si>
    <t>Westfarms Mall|Cinnabon</t>
  </si>
  <si>
    <t>Westfarms Mall|Claire's</t>
  </si>
  <si>
    <t>Westfarms Mall|Clarks</t>
  </si>
  <si>
    <t>Westfarms Mall|Coach</t>
  </si>
  <si>
    <t>Collectibles &amp; Cards</t>
  </si>
  <si>
    <t>Westfarms Mall|Collectibles &amp; Cards</t>
  </si>
  <si>
    <t>Westfarms Mall|Cotton On</t>
  </si>
  <si>
    <t>Westfarms Mall|Cotton On Kids</t>
  </si>
  <si>
    <t>Westfarms Mall|Dunkin Donuts</t>
  </si>
  <si>
    <t>Eblens Clothing &amp; Footwear</t>
  </si>
  <si>
    <t>Westfarms Mall|Eblens Clothing &amp; Footwear</t>
  </si>
  <si>
    <t>Elite</t>
  </si>
  <si>
    <t>Westfarms Mall|Elite</t>
  </si>
  <si>
    <t>Westfarms Mall|Express</t>
  </si>
  <si>
    <t>Westfarms Mall|Fabletics</t>
  </si>
  <si>
    <t>Westfarms Mall|Fix &amp; Repair</t>
  </si>
  <si>
    <t>Westfarms Mall|Foot Locker</t>
  </si>
  <si>
    <t>Westfarms Mall|Forever 21</t>
  </si>
  <si>
    <t>Westfarms Mall|Francesca's</t>
  </si>
  <si>
    <t>Westfarms Mall|Free People</t>
  </si>
  <si>
    <t>Westfarms Mall|Gap</t>
  </si>
  <si>
    <t>Westfarms Mall|Garage</t>
  </si>
  <si>
    <t>Westfarms Mall|GNC</t>
  </si>
  <si>
    <t>Westfarms Mall|Gong Cha</t>
  </si>
  <si>
    <t>Gusnova Gelato</t>
  </si>
  <si>
    <t>Westfarms Mall|Gusnova Gelato</t>
  </si>
  <si>
    <t>Westfarms Mall|H&amp;M</t>
  </si>
  <si>
    <t>Westfarms Mall|Hallmark</t>
  </si>
  <si>
    <t>Westfarms Mall|Hannoush Jewelers</t>
  </si>
  <si>
    <t>Westfarms Mall|Hollister</t>
  </si>
  <si>
    <t>Westfarms Mall|Hot Topic</t>
  </si>
  <si>
    <t>Westfarms Mall|Icing By Claires</t>
  </si>
  <si>
    <t>Impossible Kicks</t>
  </si>
  <si>
    <t>Westfarms Mall|Impossible Kicks</t>
  </si>
  <si>
    <t>Westfarms Mall|Intimissimi Italian Lingerie</t>
  </si>
  <si>
    <t>Westfarms Mall|J. Jill</t>
  </si>
  <si>
    <t>Westfarms Mall|J.C. Penney</t>
  </si>
  <si>
    <t>Westfarms Mall|J.Crew</t>
  </si>
  <si>
    <t>Westfarms Mall|Johnston &amp; Murphy</t>
  </si>
  <si>
    <t>Westfarms Mall|Journeys</t>
  </si>
  <si>
    <t>Westfarms Mall|Kate Spade</t>
  </si>
  <si>
    <t>Westfarms Mall|Kay Jewelers</t>
  </si>
  <si>
    <t>Westfarms Mall|Kids Foot Locker</t>
  </si>
  <si>
    <t>Westfarms Mall|Kiehls Since 1851</t>
  </si>
  <si>
    <t>Westfarms Mall|LEGO</t>
  </si>
  <si>
    <t>Westfarms Mall|Lenscrafters</t>
  </si>
  <si>
    <t>Westfarms Mall|Lids</t>
  </si>
  <si>
    <t>Westfarms Mall|Loccitane</t>
  </si>
  <si>
    <t>Westfarms Mall|Lord &amp; Taylor</t>
  </si>
  <si>
    <t>Louis Vuitton</t>
  </si>
  <si>
    <t>Westfarms Mall|Louis Vuitton</t>
  </si>
  <si>
    <t>Westfarms Mall|Lovisa</t>
  </si>
  <si>
    <t>Westfarms Mall|Lucky Brand Jeans</t>
  </si>
  <si>
    <t>Westfarms Mall|Lululemon</t>
  </si>
  <si>
    <t>Westfarms Mall|Lush Fresh Handmade Cosmetics</t>
  </si>
  <si>
    <t>Westfarms Mall|M.A.C Cosmetics</t>
  </si>
  <si>
    <t>Westfarms Mall|Macys</t>
  </si>
  <si>
    <t>Westfarms Mall|Madewell</t>
  </si>
  <si>
    <t>Meraki Salon &amp; Barber</t>
  </si>
  <si>
    <t>Westfarms Mall|Meraki Salon &amp; Barber</t>
  </si>
  <si>
    <t>Westfarms Mall|Michael Kors</t>
  </si>
  <si>
    <t>Michaels Jewelers</t>
  </si>
  <si>
    <t>Westfarms Mall|Michaels Jewelers</t>
  </si>
  <si>
    <t>Westfarms Mall|Munsons Chocolates</t>
  </si>
  <si>
    <t>Nail Tique</t>
  </si>
  <si>
    <t>Westfarms Mall|Nail Tique</t>
  </si>
  <si>
    <t>Westfarms Mall|Nordstrom</t>
  </si>
  <si>
    <t>Westfarms Mall|Oakley</t>
  </si>
  <si>
    <t>Westfarms Mall|Offline By Aerie</t>
  </si>
  <si>
    <t>Westfarms Mall|P.F. Changs</t>
  </si>
  <si>
    <t>Westfarms Mall|Pacific Sunwear</t>
  </si>
  <si>
    <t>Westfarms Mall|Pandora</t>
  </si>
  <si>
    <t>Parade Of Novelties Sports</t>
  </si>
  <si>
    <t>Westfarms Mall|Parade Of Novelties Sports</t>
  </si>
  <si>
    <t>Perfume Gallery</t>
  </si>
  <si>
    <t>Westfarms Mall|Perfume Gallery</t>
  </si>
  <si>
    <t>Westfarms Mall|Pink</t>
  </si>
  <si>
    <t>Pizza Hut</t>
  </si>
  <si>
    <t>Westfarms Mall|Pizza Hut</t>
  </si>
  <si>
    <t>Westfarms Mall|Pottery Barn</t>
  </si>
  <si>
    <t>Westfarms Mall|Pretzelmaker</t>
  </si>
  <si>
    <t>Westfarms Mall|Regal Cinemas</t>
  </si>
  <si>
    <t>Saleh Jewelers</t>
  </si>
  <si>
    <t>Westfarms Mall|Saleh Jewelers</t>
  </si>
  <si>
    <t>Westfarms Mall|Santander Bank</t>
  </si>
  <si>
    <t>Westfarms Mall|Sbarro The Italian Eatery</t>
  </si>
  <si>
    <t>Westfarms Mall|Sephora</t>
  </si>
  <si>
    <t>Westfarms Mall|Showcase</t>
  </si>
  <si>
    <t>Westfarms Mall|Starbucks Coffee</t>
  </si>
  <si>
    <t>Westfarms Mall|Subway</t>
  </si>
  <si>
    <t>Westfarms Mall|Sunglass Hut</t>
  </si>
  <si>
    <t>Westfarms Mall|Surf City Squeeze</t>
  </si>
  <si>
    <t>Westfarms Mall|Swarovski</t>
  </si>
  <si>
    <t>Westfarms Mall|Taco Bell</t>
  </si>
  <si>
    <t>Westfarms Mall|Talbots</t>
  </si>
  <si>
    <t>Texas De Brazil Churrasciaria/Brazilian Steak House</t>
  </si>
  <si>
    <t>Westfarms Mall|Texas De Brazil Churrasciaria/Brazilian Steak House</t>
  </si>
  <si>
    <t>The Frenchie Company</t>
  </si>
  <si>
    <t>Westfarms Mall|The Frenchie Company</t>
  </si>
  <si>
    <t>The Green Teahouse</t>
  </si>
  <si>
    <t>Westfarms Mall|The Green Teahouse</t>
  </si>
  <si>
    <t>Westfarms Mall|The North Face</t>
  </si>
  <si>
    <t>Tiffany Co</t>
  </si>
  <si>
    <t>Westfarms Mall|Tiffany Co</t>
  </si>
  <si>
    <t>Westfarms Mall|T-Mobile</t>
  </si>
  <si>
    <t>Westfarms Mall|Tommy Bahama</t>
  </si>
  <si>
    <t>Westfarms Mall|Torrid</t>
  </si>
  <si>
    <t>Tory Burch</t>
  </si>
  <si>
    <t>Westfarms Mall|Tory Burch</t>
  </si>
  <si>
    <t>Westfarms Mall|Tumi</t>
  </si>
  <si>
    <t>Westfarms Mall|Untuckit</t>
  </si>
  <si>
    <t>Westfarms Mall|Urban Outfitters</t>
  </si>
  <si>
    <t>Westfarms Mall|Vans</t>
  </si>
  <si>
    <t>Westfarms Mall|Verizon Wireless</t>
  </si>
  <si>
    <t>Westfarms Mall|Victorias Secret</t>
  </si>
  <si>
    <t>Westfarms Mall|Vineyard Vines</t>
  </si>
  <si>
    <t>Westfarms Mall|Warby Parker</t>
  </si>
  <si>
    <t>Westfarms Mall|White House | Black Market</t>
  </si>
  <si>
    <t>Westfarms Mall|Yankee Candle</t>
  </si>
  <si>
    <t>Westfarms Mall|Zales Jewelers</t>
  </si>
  <si>
    <t>Willow Grove Park|Apple</t>
  </si>
  <si>
    <t>Macy's</t>
  </si>
  <si>
    <t>Willow Grove Park|Macy's</t>
  </si>
  <si>
    <t>Willow Grove Park|Bloomingdales</t>
  </si>
  <si>
    <t>Willow Grove Park|Cheesecake Factory</t>
  </si>
  <si>
    <t>Willow Grove Park|Sephora</t>
  </si>
  <si>
    <t>Willow Grove Park|Yard House</t>
  </si>
  <si>
    <t>Willow Grove Park|American Eagle Outfitters</t>
  </si>
  <si>
    <t>Willow Grove Park|Foot Locker</t>
  </si>
  <si>
    <t>Willow Grove Park|JD Sports</t>
  </si>
  <si>
    <t>Willow Grove Park|Victoria's Secret</t>
  </si>
  <si>
    <t>Willow Grove Park|Bath &amp; Body Works</t>
  </si>
  <si>
    <t>Chick-fil-A</t>
  </si>
  <si>
    <t>Willow Grove Park|Chick-fil-A</t>
  </si>
  <si>
    <t>Gap Factory</t>
  </si>
  <si>
    <t>Willow Grove Park|Gap Factory</t>
  </si>
  <si>
    <t>Willow Grove Park|Pandora</t>
  </si>
  <si>
    <t>Willow Grove Park|Garage</t>
  </si>
  <si>
    <t>Willow Grove Park|H&amp;M</t>
  </si>
  <si>
    <t>Willow Grove Park|Hollister</t>
  </si>
  <si>
    <t>Willow Grove Park|Kay Jewelers</t>
  </si>
  <si>
    <t>Willow Grove Park|Pacific Sunwear</t>
  </si>
  <si>
    <t>Willow Grove Park|Snipes</t>
  </si>
  <si>
    <t>Willow Grove Park|Kids Foot Locker</t>
  </si>
  <si>
    <t>Willow Grove Park|Champs Sports</t>
  </si>
  <si>
    <t>Willow Grove Park|Aeropostale</t>
  </si>
  <si>
    <t>Willow Grove Park|Express</t>
  </si>
  <si>
    <t>Willow Grove Park|Journeys</t>
  </si>
  <si>
    <t>Willow Grove Park|Build-A-Bear Workshop</t>
  </si>
  <si>
    <t>LOFT</t>
  </si>
  <si>
    <t>Willow Grove Park|LOFT</t>
  </si>
  <si>
    <t>Willow Grove Park|Windsor</t>
  </si>
  <si>
    <t>Willow Grove Park|Lush</t>
  </si>
  <si>
    <t>Willow Grove Park|The Children's Place</t>
  </si>
  <si>
    <t>Willow Grove Park|Hot Topic</t>
  </si>
  <si>
    <t>Willow Grove Park|Box Lunch</t>
  </si>
  <si>
    <t>Willow Grove Park|Zumiez</t>
  </si>
  <si>
    <t>Willow Grove Park|Miniso</t>
  </si>
  <si>
    <t>Willow Grove Park|GameStop</t>
  </si>
  <si>
    <t>Willow Grove Park|Francesca's</t>
  </si>
  <si>
    <t>Willow Grove Park|Torrid</t>
  </si>
  <si>
    <t>Willow Grove Park|Lovisa</t>
  </si>
  <si>
    <t>Willow Grove Park|Claire's</t>
  </si>
  <si>
    <t>Willow Grove Park|Lids</t>
  </si>
  <si>
    <t>Willow Grove Park|Yankee Candle</t>
  </si>
  <si>
    <t>Willow Grove Park|Zales Jewelers</t>
  </si>
  <si>
    <t>Willow Grove Park|Lucky Brand Jeans</t>
  </si>
  <si>
    <t>Tilt Studio</t>
  </si>
  <si>
    <t>Willow Grove Park|Tilt Studio</t>
  </si>
  <si>
    <t>Tenant Cross-Comparison: Sales PSF</t>
  </si>
  <si>
    <t># Props</t>
  </si>
  <si>
    <t>Clackamas Town</t>
  </si>
  <si>
    <t>Annapolis</t>
  </si>
  <si>
    <t>Annapolis Town</t>
  </si>
  <si>
    <t>Arden Fair</t>
  </si>
  <si>
    <t>Briarwood</t>
  </si>
  <si>
    <t>Bridge Street Tow.</t>
  </si>
  <si>
    <t>Bridgewater Commo.</t>
  </si>
  <si>
    <t>Capital City</t>
  </si>
  <si>
    <t>Coastal Grand</t>
  </si>
  <si>
    <t>CoolSprings Galle.</t>
  </si>
  <si>
    <t>Crabtree Valley</t>
  </si>
  <si>
    <t>Cross Creek</t>
  </si>
  <si>
    <t>Crossgates</t>
  </si>
  <si>
    <t>Fayette</t>
  </si>
  <si>
    <t>Hamilton Place</t>
  </si>
  <si>
    <t>Hanes</t>
  </si>
  <si>
    <t>Kansas City</t>
  </si>
  <si>
    <t>LaCenterra at Cin.</t>
  </si>
  <si>
    <t>Liberty</t>
  </si>
  <si>
    <t>Mall at Partridge.</t>
  </si>
  <si>
    <t>Mall at Prince Ge.</t>
  </si>
  <si>
    <t>Mall at Wellingto.</t>
  </si>
  <si>
    <t>Mayfaire Town</t>
  </si>
  <si>
    <t>Mesa</t>
  </si>
  <si>
    <t>Oak Park</t>
  </si>
  <si>
    <t>Oklahoma City</t>
  </si>
  <si>
    <t>Paddock</t>
  </si>
  <si>
    <t>Palisades</t>
  </si>
  <si>
    <t>Pearland Town</t>
  </si>
  <si>
    <t>SoNo</t>
  </si>
  <si>
    <t>SouthPark (OH)</t>
  </si>
  <si>
    <t>Southgate</t>
  </si>
  <si>
    <t>Staten Island</t>
  </si>
  <si>
    <t>Evergreen Walk</t>
  </si>
  <si>
    <t>Towson Town</t>
  </si>
  <si>
    <t>West County</t>
  </si>
  <si>
    <t>West Towne</t>
  </si>
  <si>
    <t>Westfarms</t>
  </si>
  <si>
    <t>Delta</t>
  </si>
  <si>
    <t>Of</t>
  </si>
  <si>
    <t>Include →</t>
  </si>
  <si>
    <t>Category Comparison: Weighted Sales PSF</t>
  </si>
  <si>
    <t>The Shops At Ever.</t>
  </si>
  <si>
    <t>Clackamas Town Center - Sales PSF Ranking Analysis</t>
  </si>
  <si>
    <t>Where Clackamas ranks vs. the full comparison set</t>
  </si>
  <si>
    <t>Total Tenants Ranked</t>
  </si>
  <si>
    <t>Ranked #1 (Highest Sales PSF)</t>
  </si>
  <si>
    <t>9 (12.5%)</t>
  </si>
  <si>
    <t>Ranked Top 3</t>
  </si>
  <si>
    <t>22 (30.6%)</t>
  </si>
  <si>
    <t>Ranked Top Half</t>
  </si>
  <si>
    <t>38 (52.8%)</t>
  </si>
  <si>
    <t>Ranked Last</t>
  </si>
  <si>
    <t>3 (4.2%)</t>
  </si>
  <si>
    <t>Best Property</t>
  </si>
  <si>
    <t>Best PSF</t>
  </si>
  <si>
    <t>Delta vs Best</t>
  </si>
  <si>
    <t>Apparel_PSF</t>
  </si>
  <si>
    <t>Shoes_PSF</t>
  </si>
  <si>
    <t>Jewelry_PSF</t>
  </si>
  <si>
    <t>Health &amp; Beauty_PSF</t>
  </si>
  <si>
    <t>Food &amp; Beverage_PSF</t>
  </si>
  <si>
    <t>Restaurant_PSF</t>
  </si>
  <si>
    <t>Hobby &amp; Novelty_PSF</t>
  </si>
  <si>
    <t>Service_PSF</t>
  </si>
  <si>
    <t>Tech_PSF</t>
  </si>
  <si>
    <t>Major_PSF</t>
  </si>
  <si>
    <t>Anchor_PSF</t>
  </si>
  <si>
    <t>Apple_PSF</t>
  </si>
  <si>
    <t>Apparel_OCC</t>
  </si>
  <si>
    <t>Shoes_OCC</t>
  </si>
  <si>
    <t>Jewelry_OCC</t>
  </si>
  <si>
    <t>Health &amp; Beauty_OCC</t>
  </si>
  <si>
    <t>Food &amp; Beverage_OCC</t>
  </si>
  <si>
    <t>Restaurant_OCC</t>
  </si>
  <si>
    <t>Hobby &amp; Novelty_OCC</t>
  </si>
  <si>
    <t>Service_OCC</t>
  </si>
  <si>
    <t>Tech_OCC</t>
  </si>
  <si>
    <t>Major_OCC</t>
  </si>
  <si>
    <t>Anchor_OCC</t>
  </si>
  <si>
    <t>Apple_OCC</t>
  </si>
  <si>
    <t>Apparel_SALES</t>
  </si>
  <si>
    <t>Shoes_SALES</t>
  </si>
  <si>
    <t>Jewelry_SALES</t>
  </si>
  <si>
    <t>Health &amp; Beauty_SALES</t>
  </si>
  <si>
    <t>Food &amp; Beverage_SALES</t>
  </si>
  <si>
    <t>Restaurant_SALES</t>
  </si>
  <si>
    <t>Hobby &amp; Novelty_SALES</t>
  </si>
  <si>
    <t>Service_SALES</t>
  </si>
  <si>
    <t>Tech_SALES</t>
  </si>
  <si>
    <t>Major_SALES</t>
  </si>
  <si>
    <t>Anchor_SALES</t>
  </si>
  <si>
    <t>Apple_SALES</t>
  </si>
  <si>
    <t>Apparel_SQFT</t>
  </si>
  <si>
    <t>Shoes_SQFT</t>
  </si>
  <si>
    <t>Jewelry_SQFT</t>
  </si>
  <si>
    <t>Health &amp; Beauty_SQFT</t>
  </si>
  <si>
    <t>Food &amp; Beverage_SQFT</t>
  </si>
  <si>
    <t>Restaurant_SQFT</t>
  </si>
  <si>
    <t>Hobby &amp; Novelty_SQFT</t>
  </si>
  <si>
    <t>Service_SQFT</t>
  </si>
  <si>
    <t>Tech_SQFT</t>
  </si>
  <si>
    <t>Major_SQFT</t>
  </si>
  <si>
    <t>Anchor_SQFT</t>
  </si>
  <si>
    <t>Apple_SQFT</t>
  </si>
  <si>
    <t>Enclosed</t>
  </si>
  <si>
    <t>Total_SQFT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</si>
</sst>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\$#,##0.00"/>
    <numFmt numFmtId="166" formatCode="\+0.00%;\-0.00%"/>
    <numFmt numFmtId="167" formatCode="\$#,##0;\-\$#,##0"/>
    <numFmt numFmtId="168" formatCode="\+0%;\-0%"/>
    <numFmt numFmtId="169" formatCode="0.0%"/>
    <numFmt numFmtId="170" formatCode="\+0.0%;\-0.0%"/>
  </numFmts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rgb="FF1B2A4A"/>
      <name val="Calibri"/>
      <family val="2"/>
    </font>
    <font>
      <b/>
      <sz val="11"/>
      <color rgb="FF1B2A4A"/>
      <name val="Calibri"/>
      <family val="2"/>
    </font>
    <font>
      <b/>
      <sz val="12"/>
      <color rgb="FF2D7A4A"/>
      <name val="Calibri"/>
      <family val="2"/>
    </font>
    <font>
      <b/>
      <sz val="12"/>
      <color rgb="FF2D4A7A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b/>
      <sz val="12"/>
      <color rgb="FF7A2D4A"/>
      <name val="Calibri"/>
      <family val="2"/>
    </font>
    <font>
      <b/>
      <i/>
      <sz val="9"/>
      <name val="Calibri"/>
      <family val="2"/>
    </font>
    <font>
      <b/>
      <sz val="9"/>
      <color rgb="FFFF0000"/>
      <name val="Calibri"/>
      <family val="2"/>
    </font>
    <font>
      <sz val="9"/>
      <color rgb="FF666666"/>
      <name val="Calibri"/>
      <family val="2"/>
    </font>
    <font>
      <sz val="11"/>
      <name val="Calibri"/>
      <family val="2"/>
    </font>
    <font>
      <sz val="9"/>
      <name val="Calibri"/>
      <family val="2"/>
    </font>
    <font>
      <b/>
      <sz val="16"/>
      <color rgb="FF1B2A4A"/>
      <name val="Calibri"/>
      <family val="2"/>
    </font>
    <font>
      <b/>
      <sz val="13"/>
      <color rgb="FF1B2A4A"/>
      <name val="Calibri"/>
      <family val="2"/>
    </font>
    <font>
      <b/>
      <sz val="10"/>
      <color rgb="FF555555"/>
      <name val="Calibri"/>
      <family val="2"/>
    </font>
    <font>
      <b/>
      <sz val="10"/>
      <color rgb="FFFF4444"/>
      <name val="Calibri"/>
      <family val="2"/>
    </font>
    <font>
      <b/>
      <sz val="11"/>
      <color rgb="FF2D4A7A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E8F0FE"/>
        <bgColor rgb="FFE8F0FE"/>
      </patternFill>
    </fill>
    <fill>
      <patternFill patternType="solid">
        <fgColor rgb="FF2D4A7A"/>
        <bgColor rgb="FF2D4A7A"/>
      </patternFill>
    </fill>
    <fill>
      <patternFill patternType="solid">
        <fgColor rgb="FF3D6098"/>
        <bgColor rgb="FF3D6098"/>
      </patternFill>
    </fill>
    <fill>
      <patternFill patternType="solid">
        <fgColor rgb="FF8B6914"/>
        <bgColor rgb="FF8B6914"/>
      </patternFill>
    </fill>
    <fill>
      <patternFill patternType="solid">
        <fgColor rgb="FFFFF3CD"/>
        <bgColor rgb="FFFFF3C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90">
    <xf numFmtId="0" fontId="0" fillId="0" borderId="0" xfId="0"/>
    <xf numFmtId="0" fontId="17" fillId="0" borderId="0" xfId="0" applyFont="1"/>
    <xf numFmtId="0" fontId="18" fillId="0" borderId="0" xfId="0" applyFont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10" fontId="5" fillId="0" borderId="0" xfId="0" applyNumberFormat="1" applyFont="1"/>
    <xf numFmtId="166" fontId="5" fillId="0" borderId="0" xfId="0" applyNumberFormat="1" applyFont="1"/>
    <xf numFmtId="0" fontId="9" fillId="2" borderId="1" xfId="0" applyFont="1" applyFill="1" applyBorder="1" applyAlignment="1">
      <alignment horizontal="center" wrapText="1"/>
    </xf>
    <xf numFmtId="0" fontId="3" fillId="0" borderId="1" xfId="0" applyFont="1" applyBorder="1"/>
    <xf numFmtId="164" fontId="0" fillId="0" borderId="1" xfId="0" applyNumberFormat="1" applyBorder="1"/>
    <xf numFmtId="10" fontId="0" fillId="0" borderId="1" xfId="0" applyNumberFormat="1" applyBorder="1"/>
    <xf numFmtId="3" fontId="0" fillId="0" borderId="1" xfId="0" applyNumberFormat="1" applyBorder="1"/>
    <xf numFmtId="0" fontId="0" fillId="0" borderId="1" xfId="0" applyBorder="1"/>
    <xf numFmtId="0" fontId="2" fillId="3" borderId="1" xfId="0" applyFont="1" applyFill="1" applyBorder="1"/>
    <xf numFmtId="164" fontId="0" fillId="3" borderId="1" xfId="0" applyNumberFormat="1" applyFill="1" applyBorder="1"/>
    <xf numFmtId="10" fontId="0" fillId="3" borderId="1" xfId="0" applyNumberFormat="1" applyFill="1" applyBorder="1"/>
    <xf numFmtId="3" fontId="0" fillId="3" borderId="1" xfId="0" applyNumberFormat="1" applyFill="1" applyBorder="1"/>
    <xf numFmtId="0" fontId="0" fillId="3" borderId="1" xfId="0" applyFill="1" applyBorder="1"/>
    <xf numFmtId="0" fontId="19" fillId="3" borderId="1" xfId="0" applyFont="1" applyFill="1" applyBorder="1"/>
    <xf numFmtId="0" fontId="2" fillId="7" borderId="1" xfId="0" applyFont="1" applyFill="1" applyBorder="1"/>
    <xf numFmtId="164" fontId="0" fillId="7" borderId="1" xfId="0" applyNumberFormat="1" applyFill="1" applyBorder="1"/>
    <xf numFmtId="10" fontId="0" fillId="7" borderId="1" xfId="0" applyNumberFormat="1" applyFill="1" applyBorder="1"/>
    <xf numFmtId="0" fontId="9" fillId="2" borderId="1" xfId="0" applyFont="1" applyFill="1" applyBorder="1" applyAlignment="1">
      <alignment horizontal="center"/>
    </xf>
    <xf numFmtId="0" fontId="2" fillId="0" borderId="1" xfId="0" applyFont="1" applyBorder="1"/>
    <xf numFmtId="167" fontId="0" fillId="0" borderId="1" xfId="0" applyNumberFormat="1" applyBorder="1"/>
    <xf numFmtId="168" fontId="0" fillId="0" borderId="1" xfId="0" applyNumberFormat="1" applyBorder="1"/>
    <xf numFmtId="169" fontId="0" fillId="3" borderId="1" xfId="0" applyNumberFormat="1" applyFill="1" applyBorder="1"/>
    <xf numFmtId="169" fontId="0" fillId="0" borderId="1" xfId="0" applyNumberFormat="1" applyBorder="1"/>
    <xf numFmtId="170" fontId="0" fillId="0" borderId="1" xfId="0" applyNumberFormat="1" applyBorder="1"/>
    <xf numFmtId="166" fontId="0" fillId="0" borderId="1" xfId="0" applyNumberFormat="1" applyBorder="1"/>
    <xf numFmtId="0" fontId="13" fillId="0" borderId="0" xfId="0" applyFont="1"/>
    <xf numFmtId="0" fontId="20" fillId="0" borderId="0" xfId="0" applyFont="1"/>
    <xf numFmtId="0" fontId="1" fillId="2" borderId="1" xfId="0" applyFont="1" applyFill="1" applyBorder="1" applyAlignment="1">
      <alignment horizontal="center" wrapText="1"/>
    </xf>
    <xf numFmtId="3" fontId="2" fillId="3" borderId="1" xfId="0" applyNumberFormat="1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0" fontId="2" fillId="3" borderId="1" xfId="0" applyNumberFormat="1" applyFont="1" applyFill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0" fontId="3" fillId="0" borderId="1" xfId="0" applyNumberFormat="1" applyFont="1" applyBorder="1"/>
    <xf numFmtId="0" fontId="6" fillId="0" borderId="0" xfId="0" applyFont="1"/>
    <xf numFmtId="0" fontId="8" fillId="0" borderId="0" xfId="0" applyFont="1"/>
    <xf numFmtId="0" fontId="7" fillId="0" borderId="0" xfId="0" applyFont="1"/>
    <xf numFmtId="165" fontId="0" fillId="3" borderId="1" xfId="0" applyNumberFormat="1" applyFill="1" applyBorder="1"/>
    <xf numFmtId="165" fontId="0" fillId="0" borderId="1" xfId="0" applyNumberFormat="1" applyBorder="1"/>
    <xf numFmtId="0" fontId="9" fillId="4" borderId="1" xfId="0" applyFont="1" applyFill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0" fillId="0" borderId="0" xfId="0" applyFont="1"/>
    <xf numFmtId="0" fontId="3" fillId="3" borderId="1" xfId="0" applyFont="1" applyFill="1" applyBorder="1"/>
    <xf numFmtId="3" fontId="3" fillId="3" borderId="1" xfId="0" applyNumberFormat="1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10" fontId="3" fillId="3" borderId="1" xfId="0" applyNumberFormat="1" applyFont="1" applyFill="1" applyBorder="1"/>
    <xf numFmtId="0" fontId="9" fillId="2" borderId="0" xfId="0" applyFont="1" applyFill="1"/>
    <xf numFmtId="0" fontId="9" fillId="5" borderId="1" xfId="0" applyFont="1" applyFill="1" applyBorder="1" applyAlignment="1">
      <alignment horizontal="center" textRotation="60" wrapText="1"/>
    </xf>
    <xf numFmtId="0" fontId="9" fillId="2" borderId="1" xfId="0" applyFont="1" applyFill="1" applyBorder="1" applyAlignment="1">
      <alignment horizontal="center" textRotation="60" wrapText="1"/>
    </xf>
    <xf numFmtId="0" fontId="9" fillId="6" borderId="1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3" fillId="0" borderId="0" xfId="0" applyFont="1"/>
    <xf numFmtId="164" fontId="2" fillId="3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7" borderId="1" xfId="0" applyNumberFormat="1" applyFont="1" applyFill="1" applyBorder="1"/>
    <xf numFmtId="0" fontId="9" fillId="6" borderId="0" xfId="0" applyFont="1" applyFill="1"/>
    <xf numFmtId="0" fontId="3" fillId="0" borderId="1" xfId="0" applyFont="1" applyBorder="1" applyAlignment="1">
      <alignment horizontal="center"/>
    </xf>
    <xf numFmtId="0" fontId="14" fillId="0" borderId="0" xfId="0" applyFont="1"/>
    <xf numFmtId="0" fontId="14" fillId="8" borderId="0" xfId="0" applyFont="1" applyFill="1"/>
    <xf numFmtId="0" fontId="3" fillId="8" borderId="1" xfId="0" applyFont="1" applyFill="1" applyBorder="1"/>
    <xf numFmtId="0" fontId="13" fillId="8" borderId="1" xfId="0" applyFont="1" applyFill="1" applyBorder="1"/>
    <xf numFmtId="164" fontId="0" fillId="8" borderId="1" xfId="0" applyNumberFormat="1" applyFill="1" applyBorder="1"/>
    <xf numFmtId="0" fontId="0" fillId="8" borderId="1" xfId="0" applyFill="1" applyBorder="1"/>
    <xf numFmtId="0" fontId="15" fillId="8" borderId="1" xfId="0" applyFont="1" applyFill="1" applyBorder="1"/>
    <xf numFmtId="0" fontId="13" fillId="0" borderId="1" xfId="0" applyFont="1" applyBorder="1"/>
    <xf numFmtId="0" fontId="15" fillId="0" borderId="1" xfId="0" applyFont="1" applyBorder="1"/>
    <xf numFmtId="0" fontId="3" fillId="9" borderId="1" xfId="0" applyFont="1" applyFill="1" applyBorder="1"/>
    <xf numFmtId="0" fontId="13" fillId="9" borderId="1" xfId="0" applyFont="1" applyFill="1" applyBorder="1"/>
    <xf numFmtId="164" fontId="0" fillId="9" borderId="1" xfId="0" applyNumberFormat="1" applyFill="1" applyBorder="1"/>
    <xf numFmtId="0" fontId="0" fillId="9" borderId="1" xfId="0" applyFill="1" applyBorder="1"/>
    <xf numFmtId="0" fontId="15" fillId="9" borderId="1" xfId="0" applyFont="1" applyFill="1" applyBorder="1"/>
    <xf numFmtId="0" fontId="7" fillId="0" borderId="0" xfId="0" applyFont="1"/>
    <xf numFmtId="0" fontId="0" fillId="0" borderId="0" xfId="0"/>
    <xf numFmtId="0" fontId="4" fillId="0" borderId="0" xfId="0" applyFont="1"/>
    <xf numFmtId="0" fontId="13" fillId="0" borderId="0" xfId="0" applyFont="1"/>
    <xf numFmtId="0" fontId="17" fillId="0" borderId="0" xfId="0" applyFont="1"/>
    <xf numFmtId="0" fontId="13" fillId="0" borderId="0" xfId="0" applyFont="1" applyAlignment="1">
      <alignment wrapText="1"/>
    </xf>
    <xf numFmtId="0" fontId="16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3:L140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109" sqref="D109"/>
    </sheetView>
  </sheetViews>
  <sheetFormatPr baseColWidth="10" defaultColWidth="8.83203125" defaultRowHeight="15" x14ac:dyDescent="0.2"/>
  <cols>
    <col min="1" max="1" width="2" customWidth="1"/>
    <col min="2" max="13" width="16" customWidth="1"/>
  </cols>
  <sheetData>
    <row r="3" spans="2:12" ht="21" x14ac:dyDescent="0.25">
      <c r="B3" s="88" t="s">
        <v>0</v>
      </c>
      <c r="C3" s="83"/>
      <c r="D3" s="83"/>
      <c r="E3" s="83"/>
      <c r="F3" s="83"/>
      <c r="G3" s="83"/>
      <c r="H3" s="83"/>
      <c r="I3" s="83"/>
      <c r="J3" s="83"/>
      <c r="K3" s="83"/>
      <c r="L3" s="83"/>
    </row>
    <row r="5" spans="2:12" ht="17" x14ac:dyDescent="0.2">
      <c r="B5" s="1" t="s">
        <v>1</v>
      </c>
    </row>
    <row r="6" spans="2:12" x14ac:dyDescent="0.2">
      <c r="B6" s="2" t="s">
        <v>2</v>
      </c>
      <c r="C6" s="3" t="str">
        <f>'Property Summary'!D2</f>
        <v>6/2024-5/2025</v>
      </c>
      <c r="E6" s="2" t="s">
        <v>3</v>
      </c>
      <c r="F6" s="4">
        <f>'Property Summary'!E2</f>
        <v>9376877</v>
      </c>
      <c r="H6" s="2" t="s">
        <v>4</v>
      </c>
      <c r="I6" s="4">
        <f>'Property Summary'!F2</f>
        <v>812175</v>
      </c>
    </row>
    <row r="7" spans="2:12" x14ac:dyDescent="0.2">
      <c r="B7" s="2" t="s">
        <v>5</v>
      </c>
      <c r="C7" s="5">
        <f>'Property Summary'!I2</f>
        <v>615.08830044041497</v>
      </c>
      <c r="E7" s="2" t="s">
        <v>6</v>
      </c>
      <c r="F7" s="5">
        <f>'Property Summary'!G2</f>
        <v>110808.28</v>
      </c>
      <c r="H7" s="2" t="s">
        <v>7</v>
      </c>
      <c r="I7" s="5">
        <f>'Property Summary'!J2</f>
        <v>83.116845684198481</v>
      </c>
    </row>
    <row r="8" spans="2:12" x14ac:dyDescent="0.2">
      <c r="B8" s="2" t="s">
        <v>8</v>
      </c>
      <c r="C8" s="6">
        <f>'Property Summary'!K2</f>
        <v>0.16065159079807481</v>
      </c>
      <c r="E8" s="2" t="s">
        <v>9</v>
      </c>
      <c r="F8" s="6">
        <f>AVERAGEIFS('Property Summary'!K$2:K$49,'Property Summary'!B$2:B$49,"Y",'Property Summary'!K$2:K$49,"&lt;&gt;")</f>
        <v>0.14227870914150934</v>
      </c>
      <c r="H8" s="2" t="s">
        <v>10</v>
      </c>
      <c r="I8" s="7">
        <f>'Property Summary'!K2-AVERAGEIFS('Property Summary'!K$2:K$49,'Property Summary'!B$2:B$49,"Y",'Property Summary'!K$2:K$49,"&lt;&gt;")</f>
        <v>1.8372881656565476E-2</v>
      </c>
    </row>
    <row r="10" spans="2:12" ht="17" x14ac:dyDescent="0.2">
      <c r="B10" s="1" t="s">
        <v>11</v>
      </c>
    </row>
    <row r="11" spans="2:12" x14ac:dyDescent="0.2">
      <c r="B11" s="87" t="s">
        <v>12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</row>
    <row r="13" spans="2:12" ht="17" x14ac:dyDescent="0.2">
      <c r="B13" s="86" t="s">
        <v>13</v>
      </c>
      <c r="C13" s="83"/>
      <c r="D13" s="83"/>
      <c r="E13" s="83"/>
      <c r="F13" s="83"/>
      <c r="G13" s="83"/>
      <c r="H13" s="83"/>
    </row>
    <row r="14" spans="2:12" x14ac:dyDescent="0.2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</row>
    <row r="15" spans="2:12" x14ac:dyDescent="0.2">
      <c r="B15" s="9" t="s">
        <v>20</v>
      </c>
      <c r="C15" s="10">
        <f>IF('Property Summary'!B32="Y",'Property Summary'!I32,"")</f>
        <v>725.68630437689137</v>
      </c>
      <c r="D15" s="11">
        <f>IF('Property Summary'!B32="Y",'Property Summary'!K32,"")</f>
        <v>0.1021261129238714</v>
      </c>
      <c r="E15" s="12">
        <f>IF('Property Summary'!B32="Y",'Property Summary'!E32,"")</f>
        <v>6191968</v>
      </c>
      <c r="F15" s="10">
        <f>IF('Property Summary'!B32="Y",'Property Summary'!G32,"")</f>
        <v>304463.27</v>
      </c>
      <c r="G15" s="13">
        <f>IF('Property Summary'!B32="Y",'Property Summary'!L32,"")</f>
        <v>74</v>
      </c>
      <c r="H15" s="13"/>
    </row>
    <row r="16" spans="2:12" x14ac:dyDescent="0.2">
      <c r="B16" s="9" t="s">
        <v>21</v>
      </c>
      <c r="C16" s="10">
        <f>IF('Property Summary'!B6="Y",'Property Summary'!I6,"")</f>
        <v>374.60867697293151</v>
      </c>
      <c r="D16" s="11">
        <f>IF('Property Summary'!B6="Y",'Property Summary'!K6,"")</f>
        <v>0.10331773297790357</v>
      </c>
      <c r="E16" s="12">
        <f>IF('Property Summary'!B6="Y",'Property Summary'!E6,"")</f>
        <v>7490755</v>
      </c>
      <c r="F16" s="10">
        <f>IF('Property Summary'!B6="Y",'Property Summary'!G6,"")</f>
        <v>116194.71</v>
      </c>
      <c r="G16" s="13">
        <f>IF('Property Summary'!B6="Y",'Property Summary'!L6,"")</f>
        <v>42</v>
      </c>
      <c r="H16" s="13"/>
    </row>
    <row r="17" spans="2:8" x14ac:dyDescent="0.2">
      <c r="B17" s="9" t="s">
        <v>22</v>
      </c>
      <c r="C17" s="10">
        <f>IF('Property Summary'!B23="Y",'Property Summary'!I23,"")</f>
        <v>706.70924806283438</v>
      </c>
      <c r="D17" s="11">
        <f>IF('Property Summary'!B23="Y",'Property Summary'!K23,"")</f>
        <v>0.10727302824980113</v>
      </c>
      <c r="E17" s="12">
        <f>IF('Property Summary'!B23="Y",'Property Summary'!E23,"")</f>
        <v>5076169</v>
      </c>
      <c r="F17" s="10">
        <f>IF('Property Summary'!B23="Y",'Property Summary'!G23,"")</f>
        <v>144646.46</v>
      </c>
      <c r="G17" s="13">
        <f>IF('Property Summary'!B23="Y",'Property Summary'!L23,"")</f>
        <v>86</v>
      </c>
      <c r="H17" s="13"/>
    </row>
    <row r="18" spans="2:8" x14ac:dyDescent="0.2">
      <c r="B18" s="9" t="s">
        <v>23</v>
      </c>
      <c r="C18" s="10">
        <f>IF('Property Summary'!B9="Y",'Property Summary'!I9,"")</f>
        <v>606.27829917027498</v>
      </c>
      <c r="D18" s="11">
        <f>IF('Property Summary'!B9="Y",'Property Summary'!K9,"")</f>
        <v>0.11001160207041293</v>
      </c>
      <c r="E18" s="12">
        <f>IF('Property Summary'!B9="Y",'Property Summary'!E9,"")</f>
        <v>6217908</v>
      </c>
      <c r="F18" s="10">
        <f>IF('Property Summary'!B9="Y",'Property Summary'!G9,"")</f>
        <v>109737.91</v>
      </c>
      <c r="G18" s="13">
        <f>IF('Property Summary'!B9="Y",'Property Summary'!L9,"")</f>
        <v>70</v>
      </c>
      <c r="H18" s="13"/>
    </row>
    <row r="19" spans="2:8" x14ac:dyDescent="0.2">
      <c r="B19" s="9" t="s">
        <v>24</v>
      </c>
      <c r="C19" s="10">
        <f>IF('Property Summary'!B29="Y",'Property Summary'!I29,"")</f>
        <v>484.02414578963732</v>
      </c>
      <c r="D19" s="11">
        <f>IF('Property Summary'!B29="Y",'Property Summary'!K29,"")</f>
        <v>0.11495173200798194</v>
      </c>
      <c r="E19" s="12">
        <f>IF('Property Summary'!B29="Y",'Property Summary'!E29,"")</f>
        <v>6047693</v>
      </c>
      <c r="F19" s="10">
        <f>IF('Property Summary'!B29="Y",'Property Summary'!G29,"")</f>
        <v>116236.91</v>
      </c>
      <c r="G19" s="13">
        <f>IF('Property Summary'!B29="Y",'Property Summary'!L29,"")</f>
        <v>73</v>
      </c>
      <c r="H19" s="13"/>
    </row>
    <row r="20" spans="2:8" x14ac:dyDescent="0.2">
      <c r="B20" s="9" t="s">
        <v>25</v>
      </c>
      <c r="C20" s="10">
        <f>IF('Property Summary'!B27="Y",'Property Summary'!I27,"")</f>
        <v>496.34617721186532</v>
      </c>
      <c r="D20" s="11">
        <f>IF('Property Summary'!B27="Y",'Property Summary'!K27,"")</f>
        <v>0.11613296567394504</v>
      </c>
      <c r="E20" s="12">
        <f>IF('Property Summary'!B27="Y",'Property Summary'!E27,"")</f>
        <v>5009861</v>
      </c>
      <c r="F20" s="10">
        <f>IF('Property Summary'!B27="Y",'Property Summary'!G27,"")</f>
        <v>100971.33</v>
      </c>
      <c r="G20" s="13">
        <f>IF('Property Summary'!B27="Y",'Property Summary'!L27,"")</f>
        <v>83</v>
      </c>
      <c r="H20" s="13"/>
    </row>
    <row r="21" spans="2:8" x14ac:dyDescent="0.2">
      <c r="B21" s="9" t="s">
        <v>26</v>
      </c>
      <c r="C21" s="10">
        <f>IF('Property Summary'!B25="Y",'Property Summary'!I25,"")</f>
        <v>396.72978477162457</v>
      </c>
      <c r="D21" s="11">
        <f>IF('Property Summary'!B25="Y",'Property Summary'!K25,"")</f>
        <v>0.11859121264046797</v>
      </c>
      <c r="E21" s="12">
        <f>IF('Property Summary'!B25="Y",'Property Summary'!E25,"")</f>
        <v>4184715</v>
      </c>
      <c r="F21" s="10">
        <f>IF('Property Summary'!B25="Y",'Property Summary'!G25,"")</f>
        <v>98824.38</v>
      </c>
      <c r="G21" s="13">
        <f>IF('Property Summary'!B25="Y",'Property Summary'!L25,"")</f>
        <v>61</v>
      </c>
      <c r="H21" s="13"/>
    </row>
    <row r="22" spans="2:8" x14ac:dyDescent="0.2">
      <c r="B22" s="9" t="s">
        <v>27</v>
      </c>
      <c r="C22" s="10">
        <f>IF('Property Summary'!B30="Y",'Property Summary'!I30,"")</f>
        <v>384.09084481720777</v>
      </c>
      <c r="D22" s="11">
        <f>IF('Property Summary'!B30="Y",'Property Summary'!K30,"")</f>
        <v>0.118889428595514</v>
      </c>
      <c r="E22" s="12">
        <f>IF('Property Summary'!B30="Y",'Property Summary'!E30,"")</f>
        <v>7396278</v>
      </c>
      <c r="F22" s="10">
        <f>IF('Property Summary'!B30="Y",'Property Summary'!G30,"")</f>
        <v>86600.37</v>
      </c>
      <c r="G22" s="13">
        <f>IF('Property Summary'!B30="Y",'Property Summary'!L30,"")</f>
        <v>68</v>
      </c>
      <c r="H22" s="13"/>
    </row>
    <row r="23" spans="2:8" x14ac:dyDescent="0.2">
      <c r="B23" s="9" t="s">
        <v>28</v>
      </c>
      <c r="C23" s="10">
        <f>IF('Property Summary'!B20="Y",'Property Summary'!I20,"")</f>
        <v>489.11863235650827</v>
      </c>
      <c r="D23" s="11">
        <f>IF('Property Summary'!B20="Y",'Property Summary'!K20,"")</f>
        <v>0.12103795802081097</v>
      </c>
      <c r="E23" s="12">
        <f>IF('Property Summary'!B20="Y",'Property Summary'!E20,"")</f>
        <v>7021524</v>
      </c>
      <c r="F23" s="10">
        <f>IF('Property Summary'!B20="Y",'Property Summary'!G20,"")</f>
        <v>99241.52</v>
      </c>
      <c r="G23" s="13">
        <f>IF('Property Summary'!B20="Y",'Property Summary'!L20,"")</f>
        <v>99</v>
      </c>
      <c r="H23" s="13"/>
    </row>
    <row r="24" spans="2:8" x14ac:dyDescent="0.2">
      <c r="B24" s="9" t="s">
        <v>29</v>
      </c>
      <c r="C24" s="10">
        <f>IF('Property Summary'!B49="Y",'Property Summary'!I49,"")</f>
        <v>557.27660768367491</v>
      </c>
      <c r="D24" s="11">
        <f>IF('Property Summary'!B49="Y",'Property Summary'!K49,"")</f>
        <v>0.12179286503665715</v>
      </c>
      <c r="E24" s="12">
        <f>IF('Property Summary'!B49="Y",'Property Summary'!E49,"")</f>
        <v>5160995</v>
      </c>
      <c r="F24" s="10">
        <f>IF('Property Summary'!B49="Y",'Property Summary'!G49,"")</f>
        <v>105000</v>
      </c>
      <c r="G24" s="13">
        <f>IF('Property Summary'!B49="Y",'Property Summary'!L49,"")</f>
        <v>37</v>
      </c>
      <c r="H24" s="13"/>
    </row>
    <row r="25" spans="2:8" x14ac:dyDescent="0.2">
      <c r="B25" s="9" t="s">
        <v>30</v>
      </c>
      <c r="C25" s="10">
        <f>IF('Property Summary'!B37="Y",'Property Summary'!I37,"")</f>
        <v>1042.2429478304373</v>
      </c>
      <c r="D25" s="11">
        <f>IF('Property Summary'!B37="Y",'Property Summary'!K37,"")</f>
        <v>0.12206689634535717</v>
      </c>
      <c r="E25" s="12">
        <f>IF('Property Summary'!B37="Y",'Property Summary'!E37,"")</f>
        <v>4531037</v>
      </c>
      <c r="F25" s="10">
        <f>IF('Property Summary'!B37="Y",'Property Summary'!G37,"")</f>
        <v>137148.56</v>
      </c>
      <c r="G25" s="13">
        <f>IF('Property Summary'!B37="Y",'Property Summary'!L37,"")</f>
        <v>95</v>
      </c>
      <c r="H25" s="13"/>
    </row>
    <row r="26" spans="2:8" x14ac:dyDescent="0.2">
      <c r="B26" s="9" t="s">
        <v>31</v>
      </c>
      <c r="C26" s="10">
        <f>IF('Property Summary'!B47="Y",'Property Summary'!I47,"")</f>
        <v>404.91999094447908</v>
      </c>
      <c r="D26" s="11">
        <f>IF('Property Summary'!B47="Y",'Property Summary'!K47,"")</f>
        <v>0.12263295364262812</v>
      </c>
      <c r="E26" s="12">
        <f>IF('Property Summary'!B47="Y",'Property Summary'!E47,"")</f>
        <v>7476751</v>
      </c>
      <c r="F26" s="10">
        <f>IF('Property Summary'!B47="Y",'Property Summary'!G47,"")</f>
        <v>113018.03</v>
      </c>
      <c r="G26" s="13">
        <f>IF('Property Summary'!B47="Y",'Property Summary'!L47,"")</f>
        <v>76</v>
      </c>
      <c r="H26" s="13"/>
    </row>
    <row r="27" spans="2:8" x14ac:dyDescent="0.2">
      <c r="B27" s="9" t="s">
        <v>32</v>
      </c>
      <c r="C27" s="10">
        <f>IF('Property Summary'!B7="Y",'Property Summary'!I7,"")</f>
        <v>655.83464678046016</v>
      </c>
      <c r="D27" s="11">
        <f>IF('Property Summary'!B7="Y",'Property Summary'!K7,"")</f>
        <v>0.12516513252758626</v>
      </c>
      <c r="E27" s="12">
        <f>IF('Property Summary'!B7="Y",'Property Summary'!E7,"")</f>
        <v>6850096</v>
      </c>
      <c r="F27" s="10">
        <f>IF('Property Summary'!B7="Y",'Property Summary'!G7,"")</f>
        <v>93025.38</v>
      </c>
      <c r="G27" s="13">
        <f>IF('Property Summary'!B7="Y",'Property Summary'!L7,"")</f>
        <v>101</v>
      </c>
      <c r="H27" s="13"/>
    </row>
    <row r="28" spans="2:8" x14ac:dyDescent="0.2">
      <c r="B28" s="9" t="s">
        <v>33</v>
      </c>
      <c r="C28" s="10">
        <f>IF('Property Summary'!B35="Y",'Property Summary'!I35,"")</f>
        <v>383.83985614866219</v>
      </c>
      <c r="D28" s="11">
        <f>IF('Property Summary'!B35="Y",'Property Summary'!K35,"")</f>
        <v>0.12524162019902163</v>
      </c>
      <c r="E28" s="12">
        <f>IF('Property Summary'!B35="Y",'Property Summary'!E35,"")</f>
        <v>6077754</v>
      </c>
      <c r="F28" s="10">
        <f>IF('Property Summary'!B35="Y",'Property Summary'!G35,"")</f>
        <v>126295.43</v>
      </c>
      <c r="G28" s="13">
        <f>IF('Property Summary'!B35="Y",'Property Summary'!L35,"")</f>
        <v>91</v>
      </c>
      <c r="H28" s="13"/>
    </row>
    <row r="29" spans="2:8" x14ac:dyDescent="0.2">
      <c r="B29" s="9" t="s">
        <v>34</v>
      </c>
      <c r="C29" s="10">
        <f>IF('Property Summary'!B39="Y",'Property Summary'!I39,"")</f>
        <v>399.91307457192141</v>
      </c>
      <c r="D29" s="11">
        <f>IF('Property Summary'!B39="Y",'Property Summary'!K39,"")</f>
        <v>0.12530479356475871</v>
      </c>
      <c r="E29" s="12">
        <f>IF('Property Summary'!B39="Y",'Property Summary'!E39,"")</f>
        <v>7531055</v>
      </c>
      <c r="F29" s="10">
        <f>IF('Property Summary'!B39="Y",'Property Summary'!G39,"")</f>
        <v>88347.35</v>
      </c>
      <c r="G29" s="13">
        <f>IF('Property Summary'!B39="Y",'Property Summary'!L39,"")</f>
        <v>95</v>
      </c>
      <c r="H29" s="13"/>
    </row>
    <row r="30" spans="2:8" x14ac:dyDescent="0.2">
      <c r="B30" s="9" t="s">
        <v>35</v>
      </c>
      <c r="C30" s="10">
        <f>IF('Property Summary'!B16="Y",'Property Summary'!I16,"")</f>
        <v>503.30300063346272</v>
      </c>
      <c r="D30" s="11">
        <f>IF('Property Summary'!B16="Y",'Property Summary'!K16,"")</f>
        <v>0.12642244403418179</v>
      </c>
      <c r="E30" s="12">
        <f>IF('Property Summary'!B16="Y",'Property Summary'!E16,"")</f>
        <v>8839014</v>
      </c>
      <c r="F30" s="10">
        <f>IF('Property Summary'!B16="Y",'Property Summary'!G16,"")</f>
        <v>100046.57</v>
      </c>
      <c r="G30" s="13">
        <f>IF('Property Summary'!B16="Y",'Property Summary'!L16,"")</f>
        <v>75</v>
      </c>
      <c r="H30" s="13"/>
    </row>
    <row r="31" spans="2:8" x14ac:dyDescent="0.2">
      <c r="B31" s="9" t="s">
        <v>36</v>
      </c>
      <c r="C31" s="10">
        <f>IF('Property Summary'!B31="Y",'Property Summary'!I31,"")</f>
        <v>561.77993191891369</v>
      </c>
      <c r="D31" s="11">
        <f>IF('Property Summary'!B31="Y",'Property Summary'!K31,"")</f>
        <v>0.12687736922061446</v>
      </c>
      <c r="E31" s="12">
        <f>IF('Property Summary'!B31="Y",'Property Summary'!E31,"")</f>
        <v>9415595</v>
      </c>
      <c r="F31" s="10">
        <f>IF('Property Summary'!B31="Y",'Property Summary'!G31,"")</f>
        <v>111468.63</v>
      </c>
      <c r="G31" s="13">
        <f>IF('Property Summary'!B31="Y",'Property Summary'!L31,"")</f>
        <v>107</v>
      </c>
      <c r="H31" s="13"/>
    </row>
    <row r="32" spans="2:8" x14ac:dyDescent="0.2">
      <c r="B32" s="9" t="s">
        <v>37</v>
      </c>
      <c r="C32" s="10">
        <f>IF('Property Summary'!B24="Y",'Property Summary'!I24,"")</f>
        <v>430.29769881410397</v>
      </c>
      <c r="D32" s="11">
        <f>IF('Property Summary'!B24="Y",'Property Summary'!K24,"")</f>
        <v>0.12919602036161859</v>
      </c>
      <c r="E32" s="12">
        <f>IF('Property Summary'!B24="Y",'Property Summary'!E24,"")</f>
        <v>6380250</v>
      </c>
      <c r="F32" s="10">
        <f>IF('Property Summary'!B24="Y",'Property Summary'!G24,"")</f>
        <v>107163.69</v>
      </c>
      <c r="G32" s="13">
        <f>IF('Property Summary'!B24="Y",'Property Summary'!L24,"")</f>
        <v>71</v>
      </c>
      <c r="H32" s="13"/>
    </row>
    <row r="33" spans="2:8" x14ac:dyDescent="0.2">
      <c r="B33" s="9" t="s">
        <v>38</v>
      </c>
      <c r="C33" s="10">
        <f>IF('Property Summary'!B46="Y",'Property Summary'!I46,"")</f>
        <v>683.6809511639284</v>
      </c>
      <c r="D33" s="11">
        <f>IF('Property Summary'!B46="Y",'Property Summary'!K46,"")</f>
        <v>0.13019321411712825</v>
      </c>
      <c r="E33" s="12">
        <f>IF('Property Summary'!B46="Y",'Property Summary'!E46,"")</f>
        <v>7072500</v>
      </c>
      <c r="F33" s="10">
        <f>IF('Property Summary'!B46="Y",'Property Summary'!G46,"")</f>
        <v>120521</v>
      </c>
      <c r="G33" s="13">
        <f>IF('Property Summary'!B46="Y",'Property Summary'!L46,"")</f>
        <v>95</v>
      </c>
      <c r="H33" s="13"/>
    </row>
    <row r="34" spans="2:8" x14ac:dyDescent="0.2">
      <c r="B34" s="9" t="s">
        <v>39</v>
      </c>
      <c r="C34" s="10">
        <f>IF('Property Summary'!B42="Y",'Property Summary'!I42,"")</f>
        <v>510.44744572399469</v>
      </c>
      <c r="D34" s="11">
        <f>IF('Property Summary'!B42="Y",'Property Summary'!K42,"")</f>
        <v>0.13142369023749026</v>
      </c>
      <c r="E34" s="12">
        <f>IF('Property Summary'!B42="Y",'Property Summary'!E42,"")</f>
        <v>3661226</v>
      </c>
      <c r="F34" s="10">
        <f>IF('Property Summary'!B42="Y",'Property Summary'!G42,"")</f>
        <v>103025.54</v>
      </c>
      <c r="G34" s="13">
        <f>IF('Property Summary'!B42="Y",'Property Summary'!L42,"")</f>
        <v>42</v>
      </c>
      <c r="H34" s="13"/>
    </row>
    <row r="35" spans="2:8" x14ac:dyDescent="0.2">
      <c r="B35" s="9" t="s">
        <v>40</v>
      </c>
      <c r="C35" s="10">
        <f>IF('Property Summary'!B21="Y",'Property Summary'!I21,"")</f>
        <v>405.40897826152678</v>
      </c>
      <c r="D35" s="11">
        <f>IF('Property Summary'!B21="Y",'Property Summary'!K21,"")</f>
        <v>0.13245697090618741</v>
      </c>
      <c r="E35" s="12">
        <f>IF('Property Summary'!B21="Y",'Property Summary'!E21,"")</f>
        <v>8597850</v>
      </c>
      <c r="F35" s="10">
        <f>IF('Property Summary'!B21="Y",'Property Summary'!G21,"")</f>
        <v>86092.68</v>
      </c>
      <c r="G35" s="13">
        <f>IF('Property Summary'!B21="Y",'Property Summary'!L21,"")</f>
        <v>108</v>
      </c>
      <c r="H35" s="13"/>
    </row>
    <row r="36" spans="2:8" x14ac:dyDescent="0.2">
      <c r="B36" s="9" t="s">
        <v>41</v>
      </c>
      <c r="C36" s="10">
        <f>IF('Property Summary'!B4="Y",'Property Summary'!I4,"")</f>
        <v>516.97671975143714</v>
      </c>
      <c r="D36" s="11">
        <f>IF('Property Summary'!B4="Y",'Property Summary'!K4,"")</f>
        <v>0.13606986446058539</v>
      </c>
      <c r="E36" s="12">
        <f>IF('Property Summary'!B4="Y",'Property Summary'!E4,"")</f>
        <v>5278675</v>
      </c>
      <c r="F36" s="10">
        <f>IF('Property Summary'!B4="Y",'Property Summary'!G4,"")</f>
        <v>158600.14000000001</v>
      </c>
      <c r="G36" s="13">
        <f>IF('Property Summary'!B4="Y",'Property Summary'!L4,"")</f>
        <v>28</v>
      </c>
      <c r="H36" s="13"/>
    </row>
    <row r="37" spans="2:8" x14ac:dyDescent="0.2">
      <c r="B37" s="9" t="s">
        <v>42</v>
      </c>
      <c r="C37" s="10">
        <f>IF('Property Summary'!B12="Y",'Property Summary'!I12,"")</f>
        <v>433.53268583164083</v>
      </c>
      <c r="D37" s="11">
        <f>IF('Property Summary'!B12="Y",'Property Summary'!K12,"")</f>
        <v>0.13689808774751733</v>
      </c>
      <c r="E37" s="12">
        <f>IF('Property Summary'!B12="Y",'Property Summary'!E12,"")</f>
        <v>5952111</v>
      </c>
      <c r="F37" s="10">
        <f>IF('Property Summary'!B12="Y",'Property Summary'!G12,"")</f>
        <v>89321.41</v>
      </c>
      <c r="G37" s="13">
        <f>IF('Property Summary'!B12="Y",'Property Summary'!L12,"")</f>
        <v>86</v>
      </c>
      <c r="H37" s="13"/>
    </row>
    <row r="38" spans="2:8" x14ac:dyDescent="0.2">
      <c r="B38" s="9" t="s">
        <v>43</v>
      </c>
      <c r="C38" s="10">
        <f>IF('Property Summary'!B28="Y",'Property Summary'!I28,"")</f>
        <v>468.5318938090702</v>
      </c>
      <c r="D38" s="11">
        <f>IF('Property Summary'!B28="Y",'Property Summary'!K28,"")</f>
        <v>0.1376367763500789</v>
      </c>
      <c r="E38" s="12">
        <f>IF('Property Summary'!B28="Y",'Property Summary'!E28,"")</f>
        <v>6444269</v>
      </c>
      <c r="F38" s="10">
        <f>IF('Property Summary'!B28="Y",'Property Summary'!G28,"")</f>
        <v>83955</v>
      </c>
      <c r="G38" s="13">
        <f>IF('Property Summary'!B28="Y",'Property Summary'!L28,"")</f>
        <v>70</v>
      </c>
      <c r="H38" s="13"/>
    </row>
    <row r="39" spans="2:8" x14ac:dyDescent="0.2">
      <c r="B39" s="9" t="s">
        <v>44</v>
      </c>
      <c r="C39" s="10">
        <f>IF('Property Summary'!B18="Y",'Property Summary'!I18,"")</f>
        <v>513.06433290445591</v>
      </c>
      <c r="D39" s="11">
        <f>IF('Property Summary'!B18="Y",'Property Summary'!K18,"")</f>
        <v>0.13856448860582007</v>
      </c>
      <c r="E39" s="12">
        <f>IF('Property Summary'!B18="Y",'Property Summary'!E18,"")</f>
        <v>7576017</v>
      </c>
      <c r="F39" s="10">
        <f>IF('Property Summary'!B18="Y",'Property Summary'!G18,"")</f>
        <v>97053.18</v>
      </c>
      <c r="G39" s="13">
        <f>IF('Property Summary'!B18="Y",'Property Summary'!L18,"")</f>
        <v>101</v>
      </c>
      <c r="H39" s="13"/>
    </row>
    <row r="40" spans="2:8" x14ac:dyDescent="0.2">
      <c r="B40" s="9" t="s">
        <v>45</v>
      </c>
      <c r="C40" s="10">
        <f>IF('Property Summary'!B11="Y",'Property Summary'!I11,"")</f>
        <v>467.54888189422184</v>
      </c>
      <c r="D40" s="11">
        <f>IF('Property Summary'!B11="Y",'Property Summary'!K11,"")</f>
        <v>0.14143737683647911</v>
      </c>
      <c r="E40" s="12">
        <f>IF('Property Summary'!B11="Y",'Property Summary'!E11,"")</f>
        <v>4655717</v>
      </c>
      <c r="F40" s="10">
        <f>IF('Property Summary'!B11="Y",'Property Summary'!G11,"")</f>
        <v>99569</v>
      </c>
      <c r="G40" s="13">
        <f>IF('Property Summary'!B11="Y",'Property Summary'!L11,"")</f>
        <v>71</v>
      </c>
      <c r="H40" s="13"/>
    </row>
    <row r="41" spans="2:8" x14ac:dyDescent="0.2">
      <c r="B41" s="9" t="s">
        <v>46</v>
      </c>
      <c r="C41" s="10">
        <f>IF('Property Summary'!B36="Y",'Property Summary'!I36,"")</f>
        <v>543.60094624054921</v>
      </c>
      <c r="D41" s="11">
        <f>IF('Property Summary'!B36="Y",'Property Summary'!K36,"")</f>
        <v>0.14178104687970311</v>
      </c>
      <c r="E41" s="12">
        <f>IF('Property Summary'!B36="Y",'Property Summary'!E36,"")</f>
        <v>6728617</v>
      </c>
      <c r="F41" s="10">
        <f>IF('Property Summary'!B36="Y",'Property Summary'!G36,"")</f>
        <v>96480.19</v>
      </c>
      <c r="G41" s="13">
        <f>IF('Property Summary'!B36="Y",'Property Summary'!L36,"")</f>
        <v>64</v>
      </c>
      <c r="H41" s="13"/>
    </row>
    <row r="42" spans="2:8" x14ac:dyDescent="0.2">
      <c r="B42" s="9" t="s">
        <v>47</v>
      </c>
      <c r="C42" s="10">
        <f>IF('Property Summary'!B33="Y",'Property Summary'!I33,"")</f>
        <v>542.24080458129094</v>
      </c>
      <c r="D42" s="11">
        <f>IF('Property Summary'!B33="Y",'Property Summary'!K33,"")</f>
        <v>0.14252951868167654</v>
      </c>
      <c r="E42" s="12">
        <f>IF('Property Summary'!B33="Y",'Property Summary'!E33,"")</f>
        <v>3312527</v>
      </c>
      <c r="F42" s="10">
        <f>IF('Property Summary'!B33="Y",'Property Summary'!G33,"")</f>
        <v>82408</v>
      </c>
      <c r="G42" s="13">
        <f>IF('Property Summary'!B33="Y",'Property Summary'!L33,"")</f>
        <v>59</v>
      </c>
      <c r="H42" s="13"/>
    </row>
    <row r="43" spans="2:8" x14ac:dyDescent="0.2">
      <c r="B43" s="9" t="s">
        <v>48</v>
      </c>
      <c r="C43" s="10">
        <f>IF('Property Summary'!B40="Y",'Property Summary'!I40,"")</f>
        <v>356.40139306883827</v>
      </c>
      <c r="D43" s="11">
        <f>IF('Property Summary'!B40="Y",'Property Summary'!K40,"")</f>
        <v>0.14360092198253771</v>
      </c>
      <c r="E43" s="12">
        <f>IF('Property Summary'!B40="Y",'Property Summary'!E40,"")</f>
        <v>5040890</v>
      </c>
      <c r="F43" s="10">
        <f>IF('Property Summary'!B40="Y",'Property Summary'!G40,"")</f>
        <v>93119.05</v>
      </c>
      <c r="G43" s="13">
        <f>IF('Property Summary'!B40="Y",'Property Summary'!L40,"")</f>
        <v>48</v>
      </c>
      <c r="H43" s="13"/>
    </row>
    <row r="44" spans="2:8" x14ac:dyDescent="0.2">
      <c r="B44" s="9" t="s">
        <v>49</v>
      </c>
      <c r="C44" s="10">
        <f>IF('Property Summary'!B13="Y",'Property Summary'!I13,"")</f>
        <v>542.23443693115757</v>
      </c>
      <c r="D44" s="11">
        <f>IF('Property Summary'!B13="Y",'Property Summary'!K13,"")</f>
        <v>0.14441172551871176</v>
      </c>
      <c r="E44" s="12">
        <f>IF('Property Summary'!B13="Y",'Property Summary'!E13,"")</f>
        <v>5760072</v>
      </c>
      <c r="F44" s="10">
        <f>IF('Property Summary'!B13="Y",'Property Summary'!G13,"")</f>
        <v>148339.87</v>
      </c>
      <c r="G44" s="13">
        <f>IF('Property Summary'!B13="Y",'Property Summary'!L13,"")</f>
        <v>112</v>
      </c>
      <c r="H44" s="13"/>
    </row>
    <row r="45" spans="2:8" x14ac:dyDescent="0.2">
      <c r="B45" s="9" t="s">
        <v>50</v>
      </c>
      <c r="C45" s="10">
        <f>IF('Property Summary'!B14="Y",'Property Summary'!I14,"")</f>
        <v>794.43370479872635</v>
      </c>
      <c r="D45" s="11">
        <f>IF('Property Summary'!B14="Y",'Property Summary'!K14,"")</f>
        <v>0.14572469675948177</v>
      </c>
      <c r="E45" s="12">
        <f>IF('Property Summary'!B14="Y",'Property Summary'!E14,"")</f>
        <v>8462931</v>
      </c>
      <c r="F45" s="10">
        <f>IF('Property Summary'!B14="Y",'Property Summary'!G14,"")</f>
        <v>122880.68</v>
      </c>
      <c r="G45" s="13">
        <f>IF('Property Summary'!B14="Y",'Property Summary'!L14,"")</f>
        <v>90</v>
      </c>
      <c r="H45" s="13"/>
    </row>
    <row r="46" spans="2:8" x14ac:dyDescent="0.2">
      <c r="B46" s="9" t="s">
        <v>51</v>
      </c>
      <c r="C46" s="10">
        <f>IF('Property Summary'!B22="Y",'Property Summary'!I22,"")</f>
        <v>562.47751029152255</v>
      </c>
      <c r="D46" s="11">
        <f>IF('Property Summary'!B22="Y",'Property Summary'!K22,"")</f>
        <v>0.14978846447854891</v>
      </c>
      <c r="E46" s="12">
        <f>IF('Property Summary'!B22="Y",'Property Summary'!E22,"")</f>
        <v>6544586</v>
      </c>
      <c r="F46" s="10">
        <f>IF('Property Summary'!B22="Y",'Property Summary'!G22,"")</f>
        <v>138167.97</v>
      </c>
      <c r="G46" s="13">
        <f>IF('Property Summary'!B22="Y",'Property Summary'!L22,"")</f>
        <v>88</v>
      </c>
      <c r="H46" s="13"/>
    </row>
    <row r="47" spans="2:8" x14ac:dyDescent="0.2">
      <c r="B47" s="9" t="s">
        <v>52</v>
      </c>
      <c r="C47" s="10">
        <f>IF('Property Summary'!B17="Y",'Property Summary'!I17,"")</f>
        <v>422.36789279853394</v>
      </c>
      <c r="D47" s="11">
        <f>IF('Property Summary'!B17="Y",'Property Summary'!K17,"")</f>
        <v>0.15163518712140533</v>
      </c>
      <c r="E47" s="12">
        <f>IF('Property Summary'!B17="Y",'Property Summary'!E17,"")</f>
        <v>8448382</v>
      </c>
      <c r="F47" s="10">
        <f>IF('Property Summary'!B17="Y",'Property Summary'!G17,"")</f>
        <v>85449.32</v>
      </c>
      <c r="G47" s="13">
        <f>IF('Property Summary'!B17="Y",'Property Summary'!L17,"")</f>
        <v>139</v>
      </c>
      <c r="H47" s="13"/>
    </row>
    <row r="48" spans="2:8" x14ac:dyDescent="0.2">
      <c r="B48" s="9" t="s">
        <v>53</v>
      </c>
      <c r="C48" s="10">
        <f>IF('Property Summary'!B10="Y",'Property Summary'!I10,"")</f>
        <v>606.7003643831514</v>
      </c>
      <c r="D48" s="11">
        <f>IF('Property Summary'!B10="Y",'Property Summary'!K10,"")</f>
        <v>0.15646149612055665</v>
      </c>
      <c r="E48" s="12">
        <f>IF('Property Summary'!B10="Y",'Property Summary'!E10,"")</f>
        <v>5816055</v>
      </c>
      <c r="F48" s="10">
        <f>IF('Property Summary'!B10="Y",'Property Summary'!G10,"")</f>
        <v>161034.37</v>
      </c>
      <c r="G48" s="13">
        <f>IF('Property Summary'!B10="Y",'Property Summary'!L10,"")</f>
        <v>106</v>
      </c>
      <c r="H48" s="13"/>
    </row>
    <row r="49" spans="2:8" x14ac:dyDescent="0.2">
      <c r="B49" s="9" t="s">
        <v>54</v>
      </c>
      <c r="C49" s="10">
        <f>IF('Property Summary'!B5="Y",'Property Summary'!I5,"")</f>
        <v>690.82266831687309</v>
      </c>
      <c r="D49" s="11">
        <f>IF('Property Summary'!B5="Y",'Property Summary'!K5,"")</f>
        <v>0.15905319829495171</v>
      </c>
      <c r="E49" s="12">
        <f>IF('Property Summary'!B5="Y",'Property Summary'!E5,"")</f>
        <v>7097365</v>
      </c>
      <c r="F49" s="10">
        <f>IF('Property Summary'!B5="Y",'Property Summary'!G5,"")</f>
        <v>105913.35</v>
      </c>
      <c r="G49" s="13">
        <f>IF('Property Summary'!B5="Y",'Property Summary'!L5,"")</f>
        <v>78</v>
      </c>
      <c r="H49" s="13"/>
    </row>
    <row r="50" spans="2:8" x14ac:dyDescent="0.2">
      <c r="B50" s="14" t="s">
        <v>55</v>
      </c>
      <c r="C50" s="15">
        <f>IF('Property Summary'!B2="Y",'Property Summary'!I2,"")</f>
        <v>615.08830044041497</v>
      </c>
      <c r="D50" s="16">
        <f>IF('Property Summary'!B2="Y",'Property Summary'!K2,"")</f>
        <v>0.16065159079807481</v>
      </c>
      <c r="E50" s="17">
        <f>IF('Property Summary'!B2="Y",'Property Summary'!E2,"")</f>
        <v>9376877</v>
      </c>
      <c r="F50" s="15">
        <f>IF('Property Summary'!B2="Y",'Property Summary'!G2,"")</f>
        <v>110808.28</v>
      </c>
      <c r="G50" s="18">
        <f>IF('Property Summary'!B2="Y",'Property Summary'!L2,"")</f>
        <v>109</v>
      </c>
      <c r="H50" s="19" t="s">
        <v>56</v>
      </c>
    </row>
    <row r="51" spans="2:8" x14ac:dyDescent="0.2">
      <c r="B51" s="9" t="s">
        <v>57</v>
      </c>
      <c r="C51" s="10">
        <f>IF('Property Summary'!B45="Y",'Property Summary'!I45,"")</f>
        <v>504.44049139739013</v>
      </c>
      <c r="D51" s="11">
        <f>IF('Property Summary'!B45="Y",'Property Summary'!K45,"")</f>
        <v>0.16148041353668552</v>
      </c>
      <c r="E51" s="12">
        <f>IF('Property Summary'!B45="Y",'Property Summary'!E45,"")</f>
        <v>8449098</v>
      </c>
      <c r="F51" s="10">
        <f>IF('Property Summary'!B45="Y",'Property Summary'!G45,"")</f>
        <v>86005.81</v>
      </c>
      <c r="G51" s="13">
        <f>IF('Property Summary'!B45="Y",'Property Summary'!L45,"")</f>
        <v>118</v>
      </c>
      <c r="H51" s="13"/>
    </row>
    <row r="52" spans="2:8" x14ac:dyDescent="0.2">
      <c r="B52" s="9" t="s">
        <v>58</v>
      </c>
      <c r="C52" s="10">
        <f>IF('Property Summary'!B19="Y",'Property Summary'!I19,"")</f>
        <v>778.06494500344184</v>
      </c>
      <c r="D52" s="11">
        <f>IF('Property Summary'!B19="Y",'Property Summary'!K19,"")</f>
        <v>0.16483323985365916</v>
      </c>
      <c r="E52" s="12">
        <f>IF('Property Summary'!B19="Y",'Property Summary'!E19,"")</f>
        <v>9034300</v>
      </c>
      <c r="F52" s="10">
        <f>IF('Property Summary'!B19="Y",'Property Summary'!G19,"")</f>
        <v>114749.55</v>
      </c>
      <c r="G52" s="13">
        <f>IF('Property Summary'!B19="Y",'Property Summary'!L19,"")</f>
        <v>118</v>
      </c>
      <c r="H52" s="13"/>
    </row>
    <row r="53" spans="2:8" x14ac:dyDescent="0.2">
      <c r="B53" s="9" t="s">
        <v>59</v>
      </c>
      <c r="C53" s="10">
        <f>IF('Property Summary'!B15="Y",'Property Summary'!I15,"")</f>
        <v>503.85373307636496</v>
      </c>
      <c r="D53" s="11">
        <f>IF('Property Summary'!B15="Y",'Property Summary'!K15,"")</f>
        <v>0.17104969335207415</v>
      </c>
      <c r="E53" s="12">
        <f>IF('Property Summary'!B15="Y",'Property Summary'!E15,"")</f>
        <v>6974859</v>
      </c>
      <c r="F53" s="10">
        <f>IF('Property Summary'!B15="Y",'Property Summary'!G15,"")</f>
        <v>76450.460000000006</v>
      </c>
      <c r="G53" s="13">
        <f>IF('Property Summary'!B15="Y",'Property Summary'!L15,"")</f>
        <v>92</v>
      </c>
      <c r="H53" s="13"/>
    </row>
    <row r="54" spans="2:8" x14ac:dyDescent="0.2">
      <c r="B54" s="9" t="s">
        <v>60</v>
      </c>
      <c r="C54" s="10">
        <f>IF('Property Summary'!B3="Y",'Property Summary'!I3,"")</f>
        <v>522.44917206366824</v>
      </c>
      <c r="D54" s="11">
        <f>IF('Property Summary'!B3="Y",'Property Summary'!K3,"")</f>
        <v>0.1801580297971512</v>
      </c>
      <c r="E54" s="12">
        <f>IF('Property Summary'!B3="Y",'Property Summary'!E3,"")</f>
        <v>7274990</v>
      </c>
      <c r="F54" s="10">
        <f>IF('Property Summary'!B3="Y",'Property Summary'!G3,"")</f>
        <v>139445.69</v>
      </c>
      <c r="G54" s="13">
        <f>IF('Property Summary'!B3="Y",'Property Summary'!L3,"")</f>
        <v>109</v>
      </c>
      <c r="H54" s="13"/>
    </row>
    <row r="55" spans="2:8" x14ac:dyDescent="0.2">
      <c r="B55" s="9" t="s">
        <v>61</v>
      </c>
      <c r="C55" s="10">
        <f>IF('Property Summary'!B43="Y",'Property Summary'!I43,"")</f>
        <v>541.72059863434436</v>
      </c>
      <c r="D55" s="11">
        <f>IF('Property Summary'!B43="Y",'Property Summary'!K43,"")</f>
        <v>0.18164420292150621</v>
      </c>
      <c r="E55" s="12">
        <f>IF('Property Summary'!B43="Y",'Property Summary'!E43,"")</f>
        <v>5089752</v>
      </c>
      <c r="F55" s="10">
        <f>IF('Property Summary'!B43="Y",'Property Summary'!G43,"")</f>
        <v>100706.98</v>
      </c>
      <c r="G55" s="13">
        <f>IF('Property Summary'!B43="Y",'Property Summary'!L43,"")</f>
        <v>75</v>
      </c>
      <c r="H55" s="13"/>
    </row>
    <row r="56" spans="2:8" x14ac:dyDescent="0.2">
      <c r="B56" s="9" t="s">
        <v>62</v>
      </c>
      <c r="C56" s="10">
        <f>IF('Property Summary'!B34="Y",'Property Summary'!I34,"")</f>
        <v>467.97185842840793</v>
      </c>
      <c r="D56" s="11">
        <f>IF('Property Summary'!B34="Y",'Property Summary'!K34,"")</f>
        <v>0.18166507793803419</v>
      </c>
      <c r="E56" s="12">
        <f>IF('Property Summary'!B34="Y",'Property Summary'!E34,"")</f>
        <v>11774167</v>
      </c>
      <c r="F56" s="10">
        <f>IF('Property Summary'!B34="Y",'Property Summary'!G34,"")</f>
        <v>98587.01</v>
      </c>
      <c r="G56" s="13">
        <f>IF('Property Summary'!B34="Y",'Property Summary'!L34,"")</f>
        <v>117</v>
      </c>
      <c r="H56" s="13"/>
    </row>
    <row r="57" spans="2:8" x14ac:dyDescent="0.2">
      <c r="B57" s="9" t="s">
        <v>63</v>
      </c>
      <c r="C57" s="10">
        <f>IF('Property Summary'!B26="Y",'Property Summary'!I26,"")</f>
        <v>531.76509406086871</v>
      </c>
      <c r="D57" s="11">
        <f>IF('Property Summary'!B26="Y",'Property Summary'!K26,"")</f>
        <v>0.18469714957598476</v>
      </c>
      <c r="E57" s="12">
        <f>IF('Property Summary'!B26="Y",'Property Summary'!E26,"")</f>
        <v>7640998</v>
      </c>
      <c r="F57" s="10">
        <f>IF('Property Summary'!B26="Y",'Property Summary'!G26,"")</f>
        <v>127085</v>
      </c>
      <c r="G57" s="13">
        <f>IF('Property Summary'!B26="Y",'Property Summary'!L26,"")</f>
        <v>79</v>
      </c>
      <c r="H57" s="13"/>
    </row>
    <row r="58" spans="2:8" x14ac:dyDescent="0.2">
      <c r="B58" s="9" t="s">
        <v>64</v>
      </c>
      <c r="C58" s="10">
        <f>IF('Property Summary'!B48="Y",'Property Summary'!I48,"")</f>
        <v>715.85163866417759</v>
      </c>
      <c r="D58" s="11">
        <f>IF('Property Summary'!B48="Y",'Property Summary'!K48,"")</f>
        <v>0.20650364225793158</v>
      </c>
      <c r="E58" s="12">
        <f>IF('Property Summary'!B48="Y",'Property Summary'!E48,"")</f>
        <v>7186476</v>
      </c>
      <c r="F58" s="10">
        <f>IF('Property Summary'!B48="Y",'Property Summary'!G48,"")</f>
        <v>106619.23</v>
      </c>
      <c r="G58" s="13">
        <f>IF('Property Summary'!B48="Y",'Property Summary'!L48,"")</f>
        <v>126</v>
      </c>
      <c r="H58" s="13"/>
    </row>
    <row r="59" spans="2:8" x14ac:dyDescent="0.2">
      <c r="B59" s="9" t="s">
        <v>65</v>
      </c>
      <c r="C59" s="10">
        <f>IF('Property Summary'!B38="Y",'Property Summary'!I38,"")</f>
        <v>428.68079652204659</v>
      </c>
      <c r="D59" s="11">
        <f>IF('Property Summary'!B38="Y",'Property Summary'!K38,"")</f>
        <v>0.20655637867826951</v>
      </c>
      <c r="E59" s="12">
        <f>IF('Property Summary'!B38="Y",'Property Summary'!E38,"")</f>
        <v>2668507</v>
      </c>
      <c r="F59" s="10">
        <f>IF('Property Summary'!B38="Y",'Property Summary'!G38,"")</f>
        <v>125000</v>
      </c>
      <c r="G59" s="13">
        <f>IF('Property Summary'!B38="Y",'Property Summary'!L38,"")</f>
        <v>37</v>
      </c>
      <c r="H59" s="13"/>
    </row>
    <row r="60" spans="2:8" x14ac:dyDescent="0.2">
      <c r="B60" s="9" t="s">
        <v>66</v>
      </c>
      <c r="C60" s="10">
        <f>IF('Property Summary'!B41="Y",'Property Summary'!I41,"")</f>
        <v>627.59742946386621</v>
      </c>
      <c r="D60" s="11">
        <f>IF('Property Summary'!B41="Y",'Property Summary'!K41,"")</f>
        <v>0.21804182684667348</v>
      </c>
      <c r="E60" s="12">
        <f>IF('Property Summary'!B41="Y",'Property Summary'!E41,"")</f>
        <v>10358762</v>
      </c>
      <c r="F60" s="10">
        <f>IF('Property Summary'!B41="Y",'Property Summary'!G41,"")</f>
        <v>123204.9</v>
      </c>
      <c r="G60" s="13">
        <f>IF('Property Summary'!B41="Y",'Property Summary'!L41,"")</f>
        <v>126</v>
      </c>
      <c r="H60" s="13"/>
    </row>
    <row r="61" spans="2:8" x14ac:dyDescent="0.2">
      <c r="B61" s="9" t="s">
        <v>67</v>
      </c>
      <c r="C61" s="10">
        <f>IF('Property Summary'!B44="Y",'Property Summary'!I44,"")</f>
        <v>974.18292159617567</v>
      </c>
      <c r="D61" s="11">
        <f>IF('Property Summary'!B44="Y",'Property Summary'!K44,"")</f>
        <v>0.25539820004440861</v>
      </c>
      <c r="E61" s="12">
        <f>IF('Property Summary'!B44="Y",'Property Summary'!E44,"")</f>
        <v>15515177</v>
      </c>
      <c r="F61" s="10">
        <f>IF('Property Summary'!B44="Y",'Property Summary'!G44,"")</f>
        <v>173791.28</v>
      </c>
      <c r="G61" s="13">
        <f>IF('Property Summary'!B44="Y",'Property Summary'!L44,"")</f>
        <v>180</v>
      </c>
      <c r="H61" s="13"/>
    </row>
    <row r="62" spans="2:8" x14ac:dyDescent="0.2">
      <c r="B62" s="9" t="s">
        <v>68</v>
      </c>
      <c r="C62" s="10">
        <f>IF('Property Summary'!B8="Y",'Property Summary'!I8,"")</f>
        <v>36.056095135318138</v>
      </c>
      <c r="D62" s="11">
        <f>IF('Property Summary'!B8="Y",'Property Summary'!K8,"")</f>
        <v>0</v>
      </c>
      <c r="E62" s="12">
        <f>IF('Property Summary'!B8="Y",'Property Summary'!E8,"")</f>
        <v>3417309</v>
      </c>
      <c r="F62" s="10">
        <f>IF('Property Summary'!B8="Y",'Property Summary'!G8,"")</f>
        <v>112360.61</v>
      </c>
      <c r="G62" s="13">
        <f>IF('Property Summary'!B8="Y",'Property Summary'!L8,"")</f>
        <v>67</v>
      </c>
      <c r="H62" s="13"/>
    </row>
    <row r="63" spans="2:8" x14ac:dyDescent="0.2">
      <c r="B63" s="20" t="s">
        <v>69</v>
      </c>
      <c r="C63" s="21">
        <f>AVERAGEIFS('Property Summary'!I$2:I$49,'Property Summary'!B$2:B$49,"Y",'Property Summary'!I$2:I$49,"&lt;&gt;")</f>
        <v>539.81655321027711</v>
      </c>
      <c r="D63" s="22">
        <f>AVERAGEIFS('Property Summary'!K$2:K$49,'Property Summary'!B$2:B$49,"Y",'Property Summary'!K$2:K$49,"&lt;&gt;")</f>
        <v>0.14227870914150934</v>
      </c>
      <c r="E63" s="13"/>
      <c r="F63" s="13"/>
      <c r="G63" s="13"/>
      <c r="H63" s="13"/>
    </row>
    <row r="65" spans="2:9" ht="17" x14ac:dyDescent="0.2">
      <c r="B65" s="86" t="s">
        <v>70</v>
      </c>
      <c r="C65" s="83"/>
      <c r="D65" s="83"/>
      <c r="E65" s="83"/>
      <c r="F65" s="83"/>
      <c r="G65" s="83"/>
      <c r="H65" s="83"/>
      <c r="I65" s="83"/>
    </row>
    <row r="66" spans="2:9" x14ac:dyDescent="0.2">
      <c r="B66" s="23" t="s">
        <v>71</v>
      </c>
      <c r="C66" s="23" t="s">
        <v>72</v>
      </c>
      <c r="D66" s="23" t="s">
        <v>73</v>
      </c>
      <c r="E66" s="23" t="s">
        <v>74</v>
      </c>
      <c r="F66" s="23" t="s">
        <v>75</v>
      </c>
    </row>
    <row r="67" spans="2:9" x14ac:dyDescent="0.2">
      <c r="B67" s="24" t="s">
        <v>76</v>
      </c>
      <c r="C67" s="15">
        <f>IFERROR(_CategoryCalc!B2,"")</f>
        <v>413.19437420325596</v>
      </c>
      <c r="D67" s="10">
        <f>IFERROR(AVERAGEIFS(_CategoryCalc!B$2:B$49,_CategoryCalc!AY$2:AY$49,"Y",_CategoryCalc!B$2:B$49,"&lt;&gt;"),"")</f>
        <v>387.88826050843113</v>
      </c>
      <c r="E67" s="25">
        <f t="shared" ref="E67:E78" si="0">IFERROR(C67-D67,"")</f>
        <v>25.30611369482483</v>
      </c>
      <c r="F67" s="26">
        <f t="shared" ref="F67:F78" si="1">IFERROR(E67/D67,"")</f>
        <v>6.5240731084911963E-2</v>
      </c>
    </row>
    <row r="68" spans="2:9" x14ac:dyDescent="0.2">
      <c r="B68" s="24" t="s">
        <v>77</v>
      </c>
      <c r="C68" s="15">
        <f>IFERROR(_CategoryCalc!C2,"")</f>
        <v>719.05624540301994</v>
      </c>
      <c r="D68" s="10">
        <f>IFERROR(AVERAGEIFS(_CategoryCalc!C$2:C$49,_CategoryCalc!AY$2:AY$49,"Y",_CategoryCalc!C$2:C$49,"&lt;&gt;"),"")</f>
        <v>526.38636506148669</v>
      </c>
      <c r="E68" s="25">
        <f t="shared" si="0"/>
        <v>192.66988034153326</v>
      </c>
      <c r="F68" s="26">
        <f t="shared" si="1"/>
        <v>0.36602369120831552</v>
      </c>
    </row>
    <row r="69" spans="2:9" x14ac:dyDescent="0.2">
      <c r="B69" s="24" t="s">
        <v>78</v>
      </c>
      <c r="C69" s="15">
        <f>IFERROR(_CategoryCalc!D2,"")</f>
        <v>1075.6565892507563</v>
      </c>
      <c r="D69" s="10">
        <f>IFERROR(AVERAGEIFS(_CategoryCalc!D$2:D$49,_CategoryCalc!AY$2:AY$49,"Y",_CategoryCalc!D$2:D$49,"&lt;&gt;"),"")</f>
        <v>1037.5322723508884</v>
      </c>
      <c r="E69" s="25">
        <f t="shared" si="0"/>
        <v>38.124316899867836</v>
      </c>
      <c r="F69" s="26">
        <f t="shared" si="1"/>
        <v>3.6745186550664111E-2</v>
      </c>
    </row>
    <row r="70" spans="2:9" x14ac:dyDescent="0.2">
      <c r="B70" s="24" t="s">
        <v>79</v>
      </c>
      <c r="C70" s="15">
        <f>IFERROR(_CategoryCalc!E2,"")</f>
        <v>1096.7613792053585</v>
      </c>
      <c r="D70" s="10">
        <f>IFERROR(AVERAGEIFS(_CategoryCalc!E$2:E$49,_CategoryCalc!AY$2:AY$49,"Y",_CategoryCalc!E$2:E$49,"&lt;&gt;"),"")</f>
        <v>845.55318514681665</v>
      </c>
      <c r="E70" s="25">
        <f t="shared" si="0"/>
        <v>251.20819405854184</v>
      </c>
      <c r="F70" s="26">
        <f t="shared" si="1"/>
        <v>0.29709330941130996</v>
      </c>
    </row>
    <row r="71" spans="2:9" x14ac:dyDescent="0.2">
      <c r="B71" s="24" t="s">
        <v>80</v>
      </c>
      <c r="C71" s="15">
        <f>IFERROR(_CategoryCalc!F2,"")</f>
        <v>893.99749446694784</v>
      </c>
      <c r="D71" s="10">
        <f>IFERROR(AVERAGEIFS(_CategoryCalc!F$2:F$49,_CategoryCalc!AY$2:AY$49,"Y",_CategoryCalc!F$2:F$49,"&lt;&gt;"),"")</f>
        <v>913.41798487599681</v>
      </c>
      <c r="E71" s="25">
        <f t="shared" si="0"/>
        <v>-19.420490409048966</v>
      </c>
      <c r="F71" s="26">
        <f t="shared" si="1"/>
        <v>-2.1261340077166797E-2</v>
      </c>
    </row>
    <row r="72" spans="2:9" x14ac:dyDescent="0.2">
      <c r="B72" s="24" t="s">
        <v>81</v>
      </c>
      <c r="C72" s="15">
        <f>IFERROR(_CategoryCalc!G2,"")</f>
        <v>844.24470998773938</v>
      </c>
      <c r="D72" s="10">
        <f>IFERROR(AVERAGEIFS(_CategoryCalc!G$2:G$49,_CategoryCalc!AY$2:AY$49,"Y",_CategoryCalc!G$2:G$49,"&lt;&gt;"),"")</f>
        <v>777.0047082721992</v>
      </c>
      <c r="E72" s="25">
        <f t="shared" si="0"/>
        <v>67.240001715540188</v>
      </c>
      <c r="F72" s="26">
        <f t="shared" si="1"/>
        <v>8.6537444367691993E-2</v>
      </c>
    </row>
    <row r="73" spans="2:9" x14ac:dyDescent="0.2">
      <c r="B73" s="24" t="s">
        <v>82</v>
      </c>
      <c r="C73" s="15">
        <f>IFERROR(_CategoryCalc!H2,"")</f>
        <v>458.75527433149654</v>
      </c>
      <c r="D73" s="10">
        <f>IFERROR(AVERAGEIFS(_CategoryCalc!H$2:H$49,_CategoryCalc!AY$2:AY$49,"Y",_CategoryCalc!H$2:H$49,"&lt;&gt;"),"")</f>
        <v>441.2177187648133</v>
      </c>
      <c r="E73" s="25">
        <f t="shared" si="0"/>
        <v>17.537555566683238</v>
      </c>
      <c r="F73" s="26">
        <f t="shared" si="1"/>
        <v>3.9748076336960203E-2</v>
      </c>
    </row>
    <row r="74" spans="2:9" x14ac:dyDescent="0.2">
      <c r="B74" s="24" t="s">
        <v>83</v>
      </c>
      <c r="C74" s="15">
        <f>IFERROR(_CategoryCalc!I2,"")</f>
        <v>398.20700288292335</v>
      </c>
      <c r="D74" s="10">
        <f>IFERROR(AVERAGEIFS(_CategoryCalc!I$2:I$49,_CategoryCalc!AY$2:AY$49,"Y",_CategoryCalc!I$2:I$49,"&lt;&gt;"),"")</f>
        <v>470.30923300450587</v>
      </c>
      <c r="E74" s="25">
        <f t="shared" si="0"/>
        <v>-72.102230121582522</v>
      </c>
      <c r="F74" s="26">
        <f t="shared" si="1"/>
        <v>-0.15330813231321727</v>
      </c>
    </row>
    <row r="75" spans="2:9" x14ac:dyDescent="0.2">
      <c r="B75" s="24" t="s">
        <v>84</v>
      </c>
      <c r="C75" s="15">
        <f>IFERROR(_CategoryCalc!J2,"")</f>
        <v>513.13135802469139</v>
      </c>
      <c r="D75" s="10">
        <f>IFERROR(AVERAGEIFS(_CategoryCalc!J$2:J$49,_CategoryCalc!AY$2:AY$49,"Y",_CategoryCalc!J$2:J$49,"&lt;&gt;"),"")</f>
        <v>763.56959339957677</v>
      </c>
      <c r="E75" s="25">
        <f t="shared" si="0"/>
        <v>-250.43823537488538</v>
      </c>
      <c r="F75" s="26">
        <f t="shared" si="1"/>
        <v>-0.3279835100031685</v>
      </c>
    </row>
    <row r="76" spans="2:9" x14ac:dyDescent="0.2">
      <c r="B76" s="24" t="s">
        <v>85</v>
      </c>
      <c r="C76" s="15">
        <f>IFERROR(_CategoryCalc!K2,"")</f>
        <v>511.38991354466862</v>
      </c>
      <c r="D76" s="10">
        <f>IFERROR(AVERAGEIFS(_CategoryCalc!K$2:K$49,_CategoryCalc!AY$2:AY$49,"Y",_CategoryCalc!K$2:K$49,"&lt;&gt;"),"")</f>
        <v>757.1381411713395</v>
      </c>
      <c r="E76" s="25">
        <f t="shared" si="0"/>
        <v>-245.74822762667088</v>
      </c>
      <c r="F76" s="26">
        <f t="shared" si="1"/>
        <v>-0.32457515248998442</v>
      </c>
    </row>
    <row r="77" spans="2:9" x14ac:dyDescent="0.2">
      <c r="B77" s="24" t="s">
        <v>86</v>
      </c>
      <c r="C77" s="15" t="str">
        <f>IFERROR(_CategoryCalc!L2,"")</f>
        <v/>
      </c>
      <c r="D77" s="10" t="str">
        <f>IFERROR(AVERAGEIFS(_CategoryCalc!L$2:L$49,_CategoryCalc!AY$2:AY$49,"Y",_CategoryCalc!L$2:L$49,"&lt;&gt;"),"")</f>
        <v/>
      </c>
      <c r="E77" s="25" t="str">
        <f t="shared" si="0"/>
        <v/>
      </c>
      <c r="F77" s="26" t="str">
        <f t="shared" si="1"/>
        <v/>
      </c>
    </row>
    <row r="78" spans="2:9" x14ac:dyDescent="0.2">
      <c r="B78" s="24" t="s">
        <v>87</v>
      </c>
      <c r="C78" s="15" t="str">
        <f>IFERROR(_CategoryCalc!M2,"")</f>
        <v/>
      </c>
      <c r="D78" s="10">
        <f>IFERROR(AVERAGEIFS(_CategoryCalc!M$2:M$49,_CategoryCalc!AY$2:AY$49,"Y",_CategoryCalc!M$2:M$49,"&lt;&gt;"),"")</f>
        <v>5692.7098853396101</v>
      </c>
      <c r="E78" s="25" t="str">
        <f t="shared" si="0"/>
        <v/>
      </c>
      <c r="F78" s="26" t="str">
        <f t="shared" si="1"/>
        <v/>
      </c>
    </row>
    <row r="80" spans="2:9" ht="17" x14ac:dyDescent="0.2">
      <c r="B80" s="86" t="s">
        <v>88</v>
      </c>
      <c r="C80" s="83"/>
      <c r="D80" s="83"/>
      <c r="E80" s="83"/>
      <c r="F80" s="83"/>
    </row>
    <row r="81" spans="2:8" x14ac:dyDescent="0.2">
      <c r="B81" s="23" t="s">
        <v>71</v>
      </c>
      <c r="C81" s="23" t="s">
        <v>89</v>
      </c>
      <c r="D81" s="23" t="s">
        <v>90</v>
      </c>
      <c r="E81" s="23" t="s">
        <v>91</v>
      </c>
    </row>
    <row r="82" spans="2:8" x14ac:dyDescent="0.2">
      <c r="B82" s="24" t="s">
        <v>76</v>
      </c>
      <c r="C82" s="27">
        <f>IFERROR(_CategoryCalc!AL2/SUM(_CategoryCalc!AL$2:AW$2),"")</f>
        <v>0.35270790719958722</v>
      </c>
      <c r="D82" s="28">
        <f>IFERROR(SUMPRODUCT((_CategoryCalc!AY$2:AY$49="Y")*_CategoryCalc!AL$2:AL$49)/SUMPRODUCT((_CategoryCalc!AY$2:AY$49="Y")*_CategoryCalc!AZ$2:AZ$49),"")</f>
        <v>0.42993582856931933</v>
      </c>
      <c r="E82" s="29">
        <f t="shared" ref="E82:E93" si="2">IFERROR(C82-D82,"")</f>
        <v>-7.7227921369732111E-2</v>
      </c>
    </row>
    <row r="83" spans="2:8" x14ac:dyDescent="0.2">
      <c r="B83" s="24" t="s">
        <v>77</v>
      </c>
      <c r="C83" s="27">
        <f>IFERROR(_CategoryCalc!AM2/SUM(_CategoryCalc!AL$2:AW$2),"")</f>
        <v>8.5182523448873171E-2</v>
      </c>
      <c r="D83" s="28">
        <f>IFERROR(SUMPRODUCT((_CategoryCalc!AY$2:AY$49="Y")*_CategoryCalc!AM$2:AM$49)/SUMPRODUCT((_CategoryCalc!AY$2:AY$49="Y")*_CategoryCalc!AZ$2:AZ$49),"")</f>
        <v>0.11630914277937628</v>
      </c>
      <c r="E83" s="29">
        <f t="shared" si="2"/>
        <v>-3.1126619330503105E-2</v>
      </c>
    </row>
    <row r="84" spans="2:8" x14ac:dyDescent="0.2">
      <c r="B84" s="24" t="s">
        <v>78</v>
      </c>
      <c r="C84" s="27">
        <f>IFERROR(_CategoryCalc!AN2/SUM(_CategoryCalc!AL$2:AW$2),"")</f>
        <v>4.1417436010835314E-2</v>
      </c>
      <c r="D84" s="28">
        <f>IFERROR(SUMPRODUCT((_CategoryCalc!AY$2:AY$49="Y")*_CategoryCalc!AN$2:AN$49)/SUMPRODUCT((_CategoryCalc!AY$2:AY$49="Y")*_CategoryCalc!AZ$2:AZ$49),"")</f>
        <v>5.066503915794883E-2</v>
      </c>
      <c r="E84" s="29">
        <f t="shared" si="2"/>
        <v>-9.2476031471135159E-3</v>
      </c>
    </row>
    <row r="85" spans="2:8" x14ac:dyDescent="0.2">
      <c r="B85" s="24" t="s">
        <v>79</v>
      </c>
      <c r="C85" s="27">
        <f>IFERROR(_CategoryCalc!AO2/SUM(_CategoryCalc!AL$2:AW$2),"")</f>
        <v>4.8419850000921368E-2</v>
      </c>
      <c r="D85" s="28">
        <f>IFERROR(SUMPRODUCT((_CategoryCalc!AY$2:AY$49="Y")*_CategoryCalc!AO$2:AO$49)/SUMPRODUCT((_CategoryCalc!AY$2:AY$49="Y")*_CategoryCalc!AZ$2:AZ$49),"")</f>
        <v>5.6206032745952227E-2</v>
      </c>
      <c r="E85" s="29">
        <f t="shared" si="2"/>
        <v>-7.7861827450308591E-3</v>
      </c>
    </row>
    <row r="86" spans="2:8" x14ac:dyDescent="0.2">
      <c r="B86" s="24" t="s">
        <v>80</v>
      </c>
      <c r="C86" s="27">
        <f>IFERROR(_CategoryCalc!AP2/SUM(_CategoryCalc!AL$2:AW$2),"")</f>
        <v>8.8256214642416203E-2</v>
      </c>
      <c r="D86" s="28">
        <f>IFERROR(SUMPRODUCT((_CategoryCalc!AY$2:AY$49="Y")*_CategoryCalc!AP$2:AP$49)/SUMPRODUCT((_CategoryCalc!AY$2:AY$49="Y")*_CategoryCalc!AZ$2:AZ$49),"")</f>
        <v>3.9755901024700002E-2</v>
      </c>
      <c r="E86" s="29">
        <f t="shared" si="2"/>
        <v>4.8500313617716201E-2</v>
      </c>
    </row>
    <row r="87" spans="2:8" x14ac:dyDescent="0.2">
      <c r="B87" s="24" t="s">
        <v>81</v>
      </c>
      <c r="C87" s="27">
        <f>IFERROR(_CategoryCalc!AQ2/SUM(_CategoryCalc!AL$2:AW$2),"")</f>
        <v>0.15630862218291042</v>
      </c>
      <c r="D87" s="28">
        <f>IFERROR(SUMPRODUCT((_CategoryCalc!AY$2:AY$49="Y")*_CategoryCalc!AQ$2:AQ$49)/SUMPRODUCT((_CategoryCalc!AY$2:AY$49="Y")*_CategoryCalc!AZ$2:AZ$49),"")</f>
        <v>0.12938162341991735</v>
      </c>
      <c r="E87" s="29">
        <f t="shared" si="2"/>
        <v>2.6926998762993065E-2</v>
      </c>
    </row>
    <row r="88" spans="2:8" x14ac:dyDescent="0.2">
      <c r="B88" s="24" t="s">
        <v>82</v>
      </c>
      <c r="C88" s="27">
        <f>IFERROR(_CategoryCalc!AR2/SUM(_CategoryCalc!AL$2:AW$2),"")</f>
        <v>0.10902021486354506</v>
      </c>
      <c r="D88" s="28">
        <f>IFERROR(SUMPRODUCT((_CategoryCalc!AY$2:AY$49="Y")*_CategoryCalc!AR$2:AR$49)/SUMPRODUCT((_CategoryCalc!AY$2:AY$49="Y")*_CategoryCalc!AZ$2:AZ$49),"")</f>
        <v>7.2056105868623127E-2</v>
      </c>
      <c r="E88" s="29">
        <f t="shared" si="2"/>
        <v>3.6964108994921932E-2</v>
      </c>
    </row>
    <row r="89" spans="2:8" x14ac:dyDescent="0.2">
      <c r="B89" s="24" t="s">
        <v>83</v>
      </c>
      <c r="C89" s="27">
        <f>IFERROR(_CategoryCalc!AS2/SUM(_CategoryCalc!AL$2:AW$2),"")</f>
        <v>9.8435513295372881E-2</v>
      </c>
      <c r="D89" s="28">
        <f>IFERROR(SUMPRODUCT((_CategoryCalc!AY$2:AY$49="Y")*_CategoryCalc!AS$2:AS$49)/SUMPRODUCT((_CategoryCalc!AY$2:AY$49="Y")*_CategoryCalc!AZ$2:AZ$49),"")</f>
        <v>6.822445310339055E-2</v>
      </c>
      <c r="E89" s="29">
        <f t="shared" si="2"/>
        <v>3.0211060191982331E-2</v>
      </c>
    </row>
    <row r="90" spans="2:8" x14ac:dyDescent="0.2">
      <c r="B90" s="24" t="s">
        <v>84</v>
      </c>
      <c r="C90" s="27">
        <f>IFERROR(_CategoryCalc!AT2/SUM(_CategoryCalc!AL$2:AW$2),"")</f>
        <v>7.4630991210127701E-3</v>
      </c>
      <c r="D90" s="28">
        <f>IFERROR(SUMPRODUCT((_CategoryCalc!AY$2:AY$49="Y")*_CategoryCalc!AT$2:AT$49)/SUMPRODUCT((_CategoryCalc!AY$2:AY$49="Y")*_CategoryCalc!AZ$2:AZ$49),"")</f>
        <v>8.5140727957214706E-3</v>
      </c>
      <c r="E90" s="29">
        <f t="shared" si="2"/>
        <v>-1.0509736747087006E-3</v>
      </c>
    </row>
    <row r="91" spans="2:8" x14ac:dyDescent="0.2">
      <c r="B91" s="24" t="s">
        <v>85</v>
      </c>
      <c r="C91" s="27">
        <f>IFERROR(_CategoryCalc!AU2/SUM(_CategoryCalc!AL$2:AW$2),"")</f>
        <v>1.2788619234525586E-2</v>
      </c>
      <c r="D91" s="28">
        <f>IFERROR(SUMPRODUCT((_CategoryCalc!AY$2:AY$49="Y")*_CategoryCalc!AU$2:AU$49)/SUMPRODUCT((_CategoryCalc!AY$2:AY$49="Y")*_CategoryCalc!AZ$2:AZ$49),"")</f>
        <v>1.6090054019975378E-2</v>
      </c>
      <c r="E91" s="29">
        <f t="shared" si="2"/>
        <v>-3.3014347854497927E-3</v>
      </c>
    </row>
    <row r="92" spans="2:8" x14ac:dyDescent="0.2">
      <c r="B92" s="24" t="s">
        <v>86</v>
      </c>
      <c r="C92" s="27">
        <f>IFERROR(_CategoryCalc!AV2/SUM(_CategoryCalc!AL$2:AW$2),"")</f>
        <v>0</v>
      </c>
      <c r="D92" s="28">
        <f>IFERROR(SUMPRODUCT((_CategoryCalc!AY$2:AY$49="Y")*_CategoryCalc!AV$2:AV$49)/SUMPRODUCT((_CategoryCalc!AY$2:AY$49="Y")*_CategoryCalc!AZ$2:AZ$49),"")</f>
        <v>0</v>
      </c>
      <c r="E92" s="29">
        <f t="shared" si="2"/>
        <v>0</v>
      </c>
    </row>
    <row r="93" spans="2:8" x14ac:dyDescent="0.2">
      <c r="B93" s="24" t="s">
        <v>87</v>
      </c>
      <c r="C93" s="27">
        <f>IFERROR(_CategoryCalc!AW2/SUM(_CategoryCalc!AL$2:AW$2),"")</f>
        <v>0</v>
      </c>
      <c r="D93" s="28">
        <f>IFERROR(SUMPRODUCT((_CategoryCalc!AY$2:AY$49="Y")*_CategoryCalc!AW$2:AW$49)/SUMPRODUCT((_CategoryCalc!AY$2:AY$49="Y")*_CategoryCalc!AZ$2:AZ$49),"")</f>
        <v>1.2861746515075462E-2</v>
      </c>
      <c r="E93" s="29">
        <f t="shared" si="2"/>
        <v>-1.2861746515075462E-2</v>
      </c>
    </row>
    <row r="95" spans="2:8" ht="17" x14ac:dyDescent="0.2">
      <c r="B95" s="86" t="s">
        <v>92</v>
      </c>
      <c r="C95" s="83"/>
      <c r="D95" s="83"/>
      <c r="E95" s="83"/>
      <c r="F95" s="83"/>
      <c r="G95" s="83"/>
      <c r="H95" s="83"/>
    </row>
    <row r="96" spans="2:8" x14ac:dyDescent="0.2">
      <c r="B96" s="23" t="s">
        <v>71</v>
      </c>
      <c r="C96" s="23" t="s">
        <v>93</v>
      </c>
      <c r="D96" s="23" t="s">
        <v>94</v>
      </c>
      <c r="E96" s="23" t="s">
        <v>95</v>
      </c>
    </row>
    <row r="97" spans="2:10" x14ac:dyDescent="0.2">
      <c r="B97" s="24" t="s">
        <v>76</v>
      </c>
      <c r="C97" s="16">
        <f>IFERROR(_CategoryCalc!N2,"")</f>
        <v>0.15771644196772239</v>
      </c>
      <c r="D97" s="11">
        <f>IFERROR(AVERAGEIFS(_CategoryCalc!N$2:N$49,_CategoryCalc!AY$2:AY$49,"Y",_CategoryCalc!N$2:N$49,"&lt;&gt;"),"")</f>
        <v>0.14269994757287677</v>
      </c>
      <c r="E97" s="30">
        <f t="shared" ref="E97:E108" si="3">IFERROR(C97-D97,"")</f>
        <v>1.501649439484562E-2</v>
      </c>
    </row>
    <row r="98" spans="2:10" x14ac:dyDescent="0.2">
      <c r="B98" s="24" t="s">
        <v>77</v>
      </c>
      <c r="C98" s="16">
        <f>IFERROR(_CategoryCalc!O2,"")</f>
        <v>0.15520488848720523</v>
      </c>
      <c r="D98" s="11">
        <f>IFERROR(AVERAGEIFS(_CategoryCalc!O$2:O$49,_CategoryCalc!AY$2:AY$49,"Y",_CategoryCalc!O$2:O$49,"&lt;&gt;"),"")</f>
        <v>0.15078862046226918</v>
      </c>
      <c r="E98" s="30">
        <f t="shared" si="3"/>
        <v>4.4162680249360542E-3</v>
      </c>
    </row>
    <row r="99" spans="2:10" x14ac:dyDescent="0.2">
      <c r="B99" s="24" t="s">
        <v>78</v>
      </c>
      <c r="C99" s="16">
        <f>IFERROR(_CategoryCalc!P2,"")</f>
        <v>0.14207045147490879</v>
      </c>
      <c r="D99" s="11">
        <f>IFERROR(AVERAGEIFS(_CategoryCalc!P$2:P$49,_CategoryCalc!AY$2:AY$49,"Y",_CategoryCalc!P$2:P$49,"&lt;&gt;"),"")</f>
        <v>0.14229043624315768</v>
      </c>
      <c r="E99" s="30">
        <f t="shared" si="3"/>
        <v>-2.1998476824888757E-4</v>
      </c>
    </row>
    <row r="100" spans="2:10" x14ac:dyDescent="0.2">
      <c r="B100" s="24" t="s">
        <v>79</v>
      </c>
      <c r="C100" s="16">
        <f>IFERROR(_CategoryCalc!Q2,"")</f>
        <v>0.15048798295636745</v>
      </c>
      <c r="D100" s="11">
        <f>IFERROR(AVERAGEIFS(_CategoryCalc!Q$2:Q$49,_CategoryCalc!AY$2:AY$49,"Y",_CategoryCalc!Q$2:Q$49,"&lt;&gt;"),"")</f>
        <v>0.14088327000220616</v>
      </c>
      <c r="E100" s="30">
        <f t="shared" si="3"/>
        <v>9.604712954161293E-3</v>
      </c>
    </row>
    <row r="101" spans="2:10" x14ac:dyDescent="0.2">
      <c r="B101" s="24" t="s">
        <v>80</v>
      </c>
      <c r="C101" s="16">
        <f>IFERROR(_CategoryCalc!R2,"")</f>
        <v>0.1770293694396142</v>
      </c>
      <c r="D101" s="11">
        <f>IFERROR(AVERAGEIFS(_CategoryCalc!R$2:R$49,_CategoryCalc!AY$2:AY$49,"Y",_CategoryCalc!R$2:R$49,"&lt;&gt;"),"")</f>
        <v>0.17221318210010597</v>
      </c>
      <c r="E101" s="30">
        <f t="shared" si="3"/>
        <v>4.8161873395082266E-3</v>
      </c>
    </row>
    <row r="102" spans="2:10" x14ac:dyDescent="0.2">
      <c r="B102" s="24" t="s">
        <v>81</v>
      </c>
      <c r="C102" s="16">
        <f>IFERROR(_CategoryCalc!S2,"")</f>
        <v>9.6162977725261764E-2</v>
      </c>
      <c r="D102" s="11">
        <f>IFERROR(AVERAGEIFS(_CategoryCalc!S$2:S$49,_CategoryCalc!AY$2:AY$49,"Y",_CategoryCalc!S$2:S$49,"&lt;&gt;"),"")</f>
        <v>0.10409788413713759</v>
      </c>
      <c r="E102" s="30">
        <f t="shared" si="3"/>
        <v>-7.9349064118758306E-3</v>
      </c>
    </row>
    <row r="103" spans="2:10" x14ac:dyDescent="0.2">
      <c r="B103" s="24" t="s">
        <v>82</v>
      </c>
      <c r="C103" s="16">
        <f>IFERROR(_CategoryCalc!T2,"")</f>
        <v>0.21511691152956727</v>
      </c>
      <c r="D103" s="11">
        <f>IFERROR(AVERAGEIFS(_CategoryCalc!T$2:T$49,_CategoryCalc!AY$2:AY$49,"Y",_CategoryCalc!T$2:T$49,"&lt;&gt;"),"")</f>
        <v>0.14402117820499596</v>
      </c>
      <c r="E103" s="30">
        <f t="shared" si="3"/>
        <v>7.1095733324571309E-2</v>
      </c>
    </row>
    <row r="104" spans="2:10" x14ac:dyDescent="0.2">
      <c r="B104" s="24" t="s">
        <v>83</v>
      </c>
      <c r="C104" s="16">
        <f>IFERROR(_CategoryCalc!U2,"")</f>
        <v>0.1991100662753898</v>
      </c>
      <c r="D104" s="11">
        <f>IFERROR(AVERAGEIFS(_CategoryCalc!U$2:U$49,_CategoryCalc!AY$2:AY$49,"Y",_CategoryCalc!U$2:U$49,"&lt;&gt;"),"")</f>
        <v>0.17268864047051274</v>
      </c>
      <c r="E104" s="30">
        <f t="shared" si="3"/>
        <v>2.6421425804877052E-2</v>
      </c>
    </row>
    <row r="105" spans="2:10" x14ac:dyDescent="0.2">
      <c r="B105" s="24" t="s">
        <v>84</v>
      </c>
      <c r="C105" s="16">
        <f>IFERROR(_CategoryCalc!V2,"")</f>
        <v>0.33506040375674512</v>
      </c>
      <c r="D105" s="11">
        <f>IFERROR(AVERAGEIFS(_CategoryCalc!V$2:V$49,_CategoryCalc!AY$2:AY$49,"Y",_CategoryCalc!V$2:V$49,"&lt;&gt;"),"")</f>
        <v>0.31589659769588829</v>
      </c>
      <c r="E105" s="30">
        <f t="shared" si="3"/>
        <v>1.9163806060856825E-2</v>
      </c>
    </row>
    <row r="106" spans="2:10" x14ac:dyDescent="0.2">
      <c r="B106" s="24" t="s">
        <v>85</v>
      </c>
      <c r="C106" s="16">
        <f>IFERROR(_CategoryCalc!W2,"")</f>
        <v>0.18962047829191281</v>
      </c>
      <c r="D106" s="11">
        <f>IFERROR(AVERAGEIFS(_CategoryCalc!W$2:W$49,_CategoryCalc!AY$2:AY$49,"Y",_CategoryCalc!W$2:W$49,"&lt;&gt;"),"")</f>
        <v>0.15018267810991157</v>
      </c>
      <c r="E106" s="30">
        <f t="shared" si="3"/>
        <v>3.9437800182001242E-2</v>
      </c>
    </row>
    <row r="107" spans="2:10" x14ac:dyDescent="0.2">
      <c r="B107" s="24" t="s">
        <v>86</v>
      </c>
      <c r="C107" s="16" t="str">
        <f>IFERROR(_CategoryCalc!X2,"")</f>
        <v/>
      </c>
      <c r="D107" s="11" t="str">
        <f>IFERROR(AVERAGEIFS(_CategoryCalc!X$2:X$49,_CategoryCalc!AY$2:AY$49,"Y",_CategoryCalc!X$2:X$49,"&lt;&gt;"),"")</f>
        <v/>
      </c>
      <c r="E107" s="30" t="str">
        <f t="shared" si="3"/>
        <v/>
      </c>
    </row>
    <row r="108" spans="2:10" x14ac:dyDescent="0.2">
      <c r="B108" s="24" t="s">
        <v>87</v>
      </c>
      <c r="C108" s="16" t="str">
        <f>IFERROR(_CategoryCalc!Y2,"")</f>
        <v/>
      </c>
      <c r="D108" s="11">
        <f>IFERROR(AVERAGEIFS(_CategoryCalc!Y$2:Y$49,_CategoryCalc!AY$2:AY$49,"Y",_CategoryCalc!Y$2:Y$49,"&lt;&gt;"),"")</f>
        <v>5.9797483066179491E-2</v>
      </c>
      <c r="E108" s="30" t="str">
        <f t="shared" si="3"/>
        <v/>
      </c>
    </row>
    <row r="110" spans="2:10" ht="17" x14ac:dyDescent="0.2">
      <c r="B110" s="86" t="s">
        <v>96</v>
      </c>
      <c r="C110" s="83"/>
      <c r="D110" s="83"/>
      <c r="E110" s="83"/>
      <c r="F110" s="83"/>
      <c r="G110" s="83"/>
      <c r="H110" s="83"/>
      <c r="I110" s="83"/>
      <c r="J110" s="83"/>
    </row>
    <row r="111" spans="2:10" x14ac:dyDescent="0.2">
      <c r="B111" s="85" t="s">
        <v>97</v>
      </c>
      <c r="C111" s="83"/>
      <c r="D111" s="83"/>
      <c r="E111" s="83"/>
      <c r="F111" s="83"/>
      <c r="G111" s="83"/>
      <c r="H111" s="83"/>
      <c r="I111" s="83"/>
      <c r="J111" s="83"/>
    </row>
    <row r="112" spans="2:10" x14ac:dyDescent="0.2">
      <c r="B112" s="23" t="s">
        <v>71</v>
      </c>
      <c r="C112" s="23" t="s">
        <v>93</v>
      </c>
      <c r="D112" s="23" t="s">
        <v>98</v>
      </c>
      <c r="E112" s="23" t="s">
        <v>99</v>
      </c>
      <c r="F112" s="23" t="s">
        <v>100</v>
      </c>
      <c r="G112" s="23" t="s">
        <v>101</v>
      </c>
    </row>
    <row r="113" spans="2:12" x14ac:dyDescent="0.2">
      <c r="B113" s="24" t="s">
        <v>76</v>
      </c>
      <c r="C113" s="15">
        <f>IFERROR(_CategoryCalc!B2,"")</f>
        <v>413.19437420325596</v>
      </c>
      <c r="D113" s="10">
        <f>IFERROR(AVERAGEIFS(_CategoryCalc!B$2:B$49,_CategoryCalc!AY$2:AY$49,"Y",_CategoryCalc!B$2:B$49,"&lt;&gt;"),"")</f>
        <v>387.88826050843113</v>
      </c>
      <c r="E113" s="26">
        <f t="shared" ref="E113:E124" si="4">IFERROR((C113-D113)/D113,"")</f>
        <v>6.5240731084911963E-2</v>
      </c>
      <c r="F113" s="10">
        <f>IFERROR(AVERAGEIFS(_CategoryCalc!B$2:B$49,_CategoryCalc!B$2:B$49,"&lt;&gt;",_CategoryCalc!AX$2:AX$49,1,_CategoryCalc!AY$2:AY$49,"Y"),"")</f>
        <v>369.63020827290876</v>
      </c>
      <c r="G113" s="26">
        <f t="shared" ref="G113:G124" si="5">IFERROR((C113-F113)/F113,"")</f>
        <v>0.11785878143969906</v>
      </c>
    </row>
    <row r="114" spans="2:12" x14ac:dyDescent="0.2">
      <c r="B114" s="24" t="s">
        <v>77</v>
      </c>
      <c r="C114" s="15">
        <f>IFERROR(_CategoryCalc!C2,"")</f>
        <v>719.05624540301994</v>
      </c>
      <c r="D114" s="10">
        <f>IFERROR(AVERAGEIFS(_CategoryCalc!C$2:C$49,_CategoryCalc!AY$2:AY$49,"Y",_CategoryCalc!C$2:C$49,"&lt;&gt;"),"")</f>
        <v>526.38636506148669</v>
      </c>
      <c r="E114" s="26">
        <f t="shared" si="4"/>
        <v>0.36602369120831552</v>
      </c>
      <c r="F114" s="10">
        <f>IFERROR(AVERAGEIFS(_CategoryCalc!C$2:C$49,_CategoryCalc!C$2:C$49,"&lt;&gt;",_CategoryCalc!AX$2:AX$49,1,_CategoryCalc!AY$2:AY$49,"Y"),"")</f>
        <v>516.65376089004735</v>
      </c>
      <c r="G114" s="26">
        <f t="shared" si="5"/>
        <v>0.39175652987465093</v>
      </c>
    </row>
    <row r="115" spans="2:12" x14ac:dyDescent="0.2">
      <c r="B115" s="24" t="s">
        <v>78</v>
      </c>
      <c r="C115" s="15">
        <f>IFERROR(_CategoryCalc!D2,"")</f>
        <v>1075.6565892507563</v>
      </c>
      <c r="D115" s="10">
        <f>IFERROR(AVERAGEIFS(_CategoryCalc!D$2:D$49,_CategoryCalc!AY$2:AY$49,"Y",_CategoryCalc!D$2:D$49,"&lt;&gt;"),"")</f>
        <v>1037.5322723508884</v>
      </c>
      <c r="E115" s="26">
        <f t="shared" si="4"/>
        <v>3.6745186550664111E-2</v>
      </c>
      <c r="F115" s="10">
        <f>IFERROR(AVERAGEIFS(_CategoryCalc!D$2:D$49,_CategoryCalc!D$2:D$49,"&lt;&gt;",_CategoryCalc!AX$2:AX$49,1,_CategoryCalc!AY$2:AY$49,"Y"),"")</f>
        <v>1064.2630769092891</v>
      </c>
      <c r="G115" s="26">
        <f t="shared" si="5"/>
        <v>1.0705541316489989E-2</v>
      </c>
    </row>
    <row r="116" spans="2:12" x14ac:dyDescent="0.2">
      <c r="B116" s="24" t="s">
        <v>79</v>
      </c>
      <c r="C116" s="15">
        <f>IFERROR(_CategoryCalc!E2,"")</f>
        <v>1096.7613792053585</v>
      </c>
      <c r="D116" s="10">
        <f>IFERROR(AVERAGEIFS(_CategoryCalc!E$2:E$49,_CategoryCalc!AY$2:AY$49,"Y",_CategoryCalc!E$2:E$49,"&lt;&gt;"),"")</f>
        <v>845.55318514681665</v>
      </c>
      <c r="E116" s="26">
        <f t="shared" si="4"/>
        <v>0.29709330941130996</v>
      </c>
      <c r="F116" s="10">
        <f>IFERROR(AVERAGEIFS(_CategoryCalc!E$2:E$49,_CategoryCalc!E$2:E$49,"&lt;&gt;",_CategoryCalc!AX$2:AX$49,1,_CategoryCalc!AY$2:AY$49,"Y"),"")</f>
        <v>857.68795395184236</v>
      </c>
      <c r="G116" s="26">
        <f t="shared" si="5"/>
        <v>0.27874173136275582</v>
      </c>
    </row>
    <row r="117" spans="2:12" x14ac:dyDescent="0.2">
      <c r="B117" s="24" t="s">
        <v>80</v>
      </c>
      <c r="C117" s="15">
        <f>IFERROR(_CategoryCalc!F2,"")</f>
        <v>893.99749446694784</v>
      </c>
      <c r="D117" s="10">
        <f>IFERROR(AVERAGEIFS(_CategoryCalc!F$2:F$49,_CategoryCalc!AY$2:AY$49,"Y",_CategoryCalc!F$2:F$49,"&lt;&gt;"),"")</f>
        <v>913.41798487599681</v>
      </c>
      <c r="E117" s="26">
        <f t="shared" si="4"/>
        <v>-2.1261340077166797E-2</v>
      </c>
      <c r="F117" s="10">
        <f>IFERROR(AVERAGEIFS(_CategoryCalc!F$2:F$49,_CategoryCalc!F$2:F$49,"&lt;&gt;",_CategoryCalc!AX$2:AX$49,1,_CategoryCalc!AY$2:AY$49,"Y"),"")</f>
        <v>1018.3738516295701</v>
      </c>
      <c r="G117" s="26">
        <f t="shared" si="5"/>
        <v>-0.12213231610729117</v>
      </c>
    </row>
    <row r="118" spans="2:12" x14ac:dyDescent="0.2">
      <c r="B118" s="24" t="s">
        <v>81</v>
      </c>
      <c r="C118" s="15">
        <f>IFERROR(_CategoryCalc!G2,"")</f>
        <v>844.24470998773938</v>
      </c>
      <c r="D118" s="10">
        <f>IFERROR(AVERAGEIFS(_CategoryCalc!G$2:G$49,_CategoryCalc!AY$2:AY$49,"Y",_CategoryCalc!G$2:G$49,"&lt;&gt;"),"")</f>
        <v>777.0047082721992</v>
      </c>
      <c r="E118" s="26">
        <f t="shared" si="4"/>
        <v>8.6537444367691993E-2</v>
      </c>
      <c r="F118" s="10">
        <f>IFERROR(AVERAGEIFS(_CategoryCalc!G$2:G$49,_CategoryCalc!G$2:G$49,"&lt;&gt;",_CategoryCalc!AX$2:AX$49,1,_CategoryCalc!AY$2:AY$49,"Y"),"")</f>
        <v>800.79949552934568</v>
      </c>
      <c r="G118" s="26">
        <f t="shared" si="5"/>
        <v>5.4252299983874847E-2</v>
      </c>
    </row>
    <row r="119" spans="2:12" x14ac:dyDescent="0.2">
      <c r="B119" s="24" t="s">
        <v>82</v>
      </c>
      <c r="C119" s="15">
        <f>IFERROR(_CategoryCalc!H2,"")</f>
        <v>458.75527433149654</v>
      </c>
      <c r="D119" s="10">
        <f>IFERROR(AVERAGEIFS(_CategoryCalc!H$2:H$49,_CategoryCalc!AY$2:AY$49,"Y",_CategoryCalc!H$2:H$49,"&lt;&gt;"),"")</f>
        <v>441.2177187648133</v>
      </c>
      <c r="E119" s="26">
        <f t="shared" si="4"/>
        <v>3.9748076336960203E-2</v>
      </c>
      <c r="F119" s="10">
        <f>IFERROR(AVERAGEIFS(_CategoryCalc!H$2:H$49,_CategoryCalc!H$2:H$49,"&lt;&gt;",_CategoryCalc!AX$2:AX$49,1,_CategoryCalc!AY$2:AY$49,"Y"),"")</f>
        <v>437.5085388145211</v>
      </c>
      <c r="G119" s="26">
        <f t="shared" si="5"/>
        <v>4.8563019077401022E-2</v>
      </c>
    </row>
    <row r="120" spans="2:12" x14ac:dyDescent="0.2">
      <c r="B120" s="24" t="s">
        <v>83</v>
      </c>
      <c r="C120" s="15">
        <f>IFERROR(_CategoryCalc!I2,"")</f>
        <v>398.20700288292335</v>
      </c>
      <c r="D120" s="10">
        <f>IFERROR(AVERAGEIFS(_CategoryCalc!I$2:I$49,_CategoryCalc!AY$2:AY$49,"Y",_CategoryCalc!I$2:I$49,"&lt;&gt;"),"")</f>
        <v>470.30923300450587</v>
      </c>
      <c r="E120" s="26">
        <f t="shared" si="4"/>
        <v>-0.15330813231321727</v>
      </c>
      <c r="F120" s="10">
        <f>IFERROR(AVERAGEIFS(_CategoryCalc!I$2:I$49,_CategoryCalc!I$2:I$49,"&lt;&gt;",_CategoryCalc!AX$2:AX$49,1,_CategoryCalc!AY$2:AY$49,"Y"),"")</f>
        <v>466.64258371026818</v>
      </c>
      <c r="G120" s="26">
        <f t="shared" si="5"/>
        <v>-0.14665524154099815</v>
      </c>
    </row>
    <row r="121" spans="2:12" x14ac:dyDescent="0.2">
      <c r="B121" s="24" t="s">
        <v>84</v>
      </c>
      <c r="C121" s="15">
        <f>IFERROR(_CategoryCalc!J2,"")</f>
        <v>513.13135802469139</v>
      </c>
      <c r="D121" s="10">
        <f>IFERROR(AVERAGEIFS(_CategoryCalc!J$2:J$49,_CategoryCalc!AY$2:AY$49,"Y",_CategoryCalc!J$2:J$49,"&lt;&gt;"),"")</f>
        <v>763.56959339957677</v>
      </c>
      <c r="E121" s="26">
        <f t="shared" si="4"/>
        <v>-0.3279835100031685</v>
      </c>
      <c r="F121" s="10">
        <f>IFERROR(AVERAGEIFS(_CategoryCalc!J$2:J$49,_CategoryCalc!J$2:J$49,"&lt;&gt;",_CategoryCalc!AX$2:AX$49,1,_CategoryCalc!AY$2:AY$49,"Y"),"")</f>
        <v>791.16012352844939</v>
      </c>
      <c r="G121" s="26">
        <f t="shared" si="5"/>
        <v>-0.35141908348943768</v>
      </c>
    </row>
    <row r="122" spans="2:12" x14ac:dyDescent="0.2">
      <c r="B122" s="24" t="s">
        <v>85</v>
      </c>
      <c r="C122" s="15">
        <f>IFERROR(_CategoryCalc!K2,"")</f>
        <v>511.38991354466862</v>
      </c>
      <c r="D122" s="10">
        <f>IFERROR(AVERAGEIFS(_CategoryCalc!K$2:K$49,_CategoryCalc!AY$2:AY$49,"Y",_CategoryCalc!K$2:K$49,"&lt;&gt;"),"")</f>
        <v>757.1381411713395</v>
      </c>
      <c r="E122" s="26">
        <f t="shared" si="4"/>
        <v>-0.32457515248998442</v>
      </c>
      <c r="F122" s="10">
        <f>IFERROR(AVERAGEIFS(_CategoryCalc!K$2:K$49,_CategoryCalc!K$2:K$49,"&lt;&gt;",_CategoryCalc!AX$2:AX$49,1,_CategoryCalc!AY$2:AY$49,"Y"),"")</f>
        <v>770.34607452476496</v>
      </c>
      <c r="G122" s="26">
        <f t="shared" si="5"/>
        <v>-0.33615561829123264</v>
      </c>
    </row>
    <row r="123" spans="2:12" x14ac:dyDescent="0.2">
      <c r="B123" s="24" t="s">
        <v>86</v>
      </c>
      <c r="C123" s="15" t="str">
        <f>IFERROR(_CategoryCalc!L2,"")</f>
        <v/>
      </c>
      <c r="D123" s="10" t="str">
        <f>IFERROR(AVERAGEIFS(_CategoryCalc!L$2:L$49,_CategoryCalc!AY$2:AY$49,"Y",_CategoryCalc!L$2:L$49,"&lt;&gt;"),"")</f>
        <v/>
      </c>
      <c r="E123" s="26" t="str">
        <f t="shared" si="4"/>
        <v/>
      </c>
      <c r="F123" s="10" t="str">
        <f>IFERROR(AVERAGEIFS(_CategoryCalc!L$2:L$49,_CategoryCalc!L$2:L$49,"&lt;&gt;",_CategoryCalc!AX$2:AX$49,1,_CategoryCalc!AY$2:AY$49,"Y"),"")</f>
        <v/>
      </c>
      <c r="G123" s="26" t="str">
        <f t="shared" si="5"/>
        <v/>
      </c>
    </row>
    <row r="124" spans="2:12" x14ac:dyDescent="0.2">
      <c r="B124" s="24" t="s">
        <v>87</v>
      </c>
      <c r="C124" s="15" t="str">
        <f>IFERROR(_CategoryCalc!M2,"")</f>
        <v/>
      </c>
      <c r="D124" s="10">
        <f>IFERROR(AVERAGEIFS(_CategoryCalc!M$2:M$49,_CategoryCalc!AY$2:AY$49,"Y",_CategoryCalc!M$2:M$49,"&lt;&gt;"),"")</f>
        <v>5692.7098853396101</v>
      </c>
      <c r="E124" s="26" t="str">
        <f t="shared" si="4"/>
        <v/>
      </c>
      <c r="F124" s="10">
        <f>IFERROR(AVERAGEIFS(_CategoryCalc!M$2:M$49,_CategoryCalc!M$2:M$49,"&lt;&gt;",_CategoryCalc!AX$2:AX$49,1,_CategoryCalc!AY$2:AY$49,"Y"),"")</f>
        <v>5531.8401528412014</v>
      </c>
      <c r="G124" s="26" t="str">
        <f t="shared" si="5"/>
        <v/>
      </c>
    </row>
    <row r="126" spans="2:12" x14ac:dyDescent="0.2">
      <c r="B126" s="32" t="s">
        <v>102</v>
      </c>
      <c r="H126" s="32" t="s">
        <v>103</v>
      </c>
    </row>
    <row r="127" spans="2:12" x14ac:dyDescent="0.2">
      <c r="B127" s="23" t="s">
        <v>71</v>
      </c>
      <c r="C127" s="23" t="s">
        <v>72</v>
      </c>
      <c r="D127" s="23" t="s">
        <v>73</v>
      </c>
      <c r="E127" s="23" t="s">
        <v>74</v>
      </c>
      <c r="F127" s="23" t="s">
        <v>75</v>
      </c>
      <c r="H127" s="23" t="s">
        <v>71</v>
      </c>
      <c r="I127" s="23" t="s">
        <v>72</v>
      </c>
      <c r="J127" s="23" t="s">
        <v>73</v>
      </c>
      <c r="K127" s="23" t="s">
        <v>74</v>
      </c>
      <c r="L127" s="23" t="s">
        <v>75</v>
      </c>
    </row>
    <row r="128" spans="2:12" x14ac:dyDescent="0.2">
      <c r="B128" s="13" t="str">
        <f>IFERROR(INDEX($B$67:$B$78,MATCH(LARGE($C$67:$C$78,1),$C$67:$C$78,0)),"")</f>
        <v>Health &amp; Beauty</v>
      </c>
      <c r="C128" s="15">
        <f>IFERROR(LARGE($C$67:$C$78,1),"")</f>
        <v>1096.7613792053585</v>
      </c>
      <c r="D128" s="10">
        <f>IFERROR(INDEX($D$67:$D$78,MATCH(LARGE($C$67:$C$78,1),$C$67:$C$78,0)),"")</f>
        <v>845.55318514681665</v>
      </c>
      <c r="E128" s="25">
        <f>IFERROR(C128-D128,"")</f>
        <v>251.20819405854184</v>
      </c>
      <c r="F128" s="26">
        <f>IFERROR(E128/D128,"")</f>
        <v>0.29709330941130996</v>
      </c>
      <c r="H128" s="13" t="str">
        <f>IFERROR(INDEX($B$67:$B$78,MATCH(LARGE($F$67:$F$78,1),$F$67:$F$78,0)),"")</f>
        <v>Shoes</v>
      </c>
      <c r="I128" s="15">
        <f>IFERROR(INDEX($C$67:$C$78,MATCH(LARGE($F$67:$F$78,1),$F$67:$F$78,0)),"")</f>
        <v>719.05624540301994</v>
      </c>
      <c r="J128" s="10">
        <f>IFERROR(INDEX($D$67:$D$78,MATCH(LARGE($F$67:$F$78,1),$F$67:$F$78,0)),"")</f>
        <v>526.38636506148669</v>
      </c>
      <c r="K128" s="25">
        <f>IFERROR(INDEX($E$67:$E$78,MATCH(LARGE($F$67:$F$78,1),$F$67:$F$78,0)),"")</f>
        <v>192.66988034153326</v>
      </c>
      <c r="L128" s="26">
        <f>IFERROR(LARGE($F$67:$F$78,1),"")</f>
        <v>0.36602369120831552</v>
      </c>
    </row>
    <row r="129" spans="2:12" x14ac:dyDescent="0.2">
      <c r="B129" s="13" t="str">
        <f>IFERROR(INDEX($B$67:$B$78,MATCH(LARGE($C$67:$C$78,2),$C$67:$C$78,0)),"")</f>
        <v>Jewelry</v>
      </c>
      <c r="C129" s="15">
        <f>IFERROR(LARGE($C$67:$C$78,2),"")</f>
        <v>1075.6565892507563</v>
      </c>
      <c r="D129" s="10">
        <f>IFERROR(INDEX($D$67:$D$78,MATCH(LARGE($C$67:$C$78,2),$C$67:$C$78,0)),"")</f>
        <v>1037.5322723508884</v>
      </c>
      <c r="E129" s="25">
        <f>IFERROR(C129-D129,"")</f>
        <v>38.124316899867836</v>
      </c>
      <c r="F129" s="26">
        <f>IFERROR(E129/D129,"")</f>
        <v>3.6745186550664111E-2</v>
      </c>
      <c r="H129" s="13" t="str">
        <f>IFERROR(INDEX($B$67:$B$78,MATCH(LARGE($F$67:$F$78,2),$F$67:$F$78,0)),"")</f>
        <v>Health &amp; Beauty</v>
      </c>
      <c r="I129" s="15">
        <f>IFERROR(INDEX($C$67:$C$78,MATCH(LARGE($F$67:$F$78,2),$F$67:$F$78,0)),"")</f>
        <v>1096.7613792053585</v>
      </c>
      <c r="J129" s="10">
        <f>IFERROR(INDEX($D$67:$D$78,MATCH(LARGE($F$67:$F$78,2),$F$67:$F$78,0)),"")</f>
        <v>845.55318514681665</v>
      </c>
      <c r="K129" s="25">
        <f>IFERROR(INDEX($E$67:$E$78,MATCH(LARGE($F$67:$F$78,2),$F$67:$F$78,0)),"")</f>
        <v>251.20819405854184</v>
      </c>
      <c r="L129" s="26">
        <f>IFERROR(LARGE($F$67:$F$78,2),"")</f>
        <v>0.29709330941130996</v>
      </c>
    </row>
    <row r="130" spans="2:12" x14ac:dyDescent="0.2">
      <c r="B130" s="13" t="str">
        <f>IFERROR(INDEX($B$67:$B$78,MATCH(LARGE($C$67:$C$78,3),$C$67:$C$78,0)),"")</f>
        <v>Food &amp; Beverage</v>
      </c>
      <c r="C130" s="15">
        <f>IFERROR(LARGE($C$67:$C$78,3),"")</f>
        <v>893.99749446694784</v>
      </c>
      <c r="D130" s="10">
        <f>IFERROR(INDEX($D$67:$D$78,MATCH(LARGE($C$67:$C$78,3),$C$67:$C$78,0)),"")</f>
        <v>913.41798487599681</v>
      </c>
      <c r="E130" s="25">
        <f>IFERROR(C130-D130,"")</f>
        <v>-19.420490409048966</v>
      </c>
      <c r="F130" s="26">
        <f>IFERROR(E130/D130,"")</f>
        <v>-2.1261340077166797E-2</v>
      </c>
      <c r="H130" s="13" t="str">
        <f>IFERROR(INDEX($B$67:$B$78,MATCH(LARGE($F$67:$F$78,3),$F$67:$F$78,0)),"")</f>
        <v>Restaurant</v>
      </c>
      <c r="I130" s="15">
        <f>IFERROR(INDEX($C$67:$C$78,MATCH(LARGE($F$67:$F$78,3),$F$67:$F$78,0)),"")</f>
        <v>844.24470998773938</v>
      </c>
      <c r="J130" s="10">
        <f>IFERROR(INDEX($D$67:$D$78,MATCH(LARGE($F$67:$F$78,3),$F$67:$F$78,0)),"")</f>
        <v>777.0047082721992</v>
      </c>
      <c r="K130" s="25">
        <f>IFERROR(INDEX($E$67:$E$78,MATCH(LARGE($F$67:$F$78,3),$F$67:$F$78,0)),"")</f>
        <v>67.240001715540188</v>
      </c>
      <c r="L130" s="26">
        <f>IFERROR(LARGE($F$67:$F$78,3),"")</f>
        <v>8.6537444367691993E-2</v>
      </c>
    </row>
    <row r="131" spans="2:12" x14ac:dyDescent="0.2">
      <c r="B131" s="13" t="str">
        <f>IFERROR(INDEX($B$67:$B$78,MATCH(LARGE($C$67:$C$78,4),$C$67:$C$78,0)),"")</f>
        <v>Restaurant</v>
      </c>
      <c r="C131" s="15">
        <f>IFERROR(LARGE($C$67:$C$78,4),"")</f>
        <v>844.24470998773938</v>
      </c>
      <c r="D131" s="10">
        <f>IFERROR(INDEX($D$67:$D$78,MATCH(LARGE($C$67:$C$78,4),$C$67:$C$78,0)),"")</f>
        <v>777.0047082721992</v>
      </c>
      <c r="E131" s="25">
        <f>IFERROR(C131-D131,"")</f>
        <v>67.240001715540188</v>
      </c>
      <c r="F131" s="26">
        <f>IFERROR(E131/D131,"")</f>
        <v>8.6537444367691993E-2</v>
      </c>
      <c r="H131" s="13" t="str">
        <f>IFERROR(INDEX($B$67:$B$78,MATCH(LARGE($F$67:$F$78,4),$F$67:$F$78,0)),"")</f>
        <v>Apparel</v>
      </c>
      <c r="I131" s="15">
        <f>IFERROR(INDEX($C$67:$C$78,MATCH(LARGE($F$67:$F$78,4),$F$67:$F$78,0)),"")</f>
        <v>413.19437420325596</v>
      </c>
      <c r="J131" s="10">
        <f>IFERROR(INDEX($D$67:$D$78,MATCH(LARGE($F$67:$F$78,4),$F$67:$F$78,0)),"")</f>
        <v>387.88826050843113</v>
      </c>
      <c r="K131" s="25">
        <f>IFERROR(INDEX($E$67:$E$78,MATCH(LARGE($F$67:$F$78,4),$F$67:$F$78,0)),"")</f>
        <v>25.30611369482483</v>
      </c>
      <c r="L131" s="26">
        <f>IFERROR(LARGE($F$67:$F$78,4),"")</f>
        <v>6.5240731084911963E-2</v>
      </c>
    </row>
    <row r="132" spans="2:12" x14ac:dyDescent="0.2">
      <c r="B132" s="13" t="str">
        <f>IFERROR(INDEX($B$67:$B$78,MATCH(LARGE($C$67:$C$78,5),$C$67:$C$78,0)),"")</f>
        <v>Shoes</v>
      </c>
      <c r="C132" s="15">
        <f>IFERROR(LARGE($C$67:$C$78,5),"")</f>
        <v>719.05624540301994</v>
      </c>
      <c r="D132" s="10">
        <f>IFERROR(INDEX($D$67:$D$78,MATCH(LARGE($C$67:$C$78,5),$C$67:$C$78,0)),"")</f>
        <v>526.38636506148669</v>
      </c>
      <c r="E132" s="25">
        <f>IFERROR(C132-D132,"")</f>
        <v>192.66988034153326</v>
      </c>
      <c r="F132" s="26">
        <f>IFERROR(E132/D132,"")</f>
        <v>0.36602369120831552</v>
      </c>
      <c r="H132" s="13" t="str">
        <f>IFERROR(INDEX($B$67:$B$78,MATCH(LARGE($F$67:$F$78,5),$F$67:$F$78,0)),"")</f>
        <v>Hobby &amp; Novelty</v>
      </c>
      <c r="I132" s="15">
        <f>IFERROR(INDEX($C$67:$C$78,MATCH(LARGE($F$67:$F$78,5),$F$67:$F$78,0)),"")</f>
        <v>458.75527433149654</v>
      </c>
      <c r="J132" s="10">
        <f>IFERROR(INDEX($D$67:$D$78,MATCH(LARGE($F$67:$F$78,5),$F$67:$F$78,0)),"")</f>
        <v>441.2177187648133</v>
      </c>
      <c r="K132" s="25">
        <f>IFERROR(INDEX($E$67:$E$78,MATCH(LARGE($F$67:$F$78,5),$F$67:$F$78,0)),"")</f>
        <v>17.537555566683238</v>
      </c>
      <c r="L132" s="26">
        <f>IFERROR(LARGE($F$67:$F$78,5),"")</f>
        <v>3.9748076336960203E-2</v>
      </c>
    </row>
    <row r="134" spans="2:12" x14ac:dyDescent="0.2">
      <c r="B134" s="32" t="s">
        <v>104</v>
      </c>
      <c r="H134" s="32" t="s">
        <v>105</v>
      </c>
    </row>
    <row r="135" spans="2:12" x14ac:dyDescent="0.2">
      <c r="B135" s="23" t="s">
        <v>71</v>
      </c>
      <c r="C135" s="23" t="s">
        <v>72</v>
      </c>
      <c r="D135" s="23" t="s">
        <v>73</v>
      </c>
      <c r="E135" s="23" t="s">
        <v>74</v>
      </c>
      <c r="F135" s="23" t="s">
        <v>75</v>
      </c>
      <c r="H135" s="23" t="s">
        <v>71</v>
      </c>
      <c r="I135" s="23" t="s">
        <v>72</v>
      </c>
      <c r="J135" s="23" t="s">
        <v>73</v>
      </c>
      <c r="K135" s="23" t="s">
        <v>74</v>
      </c>
      <c r="L135" s="23" t="s">
        <v>75</v>
      </c>
    </row>
    <row r="136" spans="2:12" x14ac:dyDescent="0.2">
      <c r="B136" s="13" t="str">
        <f>IFERROR(INDEX($B$67:$B$78,MATCH(SMALL($C$67:$C$78,1),$C$67:$C$78,0)),"")</f>
        <v>Service</v>
      </c>
      <c r="C136" s="15">
        <f>IFERROR(SMALL($C$67:$C$78,1),"")</f>
        <v>398.20700288292335</v>
      </c>
      <c r="D136" s="10">
        <f>IFERROR(INDEX($D$67:$D$78,MATCH(SMALL($C$67:$C$78,1),$C$67:$C$78,0)),"")</f>
        <v>470.30923300450587</v>
      </c>
      <c r="E136" s="25">
        <f>IFERROR(C136-D136,"")</f>
        <v>-72.102230121582522</v>
      </c>
      <c r="F136" s="26">
        <f>IFERROR(E136/D136,"")</f>
        <v>-0.15330813231321727</v>
      </c>
      <c r="H136" s="13" t="str">
        <f>IFERROR(INDEX($B$67:$B$78,MATCH(SMALL($F$67:$F$78,1),$F$67:$F$78,0)),"")</f>
        <v>Tech</v>
      </c>
      <c r="I136" s="15">
        <f>IFERROR(INDEX($C$67:$C$78,MATCH(SMALL($F$67:$F$78,1),$F$67:$F$78,0)),"")</f>
        <v>513.13135802469139</v>
      </c>
      <c r="J136" s="10">
        <f>IFERROR(INDEX($D$67:$D$78,MATCH(SMALL($F$67:$F$78,1),$F$67:$F$78,0)),"")</f>
        <v>763.56959339957677</v>
      </c>
      <c r="K136" s="25">
        <f>IFERROR(INDEX($E$67:$E$78,MATCH(SMALL($F$67:$F$78,1),$F$67:$F$78,0)),"")</f>
        <v>-250.43823537488538</v>
      </c>
      <c r="L136" s="26">
        <f>IFERROR(SMALL($F$67:$F$78,1),"")</f>
        <v>-0.3279835100031685</v>
      </c>
    </row>
    <row r="137" spans="2:12" x14ac:dyDescent="0.2">
      <c r="B137" s="13" t="str">
        <f>IFERROR(INDEX($B$67:$B$78,MATCH(SMALL($C$67:$C$78,2),$C$67:$C$78,0)),"")</f>
        <v>Apparel</v>
      </c>
      <c r="C137" s="15">
        <f>IFERROR(SMALL($C$67:$C$78,2),"")</f>
        <v>413.19437420325596</v>
      </c>
      <c r="D137" s="10">
        <f>IFERROR(INDEX($D$67:$D$78,MATCH(SMALL($C$67:$C$78,2),$C$67:$C$78,0)),"")</f>
        <v>387.88826050843113</v>
      </c>
      <c r="E137" s="25">
        <f>IFERROR(C137-D137,"")</f>
        <v>25.30611369482483</v>
      </c>
      <c r="F137" s="26">
        <f>IFERROR(E137/D137,"")</f>
        <v>6.5240731084911963E-2</v>
      </c>
      <c r="H137" s="13" t="str">
        <f>IFERROR(INDEX($B$67:$B$78,MATCH(SMALL($F$67:$F$78,2),$F$67:$F$78,0)),"")</f>
        <v>Major</v>
      </c>
      <c r="I137" s="15">
        <f>IFERROR(INDEX($C$67:$C$78,MATCH(SMALL($F$67:$F$78,2),$F$67:$F$78,0)),"")</f>
        <v>511.38991354466862</v>
      </c>
      <c r="J137" s="10">
        <f>IFERROR(INDEX($D$67:$D$78,MATCH(SMALL($F$67:$F$78,2),$F$67:$F$78,0)),"")</f>
        <v>757.1381411713395</v>
      </c>
      <c r="K137" s="25">
        <f>IFERROR(INDEX($E$67:$E$78,MATCH(SMALL($F$67:$F$78,2),$F$67:$F$78,0)),"")</f>
        <v>-245.74822762667088</v>
      </c>
      <c r="L137" s="26">
        <f>IFERROR(SMALL($F$67:$F$78,2),"")</f>
        <v>-0.32457515248998442</v>
      </c>
    </row>
    <row r="138" spans="2:12" x14ac:dyDescent="0.2">
      <c r="B138" s="13" t="str">
        <f>IFERROR(INDEX($B$67:$B$78,MATCH(SMALL($C$67:$C$78,3),$C$67:$C$78,0)),"")</f>
        <v>Hobby &amp; Novelty</v>
      </c>
      <c r="C138" s="15">
        <f>IFERROR(SMALL($C$67:$C$78,3),"")</f>
        <v>458.75527433149654</v>
      </c>
      <c r="D138" s="10">
        <f>IFERROR(INDEX($D$67:$D$78,MATCH(SMALL($C$67:$C$78,3),$C$67:$C$78,0)),"")</f>
        <v>441.2177187648133</v>
      </c>
      <c r="E138" s="25">
        <f>IFERROR(C138-D138,"")</f>
        <v>17.537555566683238</v>
      </c>
      <c r="F138" s="26">
        <f>IFERROR(E138/D138,"")</f>
        <v>3.9748076336960203E-2</v>
      </c>
      <c r="H138" s="13" t="str">
        <f>IFERROR(INDEX($B$67:$B$78,MATCH(SMALL($F$67:$F$78,3),$F$67:$F$78,0)),"")</f>
        <v>Service</v>
      </c>
      <c r="I138" s="15">
        <f>IFERROR(INDEX($C$67:$C$78,MATCH(SMALL($F$67:$F$78,3),$F$67:$F$78,0)),"")</f>
        <v>398.20700288292335</v>
      </c>
      <c r="J138" s="10">
        <f>IFERROR(INDEX($D$67:$D$78,MATCH(SMALL($F$67:$F$78,3),$F$67:$F$78,0)),"")</f>
        <v>470.30923300450587</v>
      </c>
      <c r="K138" s="25">
        <f>IFERROR(INDEX($E$67:$E$78,MATCH(SMALL($F$67:$F$78,3),$F$67:$F$78,0)),"")</f>
        <v>-72.102230121582522</v>
      </c>
      <c r="L138" s="26">
        <f>IFERROR(SMALL($F$67:$F$78,3),"")</f>
        <v>-0.15330813231321727</v>
      </c>
    </row>
    <row r="139" spans="2:12" x14ac:dyDescent="0.2">
      <c r="B139" s="13" t="str">
        <f>IFERROR(INDEX($B$67:$B$78,MATCH(SMALL($C$67:$C$78,4),$C$67:$C$78,0)),"")</f>
        <v>Major</v>
      </c>
      <c r="C139" s="15">
        <f>IFERROR(SMALL($C$67:$C$78,4),"")</f>
        <v>511.38991354466862</v>
      </c>
      <c r="D139" s="10">
        <f>IFERROR(INDEX($D$67:$D$78,MATCH(SMALL($C$67:$C$78,4),$C$67:$C$78,0)),"")</f>
        <v>757.1381411713395</v>
      </c>
      <c r="E139" s="25">
        <f>IFERROR(C139-D139,"")</f>
        <v>-245.74822762667088</v>
      </c>
      <c r="F139" s="26">
        <f>IFERROR(E139/D139,"")</f>
        <v>-0.32457515248998442</v>
      </c>
      <c r="H139" s="13" t="str">
        <f>IFERROR(INDEX($B$67:$B$78,MATCH(SMALL($F$67:$F$78,4),$F$67:$F$78,0)),"")</f>
        <v>Food &amp; Beverage</v>
      </c>
      <c r="I139" s="15">
        <f>IFERROR(INDEX($C$67:$C$78,MATCH(SMALL($F$67:$F$78,4),$F$67:$F$78,0)),"")</f>
        <v>893.99749446694784</v>
      </c>
      <c r="J139" s="10">
        <f>IFERROR(INDEX($D$67:$D$78,MATCH(SMALL($F$67:$F$78,4),$F$67:$F$78,0)),"")</f>
        <v>913.41798487599681</v>
      </c>
      <c r="K139" s="25">
        <f>IFERROR(INDEX($E$67:$E$78,MATCH(SMALL($F$67:$F$78,4),$F$67:$F$78,0)),"")</f>
        <v>-19.420490409048966</v>
      </c>
      <c r="L139" s="26">
        <f>IFERROR(SMALL($F$67:$F$78,4),"")</f>
        <v>-2.1261340077166797E-2</v>
      </c>
    </row>
    <row r="140" spans="2:12" x14ac:dyDescent="0.2">
      <c r="B140" s="13" t="str">
        <f>IFERROR(INDEX($B$67:$B$78,MATCH(SMALL($C$67:$C$78,5),$C$67:$C$78,0)),"")</f>
        <v>Tech</v>
      </c>
      <c r="C140" s="15">
        <f>IFERROR(SMALL($C$67:$C$78,5),"")</f>
        <v>513.13135802469139</v>
      </c>
      <c r="D140" s="10">
        <f>IFERROR(INDEX($D$67:$D$78,MATCH(SMALL($C$67:$C$78,5),$C$67:$C$78,0)),"")</f>
        <v>763.56959339957677</v>
      </c>
      <c r="E140" s="25">
        <f>IFERROR(C140-D140,"")</f>
        <v>-250.43823537488538</v>
      </c>
      <c r="F140" s="26">
        <f>IFERROR(E140/D140,"")</f>
        <v>-0.3279835100031685</v>
      </c>
      <c r="H140" s="13" t="str">
        <f>IFERROR(INDEX($B$67:$B$78,MATCH(SMALL($F$67:$F$78,5),$F$67:$F$78,0)),"")</f>
        <v>Jewelry</v>
      </c>
      <c r="I140" s="15">
        <f>IFERROR(INDEX($C$67:$C$78,MATCH(SMALL($F$67:$F$78,5),$F$67:$F$78,0)),"")</f>
        <v>1075.6565892507563</v>
      </c>
      <c r="J140" s="10">
        <f>IFERROR(INDEX($D$67:$D$78,MATCH(SMALL($F$67:$F$78,5),$F$67:$F$78,0)),"")</f>
        <v>1037.5322723508884</v>
      </c>
      <c r="K140" s="25">
        <f>IFERROR(INDEX($E$67:$E$78,MATCH(SMALL($F$67:$F$78,5),$F$67:$F$78,0)),"")</f>
        <v>38.124316899867836</v>
      </c>
      <c r="L140" s="26">
        <f>IFERROR(SMALL($F$67:$F$78,5),"")</f>
        <v>3.6745186550664111E-2</v>
      </c>
    </row>
  </sheetData>
  <mergeCells count="8">
    <mergeCell ref="B111:J111"/>
    <mergeCell ref="B13:H13"/>
    <mergeCell ref="B11:L11"/>
    <mergeCell ref="B80:F80"/>
    <mergeCell ref="B3:L3"/>
    <mergeCell ref="B110:J110"/>
    <mergeCell ref="B95:H95"/>
    <mergeCell ref="B65:I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L49"/>
  <sheetViews>
    <sheetView workbookViewId="0">
      <pane ySplit="1" topLeftCell="A2" activePane="bottomLeft" state="frozen"/>
      <selection pane="bottomLeft" activeCell="D61" sqref="D61"/>
    </sheetView>
  </sheetViews>
  <sheetFormatPr baseColWidth="10" defaultColWidth="8.83203125" defaultRowHeight="15" x14ac:dyDescent="0.2"/>
  <cols>
    <col min="1" max="1" width="30" customWidth="1"/>
    <col min="2" max="2" width="9" customWidth="1"/>
    <col min="3" max="3" width="14" customWidth="1"/>
    <col min="4" max="12" width="16" customWidth="1"/>
  </cols>
  <sheetData>
    <row r="1" spans="1:12" ht="32" x14ac:dyDescent="0.2">
      <c r="A1" s="33" t="s">
        <v>14</v>
      </c>
      <c r="B1" s="33" t="s">
        <v>106</v>
      </c>
      <c r="C1" s="33" t="s">
        <v>107</v>
      </c>
      <c r="D1" s="33" t="s">
        <v>108</v>
      </c>
      <c r="E1" s="33" t="s">
        <v>17</v>
      </c>
      <c r="F1" s="33" t="s">
        <v>109</v>
      </c>
      <c r="G1" s="33" t="s">
        <v>18</v>
      </c>
      <c r="H1" s="33" t="s">
        <v>110</v>
      </c>
      <c r="I1" s="33" t="s">
        <v>111</v>
      </c>
      <c r="J1" s="33" t="s">
        <v>112</v>
      </c>
      <c r="K1" s="33" t="s">
        <v>113</v>
      </c>
      <c r="L1" s="33" t="s">
        <v>114</v>
      </c>
    </row>
    <row r="2" spans="1:12" x14ac:dyDescent="0.2">
      <c r="A2" s="14" t="s">
        <v>55</v>
      </c>
      <c r="B2" s="14" t="s">
        <v>115</v>
      </c>
      <c r="C2" s="14" t="s">
        <v>116</v>
      </c>
      <c r="D2" s="14" t="s">
        <v>117</v>
      </c>
      <c r="E2" s="34">
        <v>9376877</v>
      </c>
      <c r="F2" s="34">
        <v>812175</v>
      </c>
      <c r="G2" s="35">
        <v>110808.28</v>
      </c>
      <c r="H2" s="36">
        <f>IF(B2="Y",IFERROR(SUMIFS('Tenant Data'!$F$2:$F$4674,'Tenant Data'!$A$2:$A$4674,A2,'Tenant Data'!$F$2:$F$4674,"&gt;0",'Tenant Data'!$E$2:$E$4674,"&lt;10000")/SUMIFS('Tenant Data'!$E$2:$E$4674,'Tenant Data'!$A$2:$A$4674,A2,'Tenant Data'!$F$2:$F$4674,"&gt;0",'Tenant Data'!$E$2:$E$4674,"&lt;10000"),""),"")</f>
        <v>615.08830044041497</v>
      </c>
      <c r="I2" s="36">
        <f>IF(B2="Y",IFERROR(SUMIFS('Tenant Data'!$F$2:$F$4674,'Tenant Data'!$A$2:$A$4674,A2,'Tenant Data'!$D$2:$D$4674,"&lt;&gt;Apple",'Tenant Data'!$F$2:$F$4674,"&gt;0",'Tenant Data'!$E$2:$E$4674,"&lt;10000")/SUMIFS('Tenant Data'!$E$2:$E$4674,'Tenant Data'!$A$2:$A$4674,A2,'Tenant Data'!$D$2:$D$4674,"&lt;&gt;Apple",'Tenant Data'!$F$2:$F$4674,"&gt;0",'Tenant Data'!$E$2:$E$4674,"&lt;10000"),""),"")</f>
        <v>615.08830044041497</v>
      </c>
      <c r="J2" s="36">
        <f>IF(B2="Y",IFERROR(SUMPRODUCT(('Tenant Data'!$A$2:$A$4674=A2)*('Tenant Data'!$F$2:$F$4674&gt;0)*('Tenant Data'!$E$2:$E$4674&lt;10000)*'Tenant Data'!$I$2:$I$4674*'Tenant Data'!$E$2:$E$4674)/SUMPRODUCT(('Tenant Data'!$A$2:$A$4674=A2)*('Tenant Data'!$F$2:$F$4674&gt;0)*('Tenant Data'!$E$2:$E$4674&lt;10000)*'Tenant Data'!$E$2:$E$4674),""),"")</f>
        <v>83.116845684198481</v>
      </c>
      <c r="K2" s="37">
        <f>IF(B2="Y",IFERROR(SUMPRODUCT(('Tenant Data'!$A$2:$A$4674=A2)*('Tenant Data'!$F$2:$F$4674&gt;0)*('Tenant Data'!$E$2:$E$4674&lt;10000)*'Tenant Data'!$J$2:$J$4674*'Tenant Data'!$E$2:$E$4674)/SUMPRODUCT(('Tenant Data'!$A$2:$A$4674=A2)*('Tenant Data'!$F$2:$F$4674&gt;0)*('Tenant Data'!$E$2:$E$4674&lt;10000)*'Tenant Data'!$E$2:$E$4674),""),"")</f>
        <v>0.16065159079807481</v>
      </c>
      <c r="L2" s="14">
        <f>IF(B2="Y",COUNTIFS('Tenant Data'!$A$2:$A$4674,A2,'Tenant Data'!$E$2:$E$4674,"&lt;10000"),"")</f>
        <v>109</v>
      </c>
    </row>
    <row r="3" spans="1:12" x14ac:dyDescent="0.2">
      <c r="A3" s="9" t="s">
        <v>60</v>
      </c>
      <c r="B3" s="9" t="s">
        <v>115</v>
      </c>
      <c r="C3" s="9" t="s">
        <v>116</v>
      </c>
      <c r="D3" s="9" t="s">
        <v>118</v>
      </c>
      <c r="E3" s="38">
        <v>7274990</v>
      </c>
      <c r="F3" s="38">
        <v>841572</v>
      </c>
      <c r="G3" s="39">
        <v>139445.69</v>
      </c>
      <c r="H3" s="40">
        <f>IF(B3="Y",IFERROR(SUMIFS('Tenant Data'!$F$2:$F$4674,'Tenant Data'!$A$2:$A$4674,A3,'Tenant Data'!$F$2:$F$4674,"&gt;0",'Tenant Data'!$E$2:$E$4674,"&lt;10000")/SUMIFS('Tenant Data'!$E$2:$E$4674,'Tenant Data'!$A$2:$A$4674,A3,'Tenant Data'!$F$2:$F$4674,"&gt;0",'Tenant Data'!$E$2:$E$4674,"&lt;10000"),""),"")</f>
        <v>620.13577598908807</v>
      </c>
      <c r="I3" s="40">
        <f>IF(B3="Y",IFERROR(SUMIFS('Tenant Data'!$F$2:$F$4674,'Tenant Data'!$A$2:$A$4674,A3,'Tenant Data'!$D$2:$D$4674,"&lt;&gt;Apple",'Tenant Data'!$F$2:$F$4674,"&gt;0",'Tenant Data'!$E$2:$E$4674,"&lt;10000")/SUMIFS('Tenant Data'!$E$2:$E$4674,'Tenant Data'!$A$2:$A$4674,A3,'Tenant Data'!$D$2:$D$4674,"&lt;&gt;Apple",'Tenant Data'!$F$2:$F$4674,"&gt;0",'Tenant Data'!$E$2:$E$4674,"&lt;10000"),""),"")</f>
        <v>522.44917206366824</v>
      </c>
      <c r="J3" s="40">
        <f>IF(B3="Y",IFERROR(SUMPRODUCT(('Tenant Data'!$A$2:$A$4674=A3)*('Tenant Data'!$F$2:$F$4674&gt;0)*('Tenant Data'!$E$2:$E$4674&lt;10000)*'Tenant Data'!$I$2:$I$4674*'Tenant Data'!$E$2:$E$4674)/SUMPRODUCT(('Tenant Data'!$A$2:$A$4674=A3)*('Tenant Data'!$F$2:$F$4674&gt;0)*('Tenant Data'!$E$2:$E$4674&lt;10000)*'Tenant Data'!$E$2:$E$4674),""),"")</f>
        <v>78.40589109579787</v>
      </c>
      <c r="K3" s="41">
        <f>IF(B3="Y",IFERROR(SUMPRODUCT(('Tenant Data'!$A$2:$A$4674=A3)*('Tenant Data'!$F$2:$F$4674&gt;0)*('Tenant Data'!$E$2:$E$4674&lt;10000)*'Tenant Data'!$J$2:$J$4674*'Tenant Data'!$E$2:$E$4674)/SUMPRODUCT(('Tenant Data'!$A$2:$A$4674=A3)*('Tenant Data'!$F$2:$F$4674&gt;0)*('Tenant Data'!$E$2:$E$4674&lt;10000)*'Tenant Data'!$E$2:$E$4674),""),"")</f>
        <v>0.1801580297971512</v>
      </c>
      <c r="L3" s="9">
        <f>IF(B3="Y",COUNTIFS('Tenant Data'!$A$2:$A$4674,A3,'Tenant Data'!$E$2:$E$4674,"&lt;10000"),"")</f>
        <v>109</v>
      </c>
    </row>
    <row r="4" spans="1:12" x14ac:dyDescent="0.2">
      <c r="A4" s="9" t="s">
        <v>41</v>
      </c>
      <c r="B4" s="9" t="s">
        <v>115</v>
      </c>
      <c r="C4" s="9" t="s">
        <v>119</v>
      </c>
      <c r="D4" s="9" t="s">
        <v>120</v>
      </c>
      <c r="E4" s="38">
        <v>5278675</v>
      </c>
      <c r="F4" s="38">
        <v>342233</v>
      </c>
      <c r="G4" s="39">
        <v>158600.14000000001</v>
      </c>
      <c r="H4" s="40">
        <f>IF(B4="Y",IFERROR(SUMIFS('Tenant Data'!$F$2:$F$4674,'Tenant Data'!$A$2:$A$4674,A4,'Tenant Data'!$F$2:$F$4674,"&gt;0",'Tenant Data'!$E$2:$E$4674,"&lt;10000")/SUMIFS('Tenant Data'!$E$2:$E$4674,'Tenant Data'!$A$2:$A$4674,A4,'Tenant Data'!$F$2:$F$4674,"&gt;0",'Tenant Data'!$E$2:$E$4674,"&lt;10000"),""),"")</f>
        <v>516.97671975143714</v>
      </c>
      <c r="I4" s="40">
        <f>IF(B4="Y",IFERROR(SUMIFS('Tenant Data'!$F$2:$F$4674,'Tenant Data'!$A$2:$A$4674,A4,'Tenant Data'!$D$2:$D$4674,"&lt;&gt;Apple",'Tenant Data'!$F$2:$F$4674,"&gt;0",'Tenant Data'!$E$2:$E$4674,"&lt;10000")/SUMIFS('Tenant Data'!$E$2:$E$4674,'Tenant Data'!$A$2:$A$4674,A4,'Tenant Data'!$D$2:$D$4674,"&lt;&gt;Apple",'Tenant Data'!$F$2:$F$4674,"&gt;0",'Tenant Data'!$E$2:$E$4674,"&lt;10000"),""),"")</f>
        <v>516.97671975143714</v>
      </c>
      <c r="J4" s="40">
        <f>IF(B4="Y",IFERROR(SUMPRODUCT(('Tenant Data'!$A$2:$A$4674=A4)*('Tenant Data'!$F$2:$F$4674&gt;0)*('Tenant Data'!$E$2:$E$4674&lt;10000)*'Tenant Data'!$I$2:$I$4674*'Tenant Data'!$E$2:$E$4674)/SUMPRODUCT(('Tenant Data'!$A$2:$A$4674=A4)*('Tenant Data'!$F$2:$F$4674&gt;0)*('Tenant Data'!$E$2:$E$4674&lt;10000)*'Tenant Data'!$E$2:$E$4674),""),"")</f>
        <v>48.304069165303275</v>
      </c>
      <c r="K4" s="41">
        <f>IF(B4="Y",IFERROR(SUMPRODUCT(('Tenant Data'!$A$2:$A$4674=A4)*('Tenant Data'!$F$2:$F$4674&gt;0)*('Tenant Data'!$E$2:$E$4674&lt;10000)*'Tenant Data'!$J$2:$J$4674*'Tenant Data'!$E$2:$E$4674)/SUMPRODUCT(('Tenant Data'!$A$2:$A$4674=A4)*('Tenant Data'!$F$2:$F$4674&gt;0)*('Tenant Data'!$E$2:$E$4674&lt;10000)*'Tenant Data'!$E$2:$E$4674),""),"")</f>
        <v>0.13606986446058539</v>
      </c>
      <c r="L4" s="9">
        <f>IF(B4="Y",COUNTIFS('Tenant Data'!$A$2:$A$4674,A4,'Tenant Data'!$E$2:$E$4674,"&lt;10000"),"")</f>
        <v>28</v>
      </c>
    </row>
    <row r="5" spans="1:12" x14ac:dyDescent="0.2">
      <c r="A5" s="9" t="s">
        <v>54</v>
      </c>
      <c r="B5" s="9" t="s">
        <v>115</v>
      </c>
      <c r="C5" s="9" t="s">
        <v>116</v>
      </c>
      <c r="D5" s="9" t="s">
        <v>120</v>
      </c>
      <c r="E5" s="38">
        <v>7097365</v>
      </c>
      <c r="F5" s="38">
        <v>1081269</v>
      </c>
      <c r="G5" s="39">
        <v>105913.35</v>
      </c>
      <c r="H5" s="40">
        <f>IF(B5="Y",IFERROR(SUMIFS('Tenant Data'!$F$2:$F$4674,'Tenant Data'!$A$2:$A$4674,A5,'Tenant Data'!$F$2:$F$4674,"&gt;0",'Tenant Data'!$E$2:$E$4674,"&lt;10000")/SUMIFS('Tenant Data'!$E$2:$E$4674,'Tenant Data'!$A$2:$A$4674,A5,'Tenant Data'!$F$2:$F$4674,"&gt;0",'Tenant Data'!$E$2:$E$4674,"&lt;10000"),""),"")</f>
        <v>841.96340671472171</v>
      </c>
      <c r="I5" s="40">
        <f>IF(B5="Y",IFERROR(SUMIFS('Tenant Data'!$F$2:$F$4674,'Tenant Data'!$A$2:$A$4674,A5,'Tenant Data'!$D$2:$D$4674,"&lt;&gt;Apple",'Tenant Data'!$F$2:$F$4674,"&gt;0",'Tenant Data'!$E$2:$E$4674,"&lt;10000")/SUMIFS('Tenant Data'!$E$2:$E$4674,'Tenant Data'!$A$2:$A$4674,A5,'Tenant Data'!$D$2:$D$4674,"&lt;&gt;Apple",'Tenant Data'!$F$2:$F$4674,"&gt;0",'Tenant Data'!$E$2:$E$4674,"&lt;10000"),""),"")</f>
        <v>690.82266831687309</v>
      </c>
      <c r="J5" s="40">
        <f>IF(B5="Y",IFERROR(SUMPRODUCT(('Tenant Data'!$A$2:$A$4674=A5)*('Tenant Data'!$F$2:$F$4674&gt;0)*('Tenant Data'!$E$2:$E$4674&lt;10000)*'Tenant Data'!$I$2:$I$4674*'Tenant Data'!$E$2:$E$4674)/SUMPRODUCT(('Tenant Data'!$A$2:$A$4674=A5)*('Tenant Data'!$F$2:$F$4674&gt;0)*('Tenant Data'!$E$2:$E$4674&lt;10000)*'Tenant Data'!$E$2:$E$4674),""),"")</f>
        <v>97.87336162917056</v>
      </c>
      <c r="K5" s="41">
        <f>IF(B5="Y",IFERROR(SUMPRODUCT(('Tenant Data'!$A$2:$A$4674=A5)*('Tenant Data'!$F$2:$F$4674&gt;0)*('Tenant Data'!$E$2:$E$4674&lt;10000)*'Tenant Data'!$J$2:$J$4674*'Tenant Data'!$E$2:$E$4674)/SUMPRODUCT(('Tenant Data'!$A$2:$A$4674=A5)*('Tenant Data'!$F$2:$F$4674&gt;0)*('Tenant Data'!$E$2:$E$4674&lt;10000)*'Tenant Data'!$E$2:$E$4674),""),"")</f>
        <v>0.15905319829495171</v>
      </c>
      <c r="L5" s="9">
        <f>IF(B5="Y",COUNTIFS('Tenant Data'!$A$2:$A$4674,A5,'Tenant Data'!$E$2:$E$4674,"&lt;10000"),"")</f>
        <v>78</v>
      </c>
    </row>
    <row r="6" spans="1:12" x14ac:dyDescent="0.2">
      <c r="A6" s="9" t="s">
        <v>21</v>
      </c>
      <c r="B6" s="9" t="s">
        <v>115</v>
      </c>
      <c r="C6" s="9" t="s">
        <v>119</v>
      </c>
      <c r="D6" s="9" t="s">
        <v>121</v>
      </c>
      <c r="E6" s="38">
        <v>7490755</v>
      </c>
      <c r="F6" s="38">
        <v>398730</v>
      </c>
      <c r="G6" s="39">
        <v>116194.71</v>
      </c>
      <c r="H6" s="40">
        <f>IF(B6="Y",IFERROR(SUMIFS('Tenant Data'!$F$2:$F$4674,'Tenant Data'!$A$2:$A$4674,A6,'Tenant Data'!$F$2:$F$4674,"&gt;0",'Tenant Data'!$E$2:$E$4674,"&lt;10000")/SUMIFS('Tenant Data'!$E$2:$E$4674,'Tenant Data'!$A$2:$A$4674,A6,'Tenant Data'!$F$2:$F$4674,"&gt;0",'Tenant Data'!$E$2:$E$4674,"&lt;10000"),""),"")</f>
        <v>374.60867697293151</v>
      </c>
      <c r="I6" s="40">
        <f>IF(B6="Y",IFERROR(SUMIFS('Tenant Data'!$F$2:$F$4674,'Tenant Data'!$A$2:$A$4674,A6,'Tenant Data'!$D$2:$D$4674,"&lt;&gt;Apple",'Tenant Data'!$F$2:$F$4674,"&gt;0",'Tenant Data'!$E$2:$E$4674,"&lt;10000")/SUMIFS('Tenant Data'!$E$2:$E$4674,'Tenant Data'!$A$2:$A$4674,A6,'Tenant Data'!$D$2:$D$4674,"&lt;&gt;Apple",'Tenant Data'!$F$2:$F$4674,"&gt;0",'Tenant Data'!$E$2:$E$4674,"&lt;10000"),""),"")</f>
        <v>374.60867697293151</v>
      </c>
      <c r="J6" s="40">
        <f>IF(B6="Y",IFERROR(SUMPRODUCT(('Tenant Data'!$A$2:$A$4674=A6)*('Tenant Data'!$F$2:$F$4674&gt;0)*('Tenant Data'!$E$2:$E$4674&lt;10000)*'Tenant Data'!$I$2:$I$4674*'Tenant Data'!$E$2:$E$4674)/SUMPRODUCT(('Tenant Data'!$A$2:$A$4674=A6)*('Tenant Data'!$F$2:$F$4674&gt;0)*('Tenant Data'!$E$2:$E$4674&lt;10000)*'Tenant Data'!$E$2:$E$4674),""),"")</f>
        <v>35.035780236860347</v>
      </c>
      <c r="K6" s="41">
        <f>IF(B6="Y",IFERROR(SUMPRODUCT(('Tenant Data'!$A$2:$A$4674=A6)*('Tenant Data'!$F$2:$F$4674&gt;0)*('Tenant Data'!$E$2:$E$4674&lt;10000)*'Tenant Data'!$J$2:$J$4674*'Tenant Data'!$E$2:$E$4674)/SUMPRODUCT(('Tenant Data'!$A$2:$A$4674=A6)*('Tenant Data'!$F$2:$F$4674&gt;0)*('Tenant Data'!$E$2:$E$4674&lt;10000)*'Tenant Data'!$E$2:$E$4674),""),"")</f>
        <v>0.10331773297790357</v>
      </c>
      <c r="L6" s="9">
        <f>IF(B6="Y",COUNTIFS('Tenant Data'!$A$2:$A$4674,A6,'Tenant Data'!$E$2:$E$4674,"&lt;10000"),"")</f>
        <v>42</v>
      </c>
    </row>
    <row r="7" spans="1:12" x14ac:dyDescent="0.2">
      <c r="A7" s="9" t="s">
        <v>32</v>
      </c>
      <c r="B7" s="9" t="s">
        <v>115</v>
      </c>
      <c r="C7" s="9" t="s">
        <v>116</v>
      </c>
      <c r="D7" s="9" t="s">
        <v>122</v>
      </c>
      <c r="E7" s="38">
        <v>6850096</v>
      </c>
      <c r="F7" s="38">
        <v>698081</v>
      </c>
      <c r="G7" s="39">
        <v>93025.38</v>
      </c>
      <c r="H7" s="40">
        <f>IF(B7="Y",IFERROR(SUMIFS('Tenant Data'!$F$2:$F$4674,'Tenant Data'!$A$2:$A$4674,A7,'Tenant Data'!$F$2:$F$4674,"&gt;0",'Tenant Data'!$E$2:$E$4674,"&lt;10000")/SUMIFS('Tenant Data'!$E$2:$E$4674,'Tenant Data'!$A$2:$A$4674,A7,'Tenant Data'!$F$2:$F$4674,"&gt;0",'Tenant Data'!$E$2:$E$4674,"&lt;10000"),""),"")</f>
        <v>807.12334135099297</v>
      </c>
      <c r="I7" s="40">
        <f>IF(B7="Y",IFERROR(SUMIFS('Tenant Data'!$F$2:$F$4674,'Tenant Data'!$A$2:$A$4674,A7,'Tenant Data'!$D$2:$D$4674,"&lt;&gt;Apple",'Tenant Data'!$F$2:$F$4674,"&gt;0",'Tenant Data'!$E$2:$E$4674,"&lt;10000")/SUMIFS('Tenant Data'!$E$2:$E$4674,'Tenant Data'!$A$2:$A$4674,A7,'Tenant Data'!$D$2:$D$4674,"&lt;&gt;Apple",'Tenant Data'!$F$2:$F$4674,"&gt;0",'Tenant Data'!$E$2:$E$4674,"&lt;10000"),""),"")</f>
        <v>655.83464678046016</v>
      </c>
      <c r="J7" s="40">
        <f>IF(B7="Y",IFERROR(SUMPRODUCT(('Tenant Data'!$A$2:$A$4674=A7)*('Tenant Data'!$F$2:$F$4674&gt;0)*('Tenant Data'!$E$2:$E$4674&lt;10000)*'Tenant Data'!$I$2:$I$4674*'Tenant Data'!$E$2:$E$4674)/SUMPRODUCT(('Tenant Data'!$A$2:$A$4674=A7)*('Tenant Data'!$F$2:$F$4674&gt;0)*('Tenant Data'!$E$2:$E$4674&lt;10000)*'Tenant Data'!$E$2:$E$4674),""),"")</f>
        <v>77.703159166163388</v>
      </c>
      <c r="K7" s="41">
        <f>IF(B7="Y",IFERROR(SUMPRODUCT(('Tenant Data'!$A$2:$A$4674=A7)*('Tenant Data'!$F$2:$F$4674&gt;0)*('Tenant Data'!$E$2:$E$4674&lt;10000)*'Tenant Data'!$J$2:$J$4674*'Tenant Data'!$E$2:$E$4674)/SUMPRODUCT(('Tenant Data'!$A$2:$A$4674=A7)*('Tenant Data'!$F$2:$F$4674&gt;0)*('Tenant Data'!$E$2:$E$4674&lt;10000)*'Tenant Data'!$E$2:$E$4674),""),"")</f>
        <v>0.12516513252758626</v>
      </c>
      <c r="L7" s="9">
        <f>IF(B7="Y",COUNTIFS('Tenant Data'!$A$2:$A$4674,A7,'Tenant Data'!$E$2:$E$4674,"&lt;10000"),"")</f>
        <v>101</v>
      </c>
    </row>
    <row r="8" spans="1:12" x14ac:dyDescent="0.2">
      <c r="A8" s="9" t="s">
        <v>68</v>
      </c>
      <c r="B8" s="9" t="s">
        <v>115</v>
      </c>
      <c r="C8" s="9" t="s">
        <v>116</v>
      </c>
      <c r="D8" s="9" t="s">
        <v>123</v>
      </c>
      <c r="E8" s="38">
        <v>3417309</v>
      </c>
      <c r="F8" s="38">
        <v>438493</v>
      </c>
      <c r="G8" s="39">
        <v>112360.61</v>
      </c>
      <c r="H8" s="40">
        <f>IF(B8="Y",IFERROR(SUMIFS('Tenant Data'!$F$2:$F$4674,'Tenant Data'!$A$2:$A$4674,A8,'Tenant Data'!$F$2:$F$4674,"&gt;0",'Tenant Data'!$E$2:$E$4674,"&lt;10000")/SUMIFS('Tenant Data'!$E$2:$E$4674,'Tenant Data'!$A$2:$A$4674,A8,'Tenant Data'!$F$2:$F$4674,"&gt;0",'Tenant Data'!$E$2:$E$4674,"&lt;10000"),""),"")</f>
        <v>45.800694458797508</v>
      </c>
      <c r="I8" s="40">
        <f>IF(B8="Y",IFERROR(SUMIFS('Tenant Data'!$F$2:$F$4674,'Tenant Data'!$A$2:$A$4674,A8,'Tenant Data'!$D$2:$D$4674,"&lt;&gt;Apple",'Tenant Data'!$F$2:$F$4674,"&gt;0",'Tenant Data'!$E$2:$E$4674,"&lt;10000")/SUMIFS('Tenant Data'!$E$2:$E$4674,'Tenant Data'!$A$2:$A$4674,A8,'Tenant Data'!$D$2:$D$4674,"&lt;&gt;Apple",'Tenant Data'!$F$2:$F$4674,"&gt;0",'Tenant Data'!$E$2:$E$4674,"&lt;10000"),""),"")</f>
        <v>36.056095135318138</v>
      </c>
      <c r="J8" s="40">
        <f>IF(B8="Y",IFERROR(SUMPRODUCT(('Tenant Data'!$A$2:$A$4674=A8)*('Tenant Data'!$F$2:$F$4674&gt;0)*('Tenant Data'!$E$2:$E$4674&lt;10000)*'Tenant Data'!$I$2:$I$4674*'Tenant Data'!$E$2:$E$4674)/SUMPRODUCT(('Tenant Data'!$A$2:$A$4674=A8)*('Tenant Data'!$F$2:$F$4674&gt;0)*('Tenant Data'!$E$2:$E$4674&lt;10000)*'Tenant Data'!$E$2:$E$4674),""),"")</f>
        <v>0</v>
      </c>
      <c r="K8" s="41">
        <f>IF(B8="Y",IFERROR(SUMPRODUCT(('Tenant Data'!$A$2:$A$4674=A8)*('Tenant Data'!$F$2:$F$4674&gt;0)*('Tenant Data'!$E$2:$E$4674&lt;10000)*'Tenant Data'!$J$2:$J$4674*'Tenant Data'!$E$2:$E$4674)/SUMPRODUCT(('Tenant Data'!$A$2:$A$4674=A8)*('Tenant Data'!$F$2:$F$4674&gt;0)*('Tenant Data'!$E$2:$E$4674&lt;10000)*'Tenant Data'!$E$2:$E$4674),""),"")</f>
        <v>0</v>
      </c>
      <c r="L8" s="9">
        <f>IF(B8="Y",COUNTIFS('Tenant Data'!$A$2:$A$4674,A8,'Tenant Data'!$E$2:$E$4674,"&lt;10000"),"")</f>
        <v>67</v>
      </c>
    </row>
    <row r="9" spans="1:12" x14ac:dyDescent="0.2">
      <c r="A9" s="9" t="s">
        <v>23</v>
      </c>
      <c r="B9" s="9" t="s">
        <v>115</v>
      </c>
      <c r="C9" s="9" t="s">
        <v>119</v>
      </c>
      <c r="D9" s="9" t="s">
        <v>124</v>
      </c>
      <c r="E9" s="38">
        <v>6217908</v>
      </c>
      <c r="F9" s="38">
        <v>403025</v>
      </c>
      <c r="G9" s="39">
        <v>109737.91</v>
      </c>
      <c r="H9" s="40">
        <f>IF(B9="Y",IFERROR(SUMIFS('Tenant Data'!$F$2:$F$4674,'Tenant Data'!$A$2:$A$4674,A9,'Tenant Data'!$F$2:$F$4674,"&gt;0",'Tenant Data'!$E$2:$E$4674,"&lt;10000")/SUMIFS('Tenant Data'!$E$2:$E$4674,'Tenant Data'!$A$2:$A$4674,A9,'Tenant Data'!$F$2:$F$4674,"&gt;0",'Tenant Data'!$E$2:$E$4674,"&lt;10000"),""),"")</f>
        <v>767.89327132880976</v>
      </c>
      <c r="I9" s="40">
        <f>IF(B9="Y",IFERROR(SUMIFS('Tenant Data'!$F$2:$F$4674,'Tenant Data'!$A$2:$A$4674,A9,'Tenant Data'!$D$2:$D$4674,"&lt;&gt;Apple",'Tenant Data'!$F$2:$F$4674,"&gt;0",'Tenant Data'!$E$2:$E$4674,"&lt;10000")/SUMIFS('Tenant Data'!$E$2:$E$4674,'Tenant Data'!$A$2:$A$4674,A9,'Tenant Data'!$D$2:$D$4674,"&lt;&gt;Apple",'Tenant Data'!$F$2:$F$4674,"&gt;0",'Tenant Data'!$E$2:$E$4674,"&lt;10000"),""),"")</f>
        <v>606.27829917027498</v>
      </c>
      <c r="J9" s="40">
        <f>IF(B9="Y",IFERROR(SUMPRODUCT(('Tenant Data'!$A$2:$A$4674=A9)*('Tenant Data'!$F$2:$F$4674&gt;0)*('Tenant Data'!$E$2:$E$4674&lt;10000)*'Tenant Data'!$I$2:$I$4674*'Tenant Data'!$E$2:$E$4674)/SUMPRODUCT(('Tenant Data'!$A$2:$A$4674=A9)*('Tenant Data'!$F$2:$F$4674&gt;0)*('Tenant Data'!$E$2:$E$4674&lt;10000)*'Tenant Data'!$E$2:$E$4674),""),"")</f>
        <v>52.902946950720988</v>
      </c>
      <c r="K9" s="41">
        <f>IF(B9="Y",IFERROR(SUMPRODUCT(('Tenant Data'!$A$2:$A$4674=A9)*('Tenant Data'!$F$2:$F$4674&gt;0)*('Tenant Data'!$E$2:$E$4674&lt;10000)*'Tenant Data'!$J$2:$J$4674*'Tenant Data'!$E$2:$E$4674)/SUMPRODUCT(('Tenant Data'!$A$2:$A$4674=A9)*('Tenant Data'!$F$2:$F$4674&gt;0)*('Tenant Data'!$E$2:$E$4674&lt;10000)*'Tenant Data'!$E$2:$E$4674),""),"")</f>
        <v>0.11001160207041293</v>
      </c>
      <c r="L9" s="9">
        <f>IF(B9="Y",COUNTIFS('Tenant Data'!$A$2:$A$4674,A9,'Tenant Data'!$E$2:$E$4674,"&lt;10000"),"")</f>
        <v>70</v>
      </c>
    </row>
    <row r="10" spans="1:12" x14ac:dyDescent="0.2">
      <c r="A10" s="9" t="s">
        <v>53</v>
      </c>
      <c r="B10" s="9" t="s">
        <v>115</v>
      </c>
      <c r="C10" s="9" t="s">
        <v>116</v>
      </c>
      <c r="D10" s="9" t="s">
        <v>125</v>
      </c>
      <c r="E10" s="38">
        <v>5816055</v>
      </c>
      <c r="F10" s="38">
        <v>912121</v>
      </c>
      <c r="G10" s="39">
        <v>161034.37</v>
      </c>
      <c r="H10" s="40">
        <f>IF(B10="Y",IFERROR(SUMIFS('Tenant Data'!$F$2:$F$4674,'Tenant Data'!$A$2:$A$4674,A10,'Tenant Data'!$F$2:$F$4674,"&gt;0",'Tenant Data'!$E$2:$E$4674,"&lt;10000")/SUMIFS('Tenant Data'!$E$2:$E$4674,'Tenant Data'!$A$2:$A$4674,A10,'Tenant Data'!$F$2:$F$4674,"&gt;0",'Tenant Data'!$E$2:$E$4674,"&lt;10000"),""),"")</f>
        <v>745.41106058718492</v>
      </c>
      <c r="I10" s="40">
        <f>IF(B10="Y",IFERROR(SUMIFS('Tenant Data'!$F$2:$F$4674,'Tenant Data'!$A$2:$A$4674,A10,'Tenant Data'!$D$2:$D$4674,"&lt;&gt;Apple",'Tenant Data'!$F$2:$F$4674,"&gt;0",'Tenant Data'!$E$2:$E$4674,"&lt;10000")/SUMIFS('Tenant Data'!$E$2:$E$4674,'Tenant Data'!$A$2:$A$4674,A10,'Tenant Data'!$D$2:$D$4674,"&lt;&gt;Apple",'Tenant Data'!$F$2:$F$4674,"&gt;0",'Tenant Data'!$E$2:$E$4674,"&lt;10000"),""),"")</f>
        <v>606.7003643831514</v>
      </c>
      <c r="J10" s="40">
        <f>IF(B10="Y",IFERROR(SUMPRODUCT(('Tenant Data'!$A$2:$A$4674=A10)*('Tenant Data'!$F$2:$F$4674&gt;0)*('Tenant Data'!$E$2:$E$4674&lt;10000)*'Tenant Data'!$I$2:$I$4674*'Tenant Data'!$E$2:$E$4674)/SUMPRODUCT(('Tenant Data'!$A$2:$A$4674=A10)*('Tenant Data'!$F$2:$F$4674&gt;0)*('Tenant Data'!$E$2:$E$4674&lt;10000)*'Tenant Data'!$E$2:$E$4674),""),"")</f>
        <v>84.846944063784747</v>
      </c>
      <c r="K10" s="41">
        <f>IF(B10="Y",IFERROR(SUMPRODUCT(('Tenant Data'!$A$2:$A$4674=A10)*('Tenant Data'!$F$2:$F$4674&gt;0)*('Tenant Data'!$E$2:$E$4674&lt;10000)*'Tenant Data'!$J$2:$J$4674*'Tenant Data'!$E$2:$E$4674)/SUMPRODUCT(('Tenant Data'!$A$2:$A$4674=A10)*('Tenant Data'!$F$2:$F$4674&gt;0)*('Tenant Data'!$E$2:$E$4674&lt;10000)*'Tenant Data'!$E$2:$E$4674),""),"")</f>
        <v>0.15646149612055665</v>
      </c>
      <c r="L10" s="9">
        <f>IF(B10="Y",COUNTIFS('Tenant Data'!$A$2:$A$4674,A10,'Tenant Data'!$E$2:$E$4674,"&lt;10000"),"")</f>
        <v>106</v>
      </c>
    </row>
    <row r="11" spans="1:12" x14ac:dyDescent="0.2">
      <c r="A11" s="9" t="s">
        <v>45</v>
      </c>
      <c r="B11" s="9" t="s">
        <v>115</v>
      </c>
      <c r="C11" s="9" t="s">
        <v>116</v>
      </c>
      <c r="D11" s="9" t="s">
        <v>126</v>
      </c>
      <c r="E11" s="38">
        <v>4655717</v>
      </c>
      <c r="F11" s="38">
        <v>319614</v>
      </c>
      <c r="G11" s="39">
        <v>99569</v>
      </c>
      <c r="H11" s="40">
        <f>IF(B11="Y",IFERROR(SUMIFS('Tenant Data'!$F$2:$F$4674,'Tenant Data'!$A$2:$A$4674,A11,'Tenant Data'!$F$2:$F$4674,"&gt;0",'Tenant Data'!$E$2:$E$4674,"&lt;10000")/SUMIFS('Tenant Data'!$E$2:$E$4674,'Tenant Data'!$A$2:$A$4674,A11,'Tenant Data'!$F$2:$F$4674,"&gt;0",'Tenant Data'!$E$2:$E$4674,"&lt;10000"),""),"")</f>
        <v>467.54888189422184</v>
      </c>
      <c r="I11" s="40">
        <f>IF(B11="Y",IFERROR(SUMIFS('Tenant Data'!$F$2:$F$4674,'Tenant Data'!$A$2:$A$4674,A11,'Tenant Data'!$D$2:$D$4674,"&lt;&gt;Apple",'Tenant Data'!$F$2:$F$4674,"&gt;0",'Tenant Data'!$E$2:$E$4674,"&lt;10000")/SUMIFS('Tenant Data'!$E$2:$E$4674,'Tenant Data'!$A$2:$A$4674,A11,'Tenant Data'!$D$2:$D$4674,"&lt;&gt;Apple",'Tenant Data'!$F$2:$F$4674,"&gt;0",'Tenant Data'!$E$2:$E$4674,"&lt;10000"),""),"")</f>
        <v>467.54888189422184</v>
      </c>
      <c r="J11" s="40">
        <f>IF(B11="Y",IFERROR(SUMPRODUCT(('Tenant Data'!$A$2:$A$4674=A11)*('Tenant Data'!$F$2:$F$4674&gt;0)*('Tenant Data'!$E$2:$E$4674&lt;10000)*'Tenant Data'!$I$2:$I$4674*'Tenant Data'!$E$2:$E$4674)/SUMPRODUCT(('Tenant Data'!$A$2:$A$4674=A11)*('Tenant Data'!$F$2:$F$4674&gt;0)*('Tenant Data'!$E$2:$E$4674&lt;10000)*'Tenant Data'!$E$2:$E$4674),""),"")</f>
        <v>61.929994001361486</v>
      </c>
      <c r="K11" s="41">
        <f>IF(B11="Y",IFERROR(SUMPRODUCT(('Tenant Data'!$A$2:$A$4674=A11)*('Tenant Data'!$F$2:$F$4674&gt;0)*('Tenant Data'!$E$2:$E$4674&lt;10000)*'Tenant Data'!$J$2:$J$4674*'Tenant Data'!$E$2:$E$4674)/SUMPRODUCT(('Tenant Data'!$A$2:$A$4674=A11)*('Tenant Data'!$F$2:$F$4674&gt;0)*('Tenant Data'!$E$2:$E$4674&lt;10000)*'Tenant Data'!$E$2:$E$4674),""),"")</f>
        <v>0.14143737683647911</v>
      </c>
      <c r="L11" s="9">
        <f>IF(B11="Y",COUNTIFS('Tenant Data'!$A$2:$A$4674,A11,'Tenant Data'!$E$2:$E$4674,"&lt;10000"),"")</f>
        <v>71</v>
      </c>
    </row>
    <row r="12" spans="1:12" x14ac:dyDescent="0.2">
      <c r="A12" s="9" t="s">
        <v>42</v>
      </c>
      <c r="B12" s="9" t="s">
        <v>115</v>
      </c>
      <c r="C12" s="9" t="s">
        <v>116</v>
      </c>
      <c r="D12" s="9" t="s">
        <v>127</v>
      </c>
      <c r="E12" s="38">
        <v>5952111</v>
      </c>
      <c r="F12" s="38">
        <v>224112</v>
      </c>
      <c r="G12" s="39">
        <v>89321.41</v>
      </c>
      <c r="H12" s="40">
        <f>IF(B12="Y",IFERROR(SUMIFS('Tenant Data'!$F$2:$F$4674,'Tenant Data'!$A$2:$A$4674,A12,'Tenant Data'!$F$2:$F$4674,"&gt;0",'Tenant Data'!$E$2:$E$4674,"&lt;10000")/SUMIFS('Tenant Data'!$E$2:$E$4674,'Tenant Data'!$A$2:$A$4674,A12,'Tenant Data'!$F$2:$F$4674,"&gt;0",'Tenant Data'!$E$2:$E$4674,"&lt;10000"),""),"")</f>
        <v>433.53268583164083</v>
      </c>
      <c r="I12" s="40">
        <f>IF(B12="Y",IFERROR(SUMIFS('Tenant Data'!$F$2:$F$4674,'Tenant Data'!$A$2:$A$4674,A12,'Tenant Data'!$D$2:$D$4674,"&lt;&gt;Apple",'Tenant Data'!$F$2:$F$4674,"&gt;0",'Tenant Data'!$E$2:$E$4674,"&lt;10000")/SUMIFS('Tenant Data'!$E$2:$E$4674,'Tenant Data'!$A$2:$A$4674,A12,'Tenant Data'!$D$2:$D$4674,"&lt;&gt;Apple",'Tenant Data'!$F$2:$F$4674,"&gt;0",'Tenant Data'!$E$2:$E$4674,"&lt;10000"),""),"")</f>
        <v>433.53268583164083</v>
      </c>
      <c r="J12" s="40">
        <f>IF(B12="Y",IFERROR(SUMPRODUCT(('Tenant Data'!$A$2:$A$4674=A12)*('Tenant Data'!$F$2:$F$4674&gt;0)*('Tenant Data'!$E$2:$E$4674&lt;10000)*'Tenant Data'!$I$2:$I$4674*'Tenant Data'!$E$2:$E$4674)/SUMPRODUCT(('Tenant Data'!$A$2:$A$4674=A12)*('Tenant Data'!$F$2:$F$4674&gt;0)*('Tenant Data'!$E$2:$E$4674&lt;10000)*'Tenant Data'!$E$2:$E$4674),""),"")</f>
        <v>51.289429853202492</v>
      </c>
      <c r="K12" s="41">
        <f>IF(B12="Y",IFERROR(SUMPRODUCT(('Tenant Data'!$A$2:$A$4674=A12)*('Tenant Data'!$F$2:$F$4674&gt;0)*('Tenant Data'!$E$2:$E$4674&lt;10000)*'Tenant Data'!$J$2:$J$4674*'Tenant Data'!$E$2:$E$4674)/SUMPRODUCT(('Tenant Data'!$A$2:$A$4674=A12)*('Tenant Data'!$F$2:$F$4674&gt;0)*('Tenant Data'!$E$2:$E$4674&lt;10000)*'Tenant Data'!$E$2:$E$4674),""),"")</f>
        <v>0.13689808774751733</v>
      </c>
      <c r="L12" s="9">
        <f>IF(B12="Y",COUNTIFS('Tenant Data'!$A$2:$A$4674,A12,'Tenant Data'!$E$2:$E$4674,"&lt;10000"),"")</f>
        <v>86</v>
      </c>
    </row>
    <row r="13" spans="1:12" x14ac:dyDescent="0.2">
      <c r="A13" s="9" t="s">
        <v>49</v>
      </c>
      <c r="B13" s="9" t="s">
        <v>115</v>
      </c>
      <c r="C13" s="9" t="s">
        <v>116</v>
      </c>
      <c r="D13" s="9" t="s">
        <v>127</v>
      </c>
      <c r="E13" s="38">
        <v>5760072</v>
      </c>
      <c r="F13" s="38">
        <v>744158</v>
      </c>
      <c r="G13" s="39">
        <v>148339.87</v>
      </c>
      <c r="H13" s="40">
        <f>IF(B13="Y",IFERROR(SUMIFS('Tenant Data'!$F$2:$F$4674,'Tenant Data'!$A$2:$A$4674,A13,'Tenant Data'!$F$2:$F$4674,"&gt;0",'Tenant Data'!$E$2:$E$4674,"&lt;10000")/SUMIFS('Tenant Data'!$E$2:$E$4674,'Tenant Data'!$A$2:$A$4674,A13,'Tenant Data'!$F$2:$F$4674,"&gt;0",'Tenant Data'!$E$2:$E$4674,"&lt;10000"),""),"")</f>
        <v>695.70040966986346</v>
      </c>
      <c r="I13" s="40">
        <f>IF(B13="Y",IFERROR(SUMIFS('Tenant Data'!$F$2:$F$4674,'Tenant Data'!$A$2:$A$4674,A13,'Tenant Data'!$D$2:$D$4674,"&lt;&gt;Apple",'Tenant Data'!$F$2:$F$4674,"&gt;0",'Tenant Data'!$E$2:$E$4674,"&lt;10000")/SUMIFS('Tenant Data'!$E$2:$E$4674,'Tenant Data'!$A$2:$A$4674,A13,'Tenant Data'!$D$2:$D$4674,"&lt;&gt;Apple",'Tenant Data'!$F$2:$F$4674,"&gt;0",'Tenant Data'!$E$2:$E$4674,"&lt;10000"),""),"")</f>
        <v>542.23443693115757</v>
      </c>
      <c r="J13" s="40">
        <f>IF(B13="Y",IFERROR(SUMPRODUCT(('Tenant Data'!$A$2:$A$4674=A13)*('Tenant Data'!$F$2:$F$4674&gt;0)*('Tenant Data'!$E$2:$E$4674&lt;10000)*'Tenant Data'!$I$2:$I$4674*'Tenant Data'!$E$2:$E$4674)/SUMPRODUCT(('Tenant Data'!$A$2:$A$4674=A13)*('Tenant Data'!$F$2:$F$4674&gt;0)*('Tenant Data'!$E$2:$E$4674&lt;10000)*'Tenant Data'!$E$2:$E$4674),""),"")</f>
        <v>65.304581134433803</v>
      </c>
      <c r="K13" s="41">
        <f>IF(B13="Y",IFERROR(SUMPRODUCT(('Tenant Data'!$A$2:$A$4674=A13)*('Tenant Data'!$F$2:$F$4674&gt;0)*('Tenant Data'!$E$2:$E$4674&lt;10000)*'Tenant Data'!$J$2:$J$4674*'Tenant Data'!$E$2:$E$4674)/SUMPRODUCT(('Tenant Data'!$A$2:$A$4674=A13)*('Tenant Data'!$F$2:$F$4674&gt;0)*('Tenant Data'!$E$2:$E$4674&lt;10000)*'Tenant Data'!$E$2:$E$4674),""),"")</f>
        <v>0.14441172551871176</v>
      </c>
      <c r="L13" s="9">
        <f>IF(B13="Y",COUNTIFS('Tenant Data'!$A$2:$A$4674,A13,'Tenant Data'!$E$2:$E$4674,"&lt;10000"),"")</f>
        <v>112</v>
      </c>
    </row>
    <row r="14" spans="1:12" x14ac:dyDescent="0.2">
      <c r="A14" s="9" t="s">
        <v>50</v>
      </c>
      <c r="B14" s="9" t="s">
        <v>115</v>
      </c>
      <c r="C14" s="9" t="s">
        <v>116</v>
      </c>
      <c r="D14" s="9" t="s">
        <v>128</v>
      </c>
      <c r="E14" s="38">
        <v>8462931</v>
      </c>
      <c r="F14" s="38">
        <v>1166276</v>
      </c>
      <c r="G14" s="39">
        <v>122880.68</v>
      </c>
      <c r="H14" s="40">
        <f>IF(B14="Y",IFERROR(SUMIFS('Tenant Data'!$F$2:$F$4674,'Tenant Data'!$A$2:$A$4674,A14,'Tenant Data'!$F$2:$F$4674,"&gt;0",'Tenant Data'!$E$2:$E$4674,"&lt;10000")/SUMIFS('Tenant Data'!$E$2:$E$4674,'Tenant Data'!$A$2:$A$4674,A14,'Tenant Data'!$F$2:$F$4674,"&gt;0",'Tenant Data'!$E$2:$E$4674,"&lt;10000"),""),"")</f>
        <v>978.03847806219289</v>
      </c>
      <c r="I14" s="40">
        <f>IF(B14="Y",IFERROR(SUMIFS('Tenant Data'!$F$2:$F$4674,'Tenant Data'!$A$2:$A$4674,A14,'Tenant Data'!$D$2:$D$4674,"&lt;&gt;Apple",'Tenant Data'!$F$2:$F$4674,"&gt;0",'Tenant Data'!$E$2:$E$4674,"&lt;10000")/SUMIFS('Tenant Data'!$E$2:$E$4674,'Tenant Data'!$A$2:$A$4674,A14,'Tenant Data'!$D$2:$D$4674,"&lt;&gt;Apple",'Tenant Data'!$F$2:$F$4674,"&gt;0",'Tenant Data'!$E$2:$E$4674,"&lt;10000"),""),"")</f>
        <v>794.43370479872635</v>
      </c>
      <c r="J14" s="40">
        <f>IF(B14="Y",IFERROR(SUMPRODUCT(('Tenant Data'!$A$2:$A$4674=A14)*('Tenant Data'!$F$2:$F$4674&gt;0)*('Tenant Data'!$E$2:$E$4674&lt;10000)*'Tenant Data'!$I$2:$I$4674*'Tenant Data'!$E$2:$E$4674)/SUMPRODUCT(('Tenant Data'!$A$2:$A$4674=A14)*('Tenant Data'!$F$2:$F$4674&gt;0)*('Tenant Data'!$E$2:$E$4674&lt;10000)*'Tenant Data'!$E$2:$E$4674),""),"")</f>
        <v>93.538341365869655</v>
      </c>
      <c r="K14" s="41">
        <f>IF(B14="Y",IFERROR(SUMPRODUCT(('Tenant Data'!$A$2:$A$4674=A14)*('Tenant Data'!$F$2:$F$4674&gt;0)*('Tenant Data'!$E$2:$E$4674&lt;10000)*'Tenant Data'!$J$2:$J$4674*'Tenant Data'!$E$2:$E$4674)/SUMPRODUCT(('Tenant Data'!$A$2:$A$4674=A14)*('Tenant Data'!$F$2:$F$4674&gt;0)*('Tenant Data'!$E$2:$E$4674&lt;10000)*'Tenant Data'!$E$2:$E$4674),""),"")</f>
        <v>0.14572469675948177</v>
      </c>
      <c r="L14" s="9">
        <f>IF(B14="Y",COUNTIFS('Tenant Data'!$A$2:$A$4674,A14,'Tenant Data'!$E$2:$E$4674,"&lt;10000"),"")</f>
        <v>90</v>
      </c>
    </row>
    <row r="15" spans="1:12" x14ac:dyDescent="0.2">
      <c r="A15" s="9" t="s">
        <v>59</v>
      </c>
      <c r="B15" s="9" t="s">
        <v>115</v>
      </c>
      <c r="C15" s="9" t="s">
        <v>116</v>
      </c>
      <c r="D15" s="9" t="s">
        <v>127</v>
      </c>
      <c r="E15" s="38">
        <v>6974859</v>
      </c>
      <c r="F15" s="38">
        <v>317506</v>
      </c>
      <c r="G15" s="39">
        <v>76450.460000000006</v>
      </c>
      <c r="H15" s="40">
        <f>IF(B15="Y",IFERROR(SUMIFS('Tenant Data'!$F$2:$F$4674,'Tenant Data'!$A$2:$A$4674,A15,'Tenant Data'!$F$2:$F$4674,"&gt;0",'Tenant Data'!$E$2:$E$4674,"&lt;10000")/SUMIFS('Tenant Data'!$E$2:$E$4674,'Tenant Data'!$A$2:$A$4674,A15,'Tenant Data'!$F$2:$F$4674,"&gt;0",'Tenant Data'!$E$2:$E$4674,"&lt;10000"),""),"")</f>
        <v>503.85373307636496</v>
      </c>
      <c r="I15" s="40">
        <f>IF(B15="Y",IFERROR(SUMIFS('Tenant Data'!$F$2:$F$4674,'Tenant Data'!$A$2:$A$4674,A15,'Tenant Data'!$D$2:$D$4674,"&lt;&gt;Apple",'Tenant Data'!$F$2:$F$4674,"&gt;0",'Tenant Data'!$E$2:$E$4674,"&lt;10000")/SUMIFS('Tenant Data'!$E$2:$E$4674,'Tenant Data'!$A$2:$A$4674,A15,'Tenant Data'!$D$2:$D$4674,"&lt;&gt;Apple",'Tenant Data'!$F$2:$F$4674,"&gt;0",'Tenant Data'!$E$2:$E$4674,"&lt;10000"),""),"")</f>
        <v>503.85373307636496</v>
      </c>
      <c r="J15" s="40">
        <f>IF(B15="Y",IFERROR(SUMPRODUCT(('Tenant Data'!$A$2:$A$4674=A15)*('Tenant Data'!$F$2:$F$4674&gt;0)*('Tenant Data'!$E$2:$E$4674&lt;10000)*'Tenant Data'!$I$2:$I$4674*'Tenant Data'!$E$2:$E$4674)/SUMPRODUCT(('Tenant Data'!$A$2:$A$4674=A15)*('Tenant Data'!$F$2:$F$4674&gt;0)*('Tenant Data'!$E$2:$E$4674&lt;10000)*'Tenant Data'!$E$2:$E$4674),""),"")</f>
        <v>75.758509011371274</v>
      </c>
      <c r="K15" s="41">
        <f>IF(B15="Y",IFERROR(SUMPRODUCT(('Tenant Data'!$A$2:$A$4674=A15)*('Tenant Data'!$F$2:$F$4674&gt;0)*('Tenant Data'!$E$2:$E$4674&lt;10000)*'Tenant Data'!$J$2:$J$4674*'Tenant Data'!$E$2:$E$4674)/SUMPRODUCT(('Tenant Data'!$A$2:$A$4674=A15)*('Tenant Data'!$F$2:$F$4674&gt;0)*('Tenant Data'!$E$2:$E$4674&lt;10000)*'Tenant Data'!$E$2:$E$4674),""),"")</f>
        <v>0.17104969335207415</v>
      </c>
      <c r="L15" s="9">
        <f>IF(B15="Y",COUNTIFS('Tenant Data'!$A$2:$A$4674,A15,'Tenant Data'!$E$2:$E$4674,"&lt;10000"),"")</f>
        <v>92</v>
      </c>
    </row>
    <row r="16" spans="1:12" x14ac:dyDescent="0.2">
      <c r="A16" s="9" t="s">
        <v>35</v>
      </c>
      <c r="B16" s="9" t="s">
        <v>115</v>
      </c>
      <c r="C16" s="9" t="s">
        <v>116</v>
      </c>
      <c r="D16" s="9" t="s">
        <v>125</v>
      </c>
      <c r="E16" s="38">
        <v>8839014</v>
      </c>
      <c r="F16" s="38">
        <v>633151</v>
      </c>
      <c r="G16" s="39">
        <v>100046.57</v>
      </c>
      <c r="H16" s="40">
        <f>IF(B16="Y",IFERROR(SUMIFS('Tenant Data'!$F$2:$F$4674,'Tenant Data'!$A$2:$A$4674,A16,'Tenant Data'!$F$2:$F$4674,"&gt;0",'Tenant Data'!$E$2:$E$4674,"&lt;10000")/SUMIFS('Tenant Data'!$E$2:$E$4674,'Tenant Data'!$A$2:$A$4674,A16,'Tenant Data'!$F$2:$F$4674,"&gt;0",'Tenant Data'!$E$2:$E$4674,"&lt;10000"),""),"")</f>
        <v>503.30300063346272</v>
      </c>
      <c r="I16" s="40">
        <f>IF(B16="Y",IFERROR(SUMIFS('Tenant Data'!$F$2:$F$4674,'Tenant Data'!$A$2:$A$4674,A16,'Tenant Data'!$D$2:$D$4674,"&lt;&gt;Apple",'Tenant Data'!$F$2:$F$4674,"&gt;0",'Tenant Data'!$E$2:$E$4674,"&lt;10000")/SUMIFS('Tenant Data'!$E$2:$E$4674,'Tenant Data'!$A$2:$A$4674,A16,'Tenant Data'!$D$2:$D$4674,"&lt;&gt;Apple",'Tenant Data'!$F$2:$F$4674,"&gt;0",'Tenant Data'!$E$2:$E$4674,"&lt;10000"),""),"")</f>
        <v>503.30300063346272</v>
      </c>
      <c r="J16" s="40">
        <f>IF(B16="Y",IFERROR(SUMPRODUCT(('Tenant Data'!$A$2:$A$4674=A16)*('Tenant Data'!$F$2:$F$4674&gt;0)*('Tenant Data'!$E$2:$E$4674&lt;10000)*'Tenant Data'!$I$2:$I$4674*'Tenant Data'!$E$2:$E$4674)/SUMPRODUCT(('Tenant Data'!$A$2:$A$4674=A16)*('Tenant Data'!$F$2:$F$4674&gt;0)*('Tenant Data'!$E$2:$E$4674&lt;10000)*'Tenant Data'!$E$2:$E$4674),""),"")</f>
        <v>60.040858341911473</v>
      </c>
      <c r="K16" s="41">
        <f>IF(B16="Y",IFERROR(SUMPRODUCT(('Tenant Data'!$A$2:$A$4674=A16)*('Tenant Data'!$F$2:$F$4674&gt;0)*('Tenant Data'!$E$2:$E$4674&lt;10000)*'Tenant Data'!$J$2:$J$4674*'Tenant Data'!$E$2:$E$4674)/SUMPRODUCT(('Tenant Data'!$A$2:$A$4674=A16)*('Tenant Data'!$F$2:$F$4674&gt;0)*('Tenant Data'!$E$2:$E$4674&lt;10000)*'Tenant Data'!$E$2:$E$4674),""),"")</f>
        <v>0.12642244403418179</v>
      </c>
      <c r="L16" s="9">
        <f>IF(B16="Y",COUNTIFS('Tenant Data'!$A$2:$A$4674,A16,'Tenant Data'!$E$2:$E$4674,"&lt;10000"),"")</f>
        <v>75</v>
      </c>
    </row>
    <row r="17" spans="1:12" x14ac:dyDescent="0.2">
      <c r="A17" s="9" t="s">
        <v>52</v>
      </c>
      <c r="B17" s="9" t="s">
        <v>115</v>
      </c>
      <c r="C17" s="9" t="s">
        <v>116</v>
      </c>
      <c r="D17" s="9" t="s">
        <v>120</v>
      </c>
      <c r="E17" s="38">
        <v>8448382</v>
      </c>
      <c r="F17" s="38">
        <v>484667</v>
      </c>
      <c r="G17" s="39">
        <v>85449.32</v>
      </c>
      <c r="H17" s="40">
        <f>IF(B17="Y",IFERROR(SUMIFS('Tenant Data'!$F$2:$F$4674,'Tenant Data'!$A$2:$A$4674,A17,'Tenant Data'!$F$2:$F$4674,"&gt;0",'Tenant Data'!$E$2:$E$4674,"&lt;10000")/SUMIFS('Tenant Data'!$E$2:$E$4674,'Tenant Data'!$A$2:$A$4674,A17,'Tenant Data'!$F$2:$F$4674,"&gt;0",'Tenant Data'!$E$2:$E$4674,"&lt;10000"),""),"")</f>
        <v>521.10549181635918</v>
      </c>
      <c r="I17" s="40">
        <f>IF(B17="Y",IFERROR(SUMIFS('Tenant Data'!$F$2:$F$4674,'Tenant Data'!$A$2:$A$4674,A17,'Tenant Data'!$D$2:$D$4674,"&lt;&gt;Apple",'Tenant Data'!$F$2:$F$4674,"&gt;0",'Tenant Data'!$E$2:$E$4674,"&lt;10000")/SUMIFS('Tenant Data'!$E$2:$E$4674,'Tenant Data'!$A$2:$A$4674,A17,'Tenant Data'!$D$2:$D$4674,"&lt;&gt;Apple",'Tenant Data'!$F$2:$F$4674,"&gt;0",'Tenant Data'!$E$2:$E$4674,"&lt;10000"),""),"")</f>
        <v>422.36789279853394</v>
      </c>
      <c r="J17" s="40">
        <f>IF(B17="Y",IFERROR(SUMPRODUCT(('Tenant Data'!$A$2:$A$4674=A17)*('Tenant Data'!$F$2:$F$4674&gt;0)*('Tenant Data'!$E$2:$E$4674&lt;10000)*'Tenant Data'!$I$2:$I$4674*'Tenant Data'!$E$2:$E$4674)/SUMPRODUCT(('Tenant Data'!$A$2:$A$4674=A17)*('Tenant Data'!$F$2:$F$4674&gt;0)*('Tenant Data'!$E$2:$E$4674&lt;10000)*'Tenant Data'!$E$2:$E$4674),""),"")</f>
        <v>61.200330535233064</v>
      </c>
      <c r="K17" s="41">
        <f>IF(B17="Y",IFERROR(SUMPRODUCT(('Tenant Data'!$A$2:$A$4674=A17)*('Tenant Data'!$F$2:$F$4674&gt;0)*('Tenant Data'!$E$2:$E$4674&lt;10000)*'Tenant Data'!$J$2:$J$4674*'Tenant Data'!$E$2:$E$4674)/SUMPRODUCT(('Tenant Data'!$A$2:$A$4674=A17)*('Tenant Data'!$F$2:$F$4674&gt;0)*('Tenant Data'!$E$2:$E$4674&lt;10000)*'Tenant Data'!$E$2:$E$4674),""),"")</f>
        <v>0.15163518712140533</v>
      </c>
      <c r="L17" s="9">
        <f>IF(B17="Y",COUNTIFS('Tenant Data'!$A$2:$A$4674,A17,'Tenant Data'!$E$2:$E$4674,"&lt;10000"),"")</f>
        <v>139</v>
      </c>
    </row>
    <row r="18" spans="1:12" x14ac:dyDescent="0.2">
      <c r="A18" s="9" t="s">
        <v>44</v>
      </c>
      <c r="B18" s="9" t="s">
        <v>115</v>
      </c>
      <c r="C18" s="9" t="s">
        <v>116</v>
      </c>
      <c r="D18" s="9" t="s">
        <v>127</v>
      </c>
      <c r="E18" s="38">
        <v>7576017</v>
      </c>
      <c r="F18" s="38">
        <v>444830</v>
      </c>
      <c r="G18" s="39">
        <v>97053.18</v>
      </c>
      <c r="H18" s="40">
        <f>IF(B18="Y",IFERROR(SUMIFS('Tenant Data'!$F$2:$F$4674,'Tenant Data'!$A$2:$A$4674,A18,'Tenant Data'!$F$2:$F$4674,"&gt;0",'Tenant Data'!$E$2:$E$4674,"&lt;10000")/SUMIFS('Tenant Data'!$E$2:$E$4674,'Tenant Data'!$A$2:$A$4674,A18,'Tenant Data'!$F$2:$F$4674,"&gt;0",'Tenant Data'!$E$2:$E$4674,"&lt;10000"),""),"")</f>
        <v>513.06433290445591</v>
      </c>
      <c r="I18" s="40">
        <f>IF(B18="Y",IFERROR(SUMIFS('Tenant Data'!$F$2:$F$4674,'Tenant Data'!$A$2:$A$4674,A18,'Tenant Data'!$D$2:$D$4674,"&lt;&gt;Apple",'Tenant Data'!$F$2:$F$4674,"&gt;0",'Tenant Data'!$E$2:$E$4674,"&lt;10000")/SUMIFS('Tenant Data'!$E$2:$E$4674,'Tenant Data'!$A$2:$A$4674,A18,'Tenant Data'!$D$2:$D$4674,"&lt;&gt;Apple",'Tenant Data'!$F$2:$F$4674,"&gt;0",'Tenant Data'!$E$2:$E$4674,"&lt;10000"),""),"")</f>
        <v>513.06433290445591</v>
      </c>
      <c r="J18" s="40">
        <f>IF(B18="Y",IFERROR(SUMPRODUCT(('Tenant Data'!$A$2:$A$4674=A18)*('Tenant Data'!$F$2:$F$4674&gt;0)*('Tenant Data'!$E$2:$E$4674&lt;10000)*'Tenant Data'!$I$2:$I$4674*'Tenant Data'!$E$2:$E$4674)/SUMPRODUCT(('Tenant Data'!$A$2:$A$4674=A18)*('Tenant Data'!$F$2:$F$4674&gt;0)*('Tenant Data'!$E$2:$E$4674&lt;10000)*'Tenant Data'!$E$2:$E$4674),""),"")</f>
        <v>61.44681527884795</v>
      </c>
      <c r="K18" s="41">
        <f>IF(B18="Y",IFERROR(SUMPRODUCT(('Tenant Data'!$A$2:$A$4674=A18)*('Tenant Data'!$F$2:$F$4674&gt;0)*('Tenant Data'!$E$2:$E$4674&lt;10000)*'Tenant Data'!$J$2:$J$4674*'Tenant Data'!$E$2:$E$4674)/SUMPRODUCT(('Tenant Data'!$A$2:$A$4674=A18)*('Tenant Data'!$F$2:$F$4674&gt;0)*('Tenant Data'!$E$2:$E$4674&lt;10000)*'Tenant Data'!$E$2:$E$4674),""),"")</f>
        <v>0.13856448860582007</v>
      </c>
      <c r="L18" s="9">
        <f>IF(B18="Y",COUNTIFS('Tenant Data'!$A$2:$A$4674,A18,'Tenant Data'!$E$2:$E$4674,"&lt;10000"),"")</f>
        <v>101</v>
      </c>
    </row>
    <row r="19" spans="1:12" x14ac:dyDescent="0.2">
      <c r="A19" s="9" t="s">
        <v>58</v>
      </c>
      <c r="B19" s="9" t="s">
        <v>115</v>
      </c>
      <c r="C19" s="9" t="s">
        <v>116</v>
      </c>
      <c r="D19" s="9" t="s">
        <v>122</v>
      </c>
      <c r="E19" s="38">
        <v>9034300</v>
      </c>
      <c r="F19" s="38">
        <v>843485</v>
      </c>
      <c r="G19" s="39">
        <v>114749.55</v>
      </c>
      <c r="H19" s="40">
        <f>IF(B19="Y",IFERROR(SUMIFS('Tenant Data'!$F$2:$F$4674,'Tenant Data'!$A$2:$A$4674,A19,'Tenant Data'!$F$2:$F$4674,"&gt;0",'Tenant Data'!$E$2:$E$4674,"&lt;10000")/SUMIFS('Tenant Data'!$E$2:$E$4674,'Tenant Data'!$A$2:$A$4674,A19,'Tenant Data'!$F$2:$F$4674,"&gt;0",'Tenant Data'!$E$2:$E$4674,"&lt;10000"),""),"")</f>
        <v>778.06494500344184</v>
      </c>
      <c r="I19" s="40">
        <f>IF(B19="Y",IFERROR(SUMIFS('Tenant Data'!$F$2:$F$4674,'Tenant Data'!$A$2:$A$4674,A19,'Tenant Data'!$D$2:$D$4674,"&lt;&gt;Apple",'Tenant Data'!$F$2:$F$4674,"&gt;0",'Tenant Data'!$E$2:$E$4674,"&lt;10000")/SUMIFS('Tenant Data'!$E$2:$E$4674,'Tenant Data'!$A$2:$A$4674,A19,'Tenant Data'!$D$2:$D$4674,"&lt;&gt;Apple",'Tenant Data'!$F$2:$F$4674,"&gt;0",'Tenant Data'!$E$2:$E$4674,"&lt;10000"),""),"")</f>
        <v>778.06494500344184</v>
      </c>
      <c r="J19" s="40">
        <f>IF(B19="Y",IFERROR(SUMPRODUCT(('Tenant Data'!$A$2:$A$4674=A19)*('Tenant Data'!$F$2:$F$4674&gt;0)*('Tenant Data'!$E$2:$E$4674&lt;10000)*'Tenant Data'!$I$2:$I$4674*'Tenant Data'!$E$2:$E$4674)/SUMPRODUCT(('Tenant Data'!$A$2:$A$4674=A19)*('Tenant Data'!$F$2:$F$4674&gt;0)*('Tenant Data'!$E$2:$E$4674&lt;10000)*'Tenant Data'!$E$2:$E$4674),""),"")</f>
        <v>78.994460604544273</v>
      </c>
      <c r="K19" s="41">
        <f>IF(B19="Y",IFERROR(SUMPRODUCT(('Tenant Data'!$A$2:$A$4674=A19)*('Tenant Data'!$F$2:$F$4674&gt;0)*('Tenant Data'!$E$2:$E$4674&lt;10000)*'Tenant Data'!$J$2:$J$4674*'Tenant Data'!$E$2:$E$4674)/SUMPRODUCT(('Tenant Data'!$A$2:$A$4674=A19)*('Tenant Data'!$F$2:$F$4674&gt;0)*('Tenant Data'!$E$2:$E$4674&lt;10000)*'Tenant Data'!$E$2:$E$4674),""),"")</f>
        <v>0.16483323985365916</v>
      </c>
      <c r="L19" s="9">
        <f>IF(B19="Y",COUNTIFS('Tenant Data'!$A$2:$A$4674,A19,'Tenant Data'!$E$2:$E$4674,"&lt;10000"),"")</f>
        <v>118</v>
      </c>
    </row>
    <row r="20" spans="1:12" x14ac:dyDescent="0.2">
      <c r="A20" s="9" t="s">
        <v>28</v>
      </c>
      <c r="B20" s="9" t="s">
        <v>115</v>
      </c>
      <c r="C20" s="9" t="s">
        <v>116</v>
      </c>
      <c r="D20" s="9" t="s">
        <v>129</v>
      </c>
      <c r="E20" s="38">
        <v>7021524</v>
      </c>
      <c r="F20" s="38">
        <v>460940</v>
      </c>
      <c r="G20" s="39">
        <v>99241.52</v>
      </c>
      <c r="H20" s="40">
        <f>IF(B20="Y",IFERROR(SUMIFS('Tenant Data'!$F$2:$F$4674,'Tenant Data'!$A$2:$A$4674,A20,'Tenant Data'!$F$2:$F$4674,"&gt;0",'Tenant Data'!$E$2:$E$4674,"&lt;10000")/SUMIFS('Tenant Data'!$E$2:$E$4674,'Tenant Data'!$A$2:$A$4674,A20,'Tenant Data'!$F$2:$F$4674,"&gt;0",'Tenant Data'!$E$2:$E$4674,"&lt;10000"),""),"")</f>
        <v>489.11863235650827</v>
      </c>
      <c r="I20" s="40">
        <f>IF(B20="Y",IFERROR(SUMIFS('Tenant Data'!$F$2:$F$4674,'Tenant Data'!$A$2:$A$4674,A20,'Tenant Data'!$D$2:$D$4674,"&lt;&gt;Apple",'Tenant Data'!$F$2:$F$4674,"&gt;0",'Tenant Data'!$E$2:$E$4674,"&lt;10000")/SUMIFS('Tenant Data'!$E$2:$E$4674,'Tenant Data'!$A$2:$A$4674,A20,'Tenant Data'!$D$2:$D$4674,"&lt;&gt;Apple",'Tenant Data'!$F$2:$F$4674,"&gt;0",'Tenant Data'!$E$2:$E$4674,"&lt;10000"),""),"")</f>
        <v>489.11863235650827</v>
      </c>
      <c r="J20" s="40">
        <f>IF(B20="Y",IFERROR(SUMPRODUCT(('Tenant Data'!$A$2:$A$4674=A20)*('Tenant Data'!$F$2:$F$4674&gt;0)*('Tenant Data'!$E$2:$E$4674&lt;10000)*'Tenant Data'!$I$2:$I$4674*'Tenant Data'!$E$2:$E$4674)/SUMPRODUCT(('Tenant Data'!$A$2:$A$4674=A20)*('Tenant Data'!$F$2:$F$4674&gt;0)*('Tenant Data'!$E$2:$E$4674&lt;10000)*'Tenant Data'!$E$2:$E$4674),""),"")</f>
        <v>56.634167039166492</v>
      </c>
      <c r="K20" s="41">
        <f>IF(B20="Y",IFERROR(SUMPRODUCT(('Tenant Data'!$A$2:$A$4674=A20)*('Tenant Data'!$F$2:$F$4674&gt;0)*('Tenant Data'!$E$2:$E$4674&lt;10000)*'Tenant Data'!$J$2:$J$4674*'Tenant Data'!$E$2:$E$4674)/SUMPRODUCT(('Tenant Data'!$A$2:$A$4674=A20)*('Tenant Data'!$F$2:$F$4674&gt;0)*('Tenant Data'!$E$2:$E$4674&lt;10000)*'Tenant Data'!$E$2:$E$4674),""),"")</f>
        <v>0.12103795802081097</v>
      </c>
      <c r="L20" s="9">
        <f>IF(B20="Y",COUNTIFS('Tenant Data'!$A$2:$A$4674,A20,'Tenant Data'!$E$2:$E$4674,"&lt;10000"),"")</f>
        <v>99</v>
      </c>
    </row>
    <row r="21" spans="1:12" x14ac:dyDescent="0.2">
      <c r="A21" s="9" t="s">
        <v>40</v>
      </c>
      <c r="B21" s="9" t="s">
        <v>115</v>
      </c>
      <c r="C21" s="9" t="s">
        <v>116</v>
      </c>
      <c r="D21" s="9" t="s">
        <v>120</v>
      </c>
      <c r="E21" s="38">
        <v>8597850</v>
      </c>
      <c r="F21" s="38">
        <v>494308</v>
      </c>
      <c r="G21" s="39">
        <v>86092.68</v>
      </c>
      <c r="H21" s="40">
        <f>IF(B21="Y",IFERROR(SUMIFS('Tenant Data'!$F$2:$F$4674,'Tenant Data'!$A$2:$A$4674,A21,'Tenant Data'!$F$2:$F$4674,"&gt;0",'Tenant Data'!$E$2:$E$4674,"&lt;10000")/SUMIFS('Tenant Data'!$E$2:$E$4674,'Tenant Data'!$A$2:$A$4674,A21,'Tenant Data'!$F$2:$F$4674,"&gt;0",'Tenant Data'!$E$2:$E$4674,"&lt;10000"),""),"")</f>
        <v>405.40897826152678</v>
      </c>
      <c r="I21" s="40">
        <f>IF(B21="Y",IFERROR(SUMIFS('Tenant Data'!$F$2:$F$4674,'Tenant Data'!$A$2:$A$4674,A21,'Tenant Data'!$D$2:$D$4674,"&lt;&gt;Apple",'Tenant Data'!$F$2:$F$4674,"&gt;0",'Tenant Data'!$E$2:$E$4674,"&lt;10000")/SUMIFS('Tenant Data'!$E$2:$E$4674,'Tenant Data'!$A$2:$A$4674,A21,'Tenant Data'!$D$2:$D$4674,"&lt;&gt;Apple",'Tenant Data'!$F$2:$F$4674,"&gt;0",'Tenant Data'!$E$2:$E$4674,"&lt;10000"),""),"")</f>
        <v>405.40897826152678</v>
      </c>
      <c r="J21" s="40">
        <f>IF(B21="Y",IFERROR(SUMPRODUCT(('Tenant Data'!$A$2:$A$4674=A21)*('Tenant Data'!$F$2:$F$4674&gt;0)*('Tenant Data'!$E$2:$E$4674&lt;10000)*'Tenant Data'!$I$2:$I$4674*'Tenant Data'!$E$2:$E$4674)/SUMPRODUCT(('Tenant Data'!$A$2:$A$4674=A21)*('Tenant Data'!$F$2:$F$4674&gt;0)*('Tenant Data'!$E$2:$E$4674&lt;10000)*'Tenant Data'!$E$2:$E$4674),""),"")</f>
        <v>48.85387657424603</v>
      </c>
      <c r="K21" s="41">
        <f>IF(B21="Y",IFERROR(SUMPRODUCT(('Tenant Data'!$A$2:$A$4674=A21)*('Tenant Data'!$F$2:$F$4674&gt;0)*('Tenant Data'!$E$2:$E$4674&lt;10000)*'Tenant Data'!$J$2:$J$4674*'Tenant Data'!$E$2:$E$4674)/SUMPRODUCT(('Tenant Data'!$A$2:$A$4674=A21)*('Tenant Data'!$F$2:$F$4674&gt;0)*('Tenant Data'!$E$2:$E$4674&lt;10000)*'Tenant Data'!$E$2:$E$4674),""),"")</f>
        <v>0.13245697090618741</v>
      </c>
      <c r="L21" s="9">
        <f>IF(B21="Y",COUNTIFS('Tenant Data'!$A$2:$A$4674,A21,'Tenant Data'!$E$2:$E$4674,"&lt;10000"),"")</f>
        <v>108</v>
      </c>
    </row>
    <row r="22" spans="1:12" x14ac:dyDescent="0.2">
      <c r="A22" s="9" t="s">
        <v>51</v>
      </c>
      <c r="B22" s="9" t="s">
        <v>115</v>
      </c>
      <c r="C22" s="9" t="s">
        <v>119</v>
      </c>
      <c r="D22" s="9" t="s">
        <v>124</v>
      </c>
      <c r="E22" s="38">
        <v>6544586</v>
      </c>
      <c r="F22" s="38">
        <v>623082</v>
      </c>
      <c r="G22" s="39">
        <v>138167.97</v>
      </c>
      <c r="H22" s="40">
        <f>IF(B22="Y",IFERROR(SUMIFS('Tenant Data'!$F$2:$F$4674,'Tenant Data'!$A$2:$A$4674,A22,'Tenant Data'!$F$2:$F$4674,"&gt;0",'Tenant Data'!$E$2:$E$4674,"&lt;10000")/SUMIFS('Tenant Data'!$E$2:$E$4674,'Tenant Data'!$A$2:$A$4674,A22,'Tenant Data'!$F$2:$F$4674,"&gt;0",'Tenant Data'!$E$2:$E$4674,"&lt;10000"),""),"")</f>
        <v>723.57706065701768</v>
      </c>
      <c r="I22" s="40">
        <f>IF(B22="Y",IFERROR(SUMIFS('Tenant Data'!$F$2:$F$4674,'Tenant Data'!$A$2:$A$4674,A22,'Tenant Data'!$D$2:$D$4674,"&lt;&gt;Apple",'Tenant Data'!$F$2:$F$4674,"&gt;0",'Tenant Data'!$E$2:$E$4674,"&lt;10000")/SUMIFS('Tenant Data'!$E$2:$E$4674,'Tenant Data'!$A$2:$A$4674,A22,'Tenant Data'!$D$2:$D$4674,"&lt;&gt;Apple",'Tenant Data'!$F$2:$F$4674,"&gt;0",'Tenant Data'!$E$2:$E$4674,"&lt;10000"),""),"")</f>
        <v>562.47751029152255</v>
      </c>
      <c r="J22" s="40">
        <f>IF(B22="Y",IFERROR(SUMPRODUCT(('Tenant Data'!$A$2:$A$4674=A22)*('Tenant Data'!$F$2:$F$4674&gt;0)*('Tenant Data'!$E$2:$E$4674&lt;10000)*'Tenant Data'!$I$2:$I$4674*'Tenant Data'!$E$2:$E$4674)/SUMPRODUCT(('Tenant Data'!$A$2:$A$4674=A22)*('Tenant Data'!$F$2:$F$4674&gt;0)*('Tenant Data'!$E$2:$E$4674&lt;10000)*'Tenant Data'!$E$2:$E$4674),""),"")</f>
        <v>63.333774562355337</v>
      </c>
      <c r="K22" s="41">
        <f>IF(B22="Y",IFERROR(SUMPRODUCT(('Tenant Data'!$A$2:$A$4674=A22)*('Tenant Data'!$F$2:$F$4674&gt;0)*('Tenant Data'!$E$2:$E$4674&lt;10000)*'Tenant Data'!$J$2:$J$4674*'Tenant Data'!$E$2:$E$4674)/SUMPRODUCT(('Tenant Data'!$A$2:$A$4674=A22)*('Tenant Data'!$F$2:$F$4674&gt;0)*('Tenant Data'!$E$2:$E$4674&lt;10000)*'Tenant Data'!$E$2:$E$4674),""),"")</f>
        <v>0.14978846447854891</v>
      </c>
      <c r="L22" s="9">
        <f>IF(B22="Y",COUNTIFS('Tenant Data'!$A$2:$A$4674,A22,'Tenant Data'!$E$2:$E$4674,"&lt;10000"),"")</f>
        <v>88</v>
      </c>
    </row>
    <row r="23" spans="1:12" x14ac:dyDescent="0.2">
      <c r="A23" s="9" t="s">
        <v>22</v>
      </c>
      <c r="B23" s="9" t="s">
        <v>115</v>
      </c>
      <c r="C23" s="9" t="s">
        <v>119</v>
      </c>
      <c r="D23" s="9" t="s">
        <v>121</v>
      </c>
      <c r="E23" s="38">
        <v>5076169</v>
      </c>
      <c r="F23" s="38">
        <v>378376</v>
      </c>
      <c r="G23" s="39">
        <v>144646.46</v>
      </c>
      <c r="H23" s="40">
        <f>IF(B23="Y",IFERROR(SUMIFS('Tenant Data'!$F$2:$F$4674,'Tenant Data'!$A$2:$A$4674,A23,'Tenant Data'!$F$2:$F$4674,"&gt;0",'Tenant Data'!$E$2:$E$4674,"&lt;10000")/SUMIFS('Tenant Data'!$E$2:$E$4674,'Tenant Data'!$A$2:$A$4674,A23,'Tenant Data'!$F$2:$F$4674,"&gt;0",'Tenant Data'!$E$2:$E$4674,"&lt;10000"),""),"")</f>
        <v>706.70924806283438</v>
      </c>
      <c r="I23" s="40">
        <f>IF(B23="Y",IFERROR(SUMIFS('Tenant Data'!$F$2:$F$4674,'Tenant Data'!$A$2:$A$4674,A23,'Tenant Data'!$D$2:$D$4674,"&lt;&gt;Apple",'Tenant Data'!$F$2:$F$4674,"&gt;0",'Tenant Data'!$E$2:$E$4674,"&lt;10000")/SUMIFS('Tenant Data'!$E$2:$E$4674,'Tenant Data'!$A$2:$A$4674,A23,'Tenant Data'!$D$2:$D$4674,"&lt;&gt;Apple",'Tenant Data'!$F$2:$F$4674,"&gt;0",'Tenant Data'!$E$2:$E$4674,"&lt;10000"),""),"")</f>
        <v>706.70924806283438</v>
      </c>
      <c r="J23" s="40">
        <f>IF(B23="Y",IFERROR(SUMPRODUCT(('Tenant Data'!$A$2:$A$4674=A23)*('Tenant Data'!$F$2:$F$4674&gt;0)*('Tenant Data'!$E$2:$E$4674&lt;10000)*'Tenant Data'!$I$2:$I$4674*'Tenant Data'!$E$2:$E$4674)/SUMPRODUCT(('Tenant Data'!$A$2:$A$4674=A23)*('Tenant Data'!$F$2:$F$4674&gt;0)*('Tenant Data'!$E$2:$E$4674&lt;10000)*'Tenant Data'!$E$2:$E$4674),""),"")</f>
        <v>60.152614909495391</v>
      </c>
      <c r="K23" s="41">
        <f>IF(B23="Y",IFERROR(SUMPRODUCT(('Tenant Data'!$A$2:$A$4674=A23)*('Tenant Data'!$F$2:$F$4674&gt;0)*('Tenant Data'!$E$2:$E$4674&lt;10000)*'Tenant Data'!$J$2:$J$4674*'Tenant Data'!$E$2:$E$4674)/SUMPRODUCT(('Tenant Data'!$A$2:$A$4674=A23)*('Tenant Data'!$F$2:$F$4674&gt;0)*('Tenant Data'!$E$2:$E$4674&lt;10000)*'Tenant Data'!$E$2:$E$4674),""),"")</f>
        <v>0.10727302824980113</v>
      </c>
      <c r="L23" s="9">
        <f>IF(B23="Y",COUNTIFS('Tenant Data'!$A$2:$A$4674,A23,'Tenant Data'!$E$2:$E$4674,"&lt;10000"),"")</f>
        <v>86</v>
      </c>
    </row>
    <row r="24" spans="1:12" x14ac:dyDescent="0.2">
      <c r="A24" s="9" t="s">
        <v>37</v>
      </c>
      <c r="B24" s="9" t="s">
        <v>115</v>
      </c>
      <c r="C24" s="9" t="s">
        <v>119</v>
      </c>
      <c r="D24" s="9" t="s">
        <v>130</v>
      </c>
      <c r="E24" s="38">
        <v>6380250</v>
      </c>
      <c r="F24" s="38">
        <v>653675</v>
      </c>
      <c r="G24" s="39">
        <v>107163.69</v>
      </c>
      <c r="H24" s="40">
        <f>IF(B24="Y",IFERROR(SUMIFS('Tenant Data'!$F$2:$F$4674,'Tenant Data'!$A$2:$A$4674,A24,'Tenant Data'!$F$2:$F$4674,"&gt;0",'Tenant Data'!$E$2:$E$4674,"&lt;10000")/SUMIFS('Tenant Data'!$E$2:$E$4674,'Tenant Data'!$A$2:$A$4674,A24,'Tenant Data'!$F$2:$F$4674,"&gt;0",'Tenant Data'!$E$2:$E$4674,"&lt;10000"),""),"")</f>
        <v>430.29769881410397</v>
      </c>
      <c r="I24" s="40">
        <f>IF(B24="Y",IFERROR(SUMIFS('Tenant Data'!$F$2:$F$4674,'Tenant Data'!$A$2:$A$4674,A24,'Tenant Data'!$D$2:$D$4674,"&lt;&gt;Apple",'Tenant Data'!$F$2:$F$4674,"&gt;0",'Tenant Data'!$E$2:$E$4674,"&lt;10000")/SUMIFS('Tenant Data'!$E$2:$E$4674,'Tenant Data'!$A$2:$A$4674,A24,'Tenant Data'!$D$2:$D$4674,"&lt;&gt;Apple",'Tenant Data'!$F$2:$F$4674,"&gt;0",'Tenant Data'!$E$2:$E$4674,"&lt;10000"),""),"")</f>
        <v>430.29769881410397</v>
      </c>
      <c r="J24" s="40">
        <f>IF(B24="Y",IFERROR(SUMPRODUCT(('Tenant Data'!$A$2:$A$4674=A24)*('Tenant Data'!$F$2:$F$4674&gt;0)*('Tenant Data'!$E$2:$E$4674&lt;10000)*'Tenant Data'!$I$2:$I$4674*'Tenant Data'!$E$2:$E$4674)/SUMPRODUCT(('Tenant Data'!$A$2:$A$4674=A24)*('Tenant Data'!$F$2:$F$4674&gt;0)*('Tenant Data'!$E$2:$E$4674&lt;10000)*'Tenant Data'!$E$2:$E$4674),""),"")</f>
        <v>46.979471525191862</v>
      </c>
      <c r="K24" s="41">
        <f>IF(B24="Y",IFERROR(SUMPRODUCT(('Tenant Data'!$A$2:$A$4674=A24)*('Tenant Data'!$F$2:$F$4674&gt;0)*('Tenant Data'!$E$2:$E$4674&lt;10000)*'Tenant Data'!$J$2:$J$4674*'Tenant Data'!$E$2:$E$4674)/SUMPRODUCT(('Tenant Data'!$A$2:$A$4674=A24)*('Tenant Data'!$F$2:$F$4674&gt;0)*('Tenant Data'!$E$2:$E$4674&lt;10000)*'Tenant Data'!$E$2:$E$4674),""),"")</f>
        <v>0.12919602036161859</v>
      </c>
      <c r="L24" s="9">
        <f>IF(B24="Y",COUNTIFS('Tenant Data'!$A$2:$A$4674,A24,'Tenant Data'!$E$2:$E$4674,"&lt;10000"),"")</f>
        <v>71</v>
      </c>
    </row>
    <row r="25" spans="1:12" x14ac:dyDescent="0.2">
      <c r="A25" s="9" t="s">
        <v>26</v>
      </c>
      <c r="B25" s="9" t="s">
        <v>115</v>
      </c>
      <c r="C25" s="9" t="s">
        <v>116</v>
      </c>
      <c r="D25" s="9" t="s">
        <v>131</v>
      </c>
      <c r="E25" s="38">
        <v>4184715</v>
      </c>
      <c r="F25" s="38">
        <v>642172</v>
      </c>
      <c r="G25" s="39">
        <v>98824.38</v>
      </c>
      <c r="H25" s="40">
        <f>IF(B25="Y",IFERROR(SUMIFS('Tenant Data'!$F$2:$F$4674,'Tenant Data'!$A$2:$A$4674,A25,'Tenant Data'!$F$2:$F$4674,"&gt;0",'Tenant Data'!$E$2:$E$4674,"&lt;10000")/SUMIFS('Tenant Data'!$E$2:$E$4674,'Tenant Data'!$A$2:$A$4674,A25,'Tenant Data'!$F$2:$F$4674,"&gt;0",'Tenant Data'!$E$2:$E$4674,"&lt;10000"),""),"")</f>
        <v>396.72978477162457</v>
      </c>
      <c r="I25" s="40">
        <f>IF(B25="Y",IFERROR(SUMIFS('Tenant Data'!$F$2:$F$4674,'Tenant Data'!$A$2:$A$4674,A25,'Tenant Data'!$D$2:$D$4674,"&lt;&gt;Apple",'Tenant Data'!$F$2:$F$4674,"&gt;0",'Tenant Data'!$E$2:$E$4674,"&lt;10000")/SUMIFS('Tenant Data'!$E$2:$E$4674,'Tenant Data'!$A$2:$A$4674,A25,'Tenant Data'!$D$2:$D$4674,"&lt;&gt;Apple",'Tenant Data'!$F$2:$F$4674,"&gt;0",'Tenant Data'!$E$2:$E$4674,"&lt;10000"),""),"")</f>
        <v>396.72978477162457</v>
      </c>
      <c r="J25" s="40">
        <f>IF(B25="Y",IFERROR(SUMPRODUCT(('Tenant Data'!$A$2:$A$4674=A25)*('Tenant Data'!$F$2:$F$4674&gt;0)*('Tenant Data'!$E$2:$E$4674&lt;10000)*'Tenant Data'!$I$2:$I$4674*'Tenant Data'!$E$2:$E$4674)/SUMPRODUCT(('Tenant Data'!$A$2:$A$4674=A25)*('Tenant Data'!$F$2:$F$4674&gt;0)*('Tenant Data'!$E$2:$E$4674&lt;10000)*'Tenant Data'!$E$2:$E$4674),""),"")</f>
        <v>35.555336633508453</v>
      </c>
      <c r="K25" s="41">
        <f>IF(B25="Y",IFERROR(SUMPRODUCT(('Tenant Data'!$A$2:$A$4674=A25)*('Tenant Data'!$F$2:$F$4674&gt;0)*('Tenant Data'!$E$2:$E$4674&lt;10000)*'Tenant Data'!$J$2:$J$4674*'Tenant Data'!$E$2:$E$4674)/SUMPRODUCT(('Tenant Data'!$A$2:$A$4674=A25)*('Tenant Data'!$F$2:$F$4674&gt;0)*('Tenant Data'!$E$2:$E$4674&lt;10000)*'Tenant Data'!$E$2:$E$4674),""),"")</f>
        <v>0.11859121264046797</v>
      </c>
      <c r="L25" s="9">
        <f>IF(B25="Y",COUNTIFS('Tenant Data'!$A$2:$A$4674,A25,'Tenant Data'!$E$2:$E$4674,"&lt;10000"),"")</f>
        <v>61</v>
      </c>
    </row>
    <row r="26" spans="1:12" x14ac:dyDescent="0.2">
      <c r="A26" s="9" t="s">
        <v>63</v>
      </c>
      <c r="B26" s="9" t="s">
        <v>115</v>
      </c>
      <c r="C26" s="9" t="s">
        <v>116</v>
      </c>
      <c r="D26" s="9" t="s">
        <v>118</v>
      </c>
      <c r="E26" s="38">
        <v>7640998</v>
      </c>
      <c r="F26" s="38">
        <v>464479</v>
      </c>
      <c r="G26" s="39">
        <v>127085</v>
      </c>
      <c r="H26" s="40">
        <f>IF(B26="Y",IFERROR(SUMIFS('Tenant Data'!$F$2:$F$4674,'Tenant Data'!$A$2:$A$4674,A26,'Tenant Data'!$F$2:$F$4674,"&gt;0",'Tenant Data'!$E$2:$E$4674,"&lt;10000")/SUMIFS('Tenant Data'!$E$2:$E$4674,'Tenant Data'!$A$2:$A$4674,A26,'Tenant Data'!$F$2:$F$4674,"&gt;0",'Tenant Data'!$E$2:$E$4674,"&lt;10000"),""),"")</f>
        <v>531.76509406086871</v>
      </c>
      <c r="I26" s="40">
        <f>IF(B26="Y",IFERROR(SUMIFS('Tenant Data'!$F$2:$F$4674,'Tenant Data'!$A$2:$A$4674,A26,'Tenant Data'!$D$2:$D$4674,"&lt;&gt;Apple",'Tenant Data'!$F$2:$F$4674,"&gt;0",'Tenant Data'!$E$2:$E$4674,"&lt;10000")/SUMIFS('Tenant Data'!$E$2:$E$4674,'Tenant Data'!$A$2:$A$4674,A26,'Tenant Data'!$D$2:$D$4674,"&lt;&gt;Apple",'Tenant Data'!$F$2:$F$4674,"&gt;0",'Tenant Data'!$E$2:$E$4674,"&lt;10000"),""),"")</f>
        <v>531.76509406086871</v>
      </c>
      <c r="J26" s="40">
        <f>IF(B26="Y",IFERROR(SUMPRODUCT(('Tenant Data'!$A$2:$A$4674=A26)*('Tenant Data'!$F$2:$F$4674&gt;0)*('Tenant Data'!$E$2:$E$4674&lt;10000)*'Tenant Data'!$I$2:$I$4674*'Tenant Data'!$E$2:$E$4674)/SUMPRODUCT(('Tenant Data'!$A$2:$A$4674=A26)*('Tenant Data'!$F$2:$F$4674&gt;0)*('Tenant Data'!$E$2:$E$4674&lt;10000)*'Tenant Data'!$E$2:$E$4674),""),"")</f>
        <v>82.827696247414551</v>
      </c>
      <c r="K26" s="41">
        <f>IF(B26="Y",IFERROR(SUMPRODUCT(('Tenant Data'!$A$2:$A$4674=A26)*('Tenant Data'!$F$2:$F$4674&gt;0)*('Tenant Data'!$E$2:$E$4674&lt;10000)*'Tenant Data'!$J$2:$J$4674*'Tenant Data'!$E$2:$E$4674)/SUMPRODUCT(('Tenant Data'!$A$2:$A$4674=A26)*('Tenant Data'!$F$2:$F$4674&gt;0)*('Tenant Data'!$E$2:$E$4674&lt;10000)*'Tenant Data'!$E$2:$E$4674),""),"")</f>
        <v>0.18469714957598476</v>
      </c>
      <c r="L26" s="9">
        <f>IF(B26="Y",COUNTIFS('Tenant Data'!$A$2:$A$4674,A26,'Tenant Data'!$E$2:$E$4674,"&lt;10000"),"")</f>
        <v>79</v>
      </c>
    </row>
    <row r="27" spans="1:12" x14ac:dyDescent="0.2">
      <c r="A27" s="9" t="s">
        <v>25</v>
      </c>
      <c r="B27" s="9" t="s">
        <v>115</v>
      </c>
      <c r="C27" s="9" t="s">
        <v>116</v>
      </c>
      <c r="D27" s="9" t="s">
        <v>131</v>
      </c>
      <c r="E27" s="38">
        <v>5009861</v>
      </c>
      <c r="F27" s="38">
        <v>578926</v>
      </c>
      <c r="G27" s="39">
        <v>100971.33</v>
      </c>
      <c r="H27" s="40">
        <f>IF(B27="Y",IFERROR(SUMIFS('Tenant Data'!$F$2:$F$4674,'Tenant Data'!$A$2:$A$4674,A27,'Tenant Data'!$F$2:$F$4674,"&gt;0",'Tenant Data'!$E$2:$E$4674,"&lt;10000")/SUMIFS('Tenant Data'!$E$2:$E$4674,'Tenant Data'!$A$2:$A$4674,A27,'Tenant Data'!$F$2:$F$4674,"&gt;0",'Tenant Data'!$E$2:$E$4674,"&lt;10000"),""),"")</f>
        <v>711.68539895498429</v>
      </c>
      <c r="I27" s="40">
        <f>IF(B27="Y",IFERROR(SUMIFS('Tenant Data'!$F$2:$F$4674,'Tenant Data'!$A$2:$A$4674,A27,'Tenant Data'!$D$2:$D$4674,"&lt;&gt;Apple",'Tenant Data'!$F$2:$F$4674,"&gt;0",'Tenant Data'!$E$2:$E$4674,"&lt;10000")/SUMIFS('Tenant Data'!$E$2:$E$4674,'Tenant Data'!$A$2:$A$4674,A27,'Tenant Data'!$D$2:$D$4674,"&lt;&gt;Apple",'Tenant Data'!$F$2:$F$4674,"&gt;0",'Tenant Data'!$E$2:$E$4674,"&lt;10000"),""),"")</f>
        <v>496.34617721186532</v>
      </c>
      <c r="J27" s="40">
        <f>IF(B27="Y",IFERROR(SUMPRODUCT(('Tenant Data'!$A$2:$A$4674=A27)*('Tenant Data'!$F$2:$F$4674&gt;0)*('Tenant Data'!$E$2:$E$4674&lt;10000)*'Tenant Data'!$I$2:$I$4674*'Tenant Data'!$E$2:$E$4674)/SUMPRODUCT(('Tenant Data'!$A$2:$A$4674=A27)*('Tenant Data'!$F$2:$F$4674&gt;0)*('Tenant Data'!$E$2:$E$4674&lt;10000)*'Tenant Data'!$E$2:$E$4674),""),"")</f>
        <v>54.434840100891336</v>
      </c>
      <c r="K27" s="41">
        <f>IF(B27="Y",IFERROR(SUMPRODUCT(('Tenant Data'!$A$2:$A$4674=A27)*('Tenant Data'!$F$2:$F$4674&gt;0)*('Tenant Data'!$E$2:$E$4674&lt;10000)*'Tenant Data'!$J$2:$J$4674*'Tenant Data'!$E$2:$E$4674)/SUMPRODUCT(('Tenant Data'!$A$2:$A$4674=A27)*('Tenant Data'!$F$2:$F$4674&gt;0)*('Tenant Data'!$E$2:$E$4674&lt;10000)*'Tenant Data'!$E$2:$E$4674),""),"")</f>
        <v>0.11613296567394504</v>
      </c>
      <c r="L27" s="9">
        <f>IF(B27="Y",COUNTIFS('Tenant Data'!$A$2:$A$4674,A27,'Tenant Data'!$E$2:$E$4674,"&lt;10000"),"")</f>
        <v>83</v>
      </c>
    </row>
    <row r="28" spans="1:12" x14ac:dyDescent="0.2">
      <c r="A28" s="9" t="s">
        <v>43</v>
      </c>
      <c r="B28" s="9" t="s">
        <v>115</v>
      </c>
      <c r="C28" s="9" t="s">
        <v>116</v>
      </c>
      <c r="D28" s="9" t="s">
        <v>131</v>
      </c>
      <c r="E28" s="38">
        <v>6444269</v>
      </c>
      <c r="F28" s="38">
        <v>214612</v>
      </c>
      <c r="G28" s="39">
        <v>83955</v>
      </c>
      <c r="H28" s="40">
        <f>IF(B28="Y",IFERROR(SUMIFS('Tenant Data'!$F$2:$F$4674,'Tenant Data'!$A$2:$A$4674,A28,'Tenant Data'!$F$2:$F$4674,"&gt;0",'Tenant Data'!$E$2:$E$4674,"&lt;10000")/SUMIFS('Tenant Data'!$E$2:$E$4674,'Tenant Data'!$A$2:$A$4674,A28,'Tenant Data'!$F$2:$F$4674,"&gt;0",'Tenant Data'!$E$2:$E$4674,"&lt;10000"),""),"")</f>
        <v>468.5318938090702</v>
      </c>
      <c r="I28" s="40">
        <f>IF(B28="Y",IFERROR(SUMIFS('Tenant Data'!$F$2:$F$4674,'Tenant Data'!$A$2:$A$4674,A28,'Tenant Data'!$D$2:$D$4674,"&lt;&gt;Apple",'Tenant Data'!$F$2:$F$4674,"&gt;0",'Tenant Data'!$E$2:$E$4674,"&lt;10000")/SUMIFS('Tenant Data'!$E$2:$E$4674,'Tenant Data'!$A$2:$A$4674,A28,'Tenant Data'!$D$2:$D$4674,"&lt;&gt;Apple",'Tenant Data'!$F$2:$F$4674,"&gt;0",'Tenant Data'!$E$2:$E$4674,"&lt;10000"),""),"")</f>
        <v>468.5318938090702</v>
      </c>
      <c r="J28" s="40">
        <f>IF(B28="Y",IFERROR(SUMPRODUCT(('Tenant Data'!$A$2:$A$4674=A28)*('Tenant Data'!$F$2:$F$4674&gt;0)*('Tenant Data'!$E$2:$E$4674&lt;10000)*'Tenant Data'!$I$2:$I$4674*'Tenant Data'!$E$2:$E$4674)/SUMPRODUCT(('Tenant Data'!$A$2:$A$4674=A28)*('Tenant Data'!$F$2:$F$4674&gt;0)*('Tenant Data'!$E$2:$E$4674&lt;10000)*'Tenant Data'!$E$2:$E$4674),""),"")</f>
        <v>53.708832145133549</v>
      </c>
      <c r="K28" s="41">
        <f>IF(B28="Y",IFERROR(SUMPRODUCT(('Tenant Data'!$A$2:$A$4674=A28)*('Tenant Data'!$F$2:$F$4674&gt;0)*('Tenant Data'!$E$2:$E$4674&lt;10000)*'Tenant Data'!$J$2:$J$4674*'Tenant Data'!$E$2:$E$4674)/SUMPRODUCT(('Tenant Data'!$A$2:$A$4674=A28)*('Tenant Data'!$F$2:$F$4674&gt;0)*('Tenant Data'!$E$2:$E$4674&lt;10000)*'Tenant Data'!$E$2:$E$4674),""),"")</f>
        <v>0.1376367763500789</v>
      </c>
      <c r="L28" s="9">
        <f>IF(B28="Y",COUNTIFS('Tenant Data'!$A$2:$A$4674,A28,'Tenant Data'!$E$2:$E$4674,"&lt;10000"),"")</f>
        <v>70</v>
      </c>
    </row>
    <row r="29" spans="1:12" x14ac:dyDescent="0.2">
      <c r="A29" s="9" t="s">
        <v>24</v>
      </c>
      <c r="B29" s="9" t="s">
        <v>115</v>
      </c>
      <c r="C29" s="9" t="s">
        <v>119</v>
      </c>
      <c r="D29" s="9" t="s">
        <v>127</v>
      </c>
      <c r="E29" s="38">
        <v>6047693</v>
      </c>
      <c r="F29" s="38">
        <v>224422</v>
      </c>
      <c r="G29" s="39">
        <v>116236.91</v>
      </c>
      <c r="H29" s="40">
        <f>IF(B29="Y",IFERROR(SUMIFS('Tenant Data'!$F$2:$F$4674,'Tenant Data'!$A$2:$A$4674,A29,'Tenant Data'!$F$2:$F$4674,"&gt;0",'Tenant Data'!$E$2:$E$4674,"&lt;10000")/SUMIFS('Tenant Data'!$E$2:$E$4674,'Tenant Data'!$A$2:$A$4674,A29,'Tenant Data'!$F$2:$F$4674,"&gt;0",'Tenant Data'!$E$2:$E$4674,"&lt;10000"),""),"")</f>
        <v>484.02414578963732</v>
      </c>
      <c r="I29" s="40">
        <f>IF(B29="Y",IFERROR(SUMIFS('Tenant Data'!$F$2:$F$4674,'Tenant Data'!$A$2:$A$4674,A29,'Tenant Data'!$D$2:$D$4674,"&lt;&gt;Apple",'Tenant Data'!$F$2:$F$4674,"&gt;0",'Tenant Data'!$E$2:$E$4674,"&lt;10000")/SUMIFS('Tenant Data'!$E$2:$E$4674,'Tenant Data'!$A$2:$A$4674,A29,'Tenant Data'!$D$2:$D$4674,"&lt;&gt;Apple",'Tenant Data'!$F$2:$F$4674,"&gt;0",'Tenant Data'!$E$2:$E$4674,"&lt;10000"),""),"")</f>
        <v>484.02414578963732</v>
      </c>
      <c r="J29" s="40">
        <f>IF(B29="Y",IFERROR(SUMPRODUCT(('Tenant Data'!$A$2:$A$4674=A29)*('Tenant Data'!$F$2:$F$4674&gt;0)*('Tenant Data'!$E$2:$E$4674&lt;10000)*'Tenant Data'!$I$2:$I$4674*'Tenant Data'!$E$2:$E$4674)/SUMPRODUCT(('Tenant Data'!$A$2:$A$4674=A29)*('Tenant Data'!$F$2:$F$4674&gt;0)*('Tenant Data'!$E$2:$E$4674&lt;10000)*'Tenant Data'!$E$2:$E$4674),""),"")</f>
        <v>39.687284316010256</v>
      </c>
      <c r="K29" s="41">
        <f>IF(B29="Y",IFERROR(SUMPRODUCT(('Tenant Data'!$A$2:$A$4674=A29)*('Tenant Data'!$F$2:$F$4674&gt;0)*('Tenant Data'!$E$2:$E$4674&lt;10000)*'Tenant Data'!$J$2:$J$4674*'Tenant Data'!$E$2:$E$4674)/SUMPRODUCT(('Tenant Data'!$A$2:$A$4674=A29)*('Tenant Data'!$F$2:$F$4674&gt;0)*('Tenant Data'!$E$2:$E$4674&lt;10000)*'Tenant Data'!$E$2:$E$4674),""),"")</f>
        <v>0.11495173200798194</v>
      </c>
      <c r="L29" s="9">
        <f>IF(B29="Y",COUNTIFS('Tenant Data'!$A$2:$A$4674,A29,'Tenant Data'!$E$2:$E$4674,"&lt;10000"),"")</f>
        <v>73</v>
      </c>
    </row>
    <row r="30" spans="1:12" x14ac:dyDescent="0.2">
      <c r="A30" s="9" t="s">
        <v>27</v>
      </c>
      <c r="B30" s="9" t="s">
        <v>115</v>
      </c>
      <c r="C30" s="9" t="s">
        <v>116</v>
      </c>
      <c r="D30" s="9" t="s">
        <v>127</v>
      </c>
      <c r="E30" s="38">
        <v>7396278</v>
      </c>
      <c r="F30" s="38">
        <v>127131</v>
      </c>
      <c r="G30" s="39">
        <v>86600.37</v>
      </c>
      <c r="H30" s="40">
        <f>IF(B30="Y",IFERROR(SUMIFS('Tenant Data'!$F$2:$F$4674,'Tenant Data'!$A$2:$A$4674,A30,'Tenant Data'!$F$2:$F$4674,"&gt;0",'Tenant Data'!$E$2:$E$4674,"&lt;10000")/SUMIFS('Tenant Data'!$E$2:$E$4674,'Tenant Data'!$A$2:$A$4674,A30,'Tenant Data'!$F$2:$F$4674,"&gt;0",'Tenant Data'!$E$2:$E$4674,"&lt;10000"),""),"")</f>
        <v>384.09084481720777</v>
      </c>
      <c r="I30" s="40">
        <f>IF(B30="Y",IFERROR(SUMIFS('Tenant Data'!$F$2:$F$4674,'Tenant Data'!$A$2:$A$4674,A30,'Tenant Data'!$D$2:$D$4674,"&lt;&gt;Apple",'Tenant Data'!$F$2:$F$4674,"&gt;0",'Tenant Data'!$E$2:$E$4674,"&lt;10000")/SUMIFS('Tenant Data'!$E$2:$E$4674,'Tenant Data'!$A$2:$A$4674,A30,'Tenant Data'!$D$2:$D$4674,"&lt;&gt;Apple",'Tenant Data'!$F$2:$F$4674,"&gt;0",'Tenant Data'!$E$2:$E$4674,"&lt;10000"),""),"")</f>
        <v>384.09084481720777</v>
      </c>
      <c r="J30" s="40">
        <f>IF(B30="Y",IFERROR(SUMPRODUCT(('Tenant Data'!$A$2:$A$4674=A30)*('Tenant Data'!$F$2:$F$4674&gt;0)*('Tenant Data'!$E$2:$E$4674&lt;10000)*'Tenant Data'!$I$2:$I$4674*'Tenant Data'!$E$2:$E$4674)/SUMPRODUCT(('Tenant Data'!$A$2:$A$4674=A30)*('Tenant Data'!$F$2:$F$4674&gt;0)*('Tenant Data'!$E$2:$E$4674&lt;10000)*'Tenant Data'!$E$2:$E$4674),""),"")</f>
        <v>44.231869636823298</v>
      </c>
      <c r="K30" s="41">
        <f>IF(B30="Y",IFERROR(SUMPRODUCT(('Tenant Data'!$A$2:$A$4674=A30)*('Tenant Data'!$F$2:$F$4674&gt;0)*('Tenant Data'!$E$2:$E$4674&lt;10000)*'Tenant Data'!$J$2:$J$4674*'Tenant Data'!$E$2:$E$4674)/SUMPRODUCT(('Tenant Data'!$A$2:$A$4674=A30)*('Tenant Data'!$F$2:$F$4674&gt;0)*('Tenant Data'!$E$2:$E$4674&lt;10000)*'Tenant Data'!$E$2:$E$4674),""),"")</f>
        <v>0.118889428595514</v>
      </c>
      <c r="L30" s="9">
        <f>IF(B30="Y",COUNTIFS('Tenant Data'!$A$2:$A$4674,A30,'Tenant Data'!$E$2:$E$4674,"&lt;10000"),"")</f>
        <v>68</v>
      </c>
    </row>
    <row r="31" spans="1:12" x14ac:dyDescent="0.2">
      <c r="A31" s="9" t="s">
        <v>36</v>
      </c>
      <c r="B31" s="9" t="s">
        <v>115</v>
      </c>
      <c r="C31" s="9" t="s">
        <v>116</v>
      </c>
      <c r="D31" s="9" t="s">
        <v>127</v>
      </c>
      <c r="E31" s="38">
        <v>9415595</v>
      </c>
      <c r="F31" s="38">
        <v>949923</v>
      </c>
      <c r="G31" s="39">
        <v>111468.63</v>
      </c>
      <c r="H31" s="40">
        <f>IF(B31="Y",IFERROR(SUMIFS('Tenant Data'!$F$2:$F$4674,'Tenant Data'!$A$2:$A$4674,A31,'Tenant Data'!$F$2:$F$4674,"&gt;0",'Tenant Data'!$E$2:$E$4674,"&lt;10000")/SUMIFS('Tenant Data'!$E$2:$E$4674,'Tenant Data'!$A$2:$A$4674,A31,'Tenant Data'!$F$2:$F$4674,"&gt;0",'Tenant Data'!$E$2:$E$4674,"&lt;10000"),""),"")</f>
        <v>561.77993191891369</v>
      </c>
      <c r="I31" s="40">
        <f>IF(B31="Y",IFERROR(SUMIFS('Tenant Data'!$F$2:$F$4674,'Tenant Data'!$A$2:$A$4674,A31,'Tenant Data'!$D$2:$D$4674,"&lt;&gt;Apple",'Tenant Data'!$F$2:$F$4674,"&gt;0",'Tenant Data'!$E$2:$E$4674,"&lt;10000")/SUMIFS('Tenant Data'!$E$2:$E$4674,'Tenant Data'!$A$2:$A$4674,A31,'Tenant Data'!$D$2:$D$4674,"&lt;&gt;Apple",'Tenant Data'!$F$2:$F$4674,"&gt;0",'Tenant Data'!$E$2:$E$4674,"&lt;10000"),""),"")</f>
        <v>561.77993191891369</v>
      </c>
      <c r="J31" s="40">
        <f>IF(B31="Y",IFERROR(SUMPRODUCT(('Tenant Data'!$A$2:$A$4674=A31)*('Tenant Data'!$F$2:$F$4674&gt;0)*('Tenant Data'!$E$2:$E$4674&lt;10000)*'Tenant Data'!$I$2:$I$4674*'Tenant Data'!$E$2:$E$4674)/SUMPRODUCT(('Tenant Data'!$A$2:$A$4674=A31)*('Tenant Data'!$F$2:$F$4674&gt;0)*('Tenant Data'!$E$2:$E$4674&lt;10000)*'Tenant Data'!$E$2:$E$4674),""),"")</f>
        <v>64.346561873881313</v>
      </c>
      <c r="K31" s="41">
        <f>IF(B31="Y",IFERROR(SUMPRODUCT(('Tenant Data'!$A$2:$A$4674=A31)*('Tenant Data'!$F$2:$F$4674&gt;0)*('Tenant Data'!$E$2:$E$4674&lt;10000)*'Tenant Data'!$J$2:$J$4674*'Tenant Data'!$E$2:$E$4674)/SUMPRODUCT(('Tenant Data'!$A$2:$A$4674=A31)*('Tenant Data'!$F$2:$F$4674&gt;0)*('Tenant Data'!$E$2:$E$4674&lt;10000)*'Tenant Data'!$E$2:$E$4674),""),"")</f>
        <v>0.12687736922061446</v>
      </c>
      <c r="L31" s="9">
        <f>IF(B31="Y",COUNTIFS('Tenant Data'!$A$2:$A$4674,A31,'Tenant Data'!$E$2:$E$4674,"&lt;10000"),"")</f>
        <v>107</v>
      </c>
    </row>
    <row r="32" spans="1:12" x14ac:dyDescent="0.2">
      <c r="A32" s="9" t="s">
        <v>20</v>
      </c>
      <c r="B32" s="9" t="s">
        <v>115</v>
      </c>
      <c r="C32" s="9" t="s">
        <v>119</v>
      </c>
      <c r="D32" s="9" t="s">
        <v>132</v>
      </c>
      <c r="E32" s="38">
        <v>6191968</v>
      </c>
      <c r="F32" s="38">
        <v>1738488</v>
      </c>
      <c r="G32" s="39">
        <v>304463.27</v>
      </c>
      <c r="H32" s="40">
        <f>IF(B32="Y",IFERROR(SUMIFS('Tenant Data'!$F$2:$F$4674,'Tenant Data'!$A$2:$A$4674,A32,'Tenant Data'!$F$2:$F$4674,"&gt;0",'Tenant Data'!$E$2:$E$4674,"&lt;10000")/SUMIFS('Tenant Data'!$E$2:$E$4674,'Tenant Data'!$A$2:$A$4674,A32,'Tenant Data'!$F$2:$F$4674,"&gt;0",'Tenant Data'!$E$2:$E$4674,"&lt;10000"),""),"")</f>
        <v>725.68630437689137</v>
      </c>
      <c r="I32" s="40">
        <f>IF(B32="Y",IFERROR(SUMIFS('Tenant Data'!$F$2:$F$4674,'Tenant Data'!$A$2:$A$4674,A32,'Tenant Data'!$D$2:$D$4674,"&lt;&gt;Apple",'Tenant Data'!$F$2:$F$4674,"&gt;0",'Tenant Data'!$E$2:$E$4674,"&lt;10000")/SUMIFS('Tenant Data'!$E$2:$E$4674,'Tenant Data'!$A$2:$A$4674,A32,'Tenant Data'!$D$2:$D$4674,"&lt;&gt;Apple",'Tenant Data'!$F$2:$F$4674,"&gt;0",'Tenant Data'!$E$2:$E$4674,"&lt;10000"),""),"")</f>
        <v>725.68630437689137</v>
      </c>
      <c r="J32" s="40">
        <f>IF(B32="Y",IFERROR(SUMPRODUCT(('Tenant Data'!$A$2:$A$4674=A32)*('Tenant Data'!$F$2:$F$4674&gt;0)*('Tenant Data'!$E$2:$E$4674&lt;10000)*'Tenant Data'!$I$2:$I$4674*'Tenant Data'!$E$2:$E$4674)/SUMPRODUCT(('Tenant Data'!$A$2:$A$4674=A32)*('Tenant Data'!$F$2:$F$4674&gt;0)*('Tenant Data'!$E$2:$E$4674&lt;10000)*'Tenant Data'!$E$2:$E$4674),""),"")</f>
        <v>52.614200557471165</v>
      </c>
      <c r="K32" s="41">
        <f>IF(B32="Y",IFERROR(SUMPRODUCT(('Tenant Data'!$A$2:$A$4674=A32)*('Tenant Data'!$F$2:$F$4674&gt;0)*('Tenant Data'!$E$2:$E$4674&lt;10000)*'Tenant Data'!$J$2:$J$4674*'Tenant Data'!$E$2:$E$4674)/SUMPRODUCT(('Tenant Data'!$A$2:$A$4674=A32)*('Tenant Data'!$F$2:$F$4674&gt;0)*('Tenant Data'!$E$2:$E$4674&lt;10000)*'Tenant Data'!$E$2:$E$4674),""),"")</f>
        <v>0.1021261129238714</v>
      </c>
      <c r="L32" s="9">
        <f>IF(B32="Y",COUNTIFS('Tenant Data'!$A$2:$A$4674,A32,'Tenant Data'!$E$2:$E$4674,"&lt;10000"),"")</f>
        <v>74</v>
      </c>
    </row>
    <row r="33" spans="1:12" x14ac:dyDescent="0.2">
      <c r="A33" s="9" t="s">
        <v>47</v>
      </c>
      <c r="B33" s="9" t="s">
        <v>115</v>
      </c>
      <c r="C33" s="9" t="s">
        <v>116</v>
      </c>
      <c r="D33" s="9" t="s">
        <v>127</v>
      </c>
      <c r="E33" s="38">
        <v>3312527</v>
      </c>
      <c r="F33" s="38">
        <v>296968</v>
      </c>
      <c r="G33" s="39">
        <v>82408</v>
      </c>
      <c r="H33" s="40">
        <f>IF(B33="Y",IFERROR(SUMIFS('Tenant Data'!$F$2:$F$4674,'Tenant Data'!$A$2:$A$4674,A33,'Tenant Data'!$F$2:$F$4674,"&gt;0",'Tenant Data'!$E$2:$E$4674,"&lt;10000")/SUMIFS('Tenant Data'!$E$2:$E$4674,'Tenant Data'!$A$2:$A$4674,A33,'Tenant Data'!$F$2:$F$4674,"&gt;0",'Tenant Data'!$E$2:$E$4674,"&lt;10000"),""),"")</f>
        <v>542.24080458129094</v>
      </c>
      <c r="I33" s="40">
        <f>IF(B33="Y",IFERROR(SUMIFS('Tenant Data'!$F$2:$F$4674,'Tenant Data'!$A$2:$A$4674,A33,'Tenant Data'!$D$2:$D$4674,"&lt;&gt;Apple",'Tenant Data'!$F$2:$F$4674,"&gt;0",'Tenant Data'!$E$2:$E$4674,"&lt;10000")/SUMIFS('Tenant Data'!$E$2:$E$4674,'Tenant Data'!$A$2:$A$4674,A33,'Tenant Data'!$D$2:$D$4674,"&lt;&gt;Apple",'Tenant Data'!$F$2:$F$4674,"&gt;0",'Tenant Data'!$E$2:$E$4674,"&lt;10000"),""),"")</f>
        <v>542.24080458129094</v>
      </c>
      <c r="J33" s="40">
        <f>IF(B33="Y",IFERROR(SUMPRODUCT(('Tenant Data'!$A$2:$A$4674=A33)*('Tenant Data'!$F$2:$F$4674&gt;0)*('Tenant Data'!$E$2:$E$4674&lt;10000)*'Tenant Data'!$I$2:$I$4674*'Tenant Data'!$E$2:$E$4674)/SUMPRODUCT(('Tenant Data'!$A$2:$A$4674=A33)*('Tenant Data'!$F$2:$F$4674&gt;0)*('Tenant Data'!$E$2:$E$4674&lt;10000)*'Tenant Data'!$E$2:$E$4674),""),"")</f>
        <v>68.048838628468076</v>
      </c>
      <c r="K33" s="41">
        <f>IF(B33="Y",IFERROR(SUMPRODUCT(('Tenant Data'!$A$2:$A$4674=A33)*('Tenant Data'!$F$2:$F$4674&gt;0)*('Tenant Data'!$E$2:$E$4674&lt;10000)*'Tenant Data'!$J$2:$J$4674*'Tenant Data'!$E$2:$E$4674)/SUMPRODUCT(('Tenant Data'!$A$2:$A$4674=A33)*('Tenant Data'!$F$2:$F$4674&gt;0)*('Tenant Data'!$E$2:$E$4674&lt;10000)*'Tenant Data'!$E$2:$E$4674),""),"")</f>
        <v>0.14252951868167654</v>
      </c>
      <c r="L33" s="9">
        <f>IF(B33="Y",COUNTIFS('Tenant Data'!$A$2:$A$4674,A33,'Tenant Data'!$E$2:$E$4674,"&lt;10000"),"")</f>
        <v>59</v>
      </c>
    </row>
    <row r="34" spans="1:12" x14ac:dyDescent="0.2">
      <c r="A34" s="9" t="s">
        <v>62</v>
      </c>
      <c r="B34" s="9" t="s">
        <v>115</v>
      </c>
      <c r="C34" s="9" t="s">
        <v>116</v>
      </c>
      <c r="D34" s="9" t="s">
        <v>127</v>
      </c>
      <c r="E34" s="38">
        <v>11774167</v>
      </c>
      <c r="F34" s="38">
        <v>2065171</v>
      </c>
      <c r="G34" s="39">
        <v>98587.01</v>
      </c>
      <c r="H34" s="40">
        <f>IF(B34="Y",IFERROR(SUMIFS('Tenant Data'!$F$2:$F$4674,'Tenant Data'!$A$2:$A$4674,A34,'Tenant Data'!$F$2:$F$4674,"&gt;0",'Tenant Data'!$E$2:$E$4674,"&lt;10000")/SUMIFS('Tenant Data'!$E$2:$E$4674,'Tenant Data'!$A$2:$A$4674,A34,'Tenant Data'!$F$2:$F$4674,"&gt;0",'Tenant Data'!$E$2:$E$4674,"&lt;10000"),""),"")</f>
        <v>467.97185842840793</v>
      </c>
      <c r="I34" s="40">
        <f>IF(B34="Y",IFERROR(SUMIFS('Tenant Data'!$F$2:$F$4674,'Tenant Data'!$A$2:$A$4674,A34,'Tenant Data'!$D$2:$D$4674,"&lt;&gt;Apple",'Tenant Data'!$F$2:$F$4674,"&gt;0",'Tenant Data'!$E$2:$E$4674,"&lt;10000")/SUMIFS('Tenant Data'!$E$2:$E$4674,'Tenant Data'!$A$2:$A$4674,A34,'Tenant Data'!$D$2:$D$4674,"&lt;&gt;Apple",'Tenant Data'!$F$2:$F$4674,"&gt;0",'Tenant Data'!$E$2:$E$4674,"&lt;10000"),""),"")</f>
        <v>467.97185842840793</v>
      </c>
      <c r="J34" s="40">
        <f>IF(B34="Y",IFERROR(SUMPRODUCT(('Tenant Data'!$A$2:$A$4674=A34)*('Tenant Data'!$F$2:$F$4674&gt;0)*('Tenant Data'!$E$2:$E$4674&lt;10000)*'Tenant Data'!$I$2:$I$4674*'Tenant Data'!$E$2:$E$4674)/SUMPRODUCT(('Tenant Data'!$A$2:$A$4674=A34)*('Tenant Data'!$F$2:$F$4674&gt;0)*('Tenant Data'!$E$2:$E$4674&lt;10000)*'Tenant Data'!$E$2:$E$4674),""),"")</f>
        <v>71.63374262960798</v>
      </c>
      <c r="K34" s="41">
        <f>IF(B34="Y",IFERROR(SUMPRODUCT(('Tenant Data'!$A$2:$A$4674=A34)*('Tenant Data'!$F$2:$F$4674&gt;0)*('Tenant Data'!$E$2:$E$4674&lt;10000)*'Tenant Data'!$J$2:$J$4674*'Tenant Data'!$E$2:$E$4674)/SUMPRODUCT(('Tenant Data'!$A$2:$A$4674=A34)*('Tenant Data'!$F$2:$F$4674&gt;0)*('Tenant Data'!$E$2:$E$4674&lt;10000)*'Tenant Data'!$E$2:$E$4674),""),"")</f>
        <v>0.18166507793803419</v>
      </c>
      <c r="L34" s="9">
        <f>IF(B34="Y",COUNTIFS('Tenant Data'!$A$2:$A$4674,A34,'Tenant Data'!$E$2:$E$4674,"&lt;10000"),"")</f>
        <v>117</v>
      </c>
    </row>
    <row r="35" spans="1:12" x14ac:dyDescent="0.2">
      <c r="A35" s="9" t="s">
        <v>33</v>
      </c>
      <c r="B35" s="9" t="s">
        <v>115</v>
      </c>
      <c r="C35" s="9" t="s">
        <v>119</v>
      </c>
      <c r="D35" s="9" t="s">
        <v>123</v>
      </c>
      <c r="E35" s="38">
        <v>6077754</v>
      </c>
      <c r="F35" s="38">
        <v>531418</v>
      </c>
      <c r="G35" s="39">
        <v>126295.43</v>
      </c>
      <c r="H35" s="40">
        <f>IF(B35="Y",IFERROR(SUMIFS('Tenant Data'!$F$2:$F$4674,'Tenant Data'!$A$2:$A$4674,A35,'Tenant Data'!$F$2:$F$4674,"&gt;0",'Tenant Data'!$E$2:$E$4674,"&lt;10000")/SUMIFS('Tenant Data'!$E$2:$E$4674,'Tenant Data'!$A$2:$A$4674,A35,'Tenant Data'!$F$2:$F$4674,"&gt;0",'Tenant Data'!$E$2:$E$4674,"&lt;10000"),""),"")</f>
        <v>383.83985614866219</v>
      </c>
      <c r="I35" s="40">
        <f>IF(B35="Y",IFERROR(SUMIFS('Tenant Data'!$F$2:$F$4674,'Tenant Data'!$A$2:$A$4674,A35,'Tenant Data'!$D$2:$D$4674,"&lt;&gt;Apple",'Tenant Data'!$F$2:$F$4674,"&gt;0",'Tenant Data'!$E$2:$E$4674,"&lt;10000")/SUMIFS('Tenant Data'!$E$2:$E$4674,'Tenant Data'!$A$2:$A$4674,A35,'Tenant Data'!$D$2:$D$4674,"&lt;&gt;Apple",'Tenant Data'!$F$2:$F$4674,"&gt;0",'Tenant Data'!$E$2:$E$4674,"&lt;10000"),""),"")</f>
        <v>383.83985614866219</v>
      </c>
      <c r="J35" s="40">
        <f>IF(B35="Y",IFERROR(SUMPRODUCT(('Tenant Data'!$A$2:$A$4674=A35)*('Tenant Data'!$F$2:$F$4674&gt;0)*('Tenant Data'!$E$2:$E$4674&lt;10000)*'Tenant Data'!$I$2:$I$4674*'Tenant Data'!$E$2:$E$4674)/SUMPRODUCT(('Tenant Data'!$A$2:$A$4674=A35)*('Tenant Data'!$F$2:$F$4674&gt;0)*('Tenant Data'!$E$2:$E$4674&lt;10000)*'Tenant Data'!$E$2:$E$4674),""),"")</f>
        <v>40.371867755290282</v>
      </c>
      <c r="K35" s="41">
        <f>IF(B35="Y",IFERROR(SUMPRODUCT(('Tenant Data'!$A$2:$A$4674=A35)*('Tenant Data'!$F$2:$F$4674&gt;0)*('Tenant Data'!$E$2:$E$4674&lt;10000)*'Tenant Data'!$J$2:$J$4674*'Tenant Data'!$E$2:$E$4674)/SUMPRODUCT(('Tenant Data'!$A$2:$A$4674=A35)*('Tenant Data'!$F$2:$F$4674&gt;0)*('Tenant Data'!$E$2:$E$4674&lt;10000)*'Tenant Data'!$E$2:$E$4674),""),"")</f>
        <v>0.12524162019902163</v>
      </c>
      <c r="L35" s="9">
        <f>IF(B35="Y",COUNTIFS('Tenant Data'!$A$2:$A$4674,A35,'Tenant Data'!$E$2:$E$4674,"&lt;10000"),"")</f>
        <v>91</v>
      </c>
    </row>
    <row r="36" spans="1:12" x14ac:dyDescent="0.2">
      <c r="A36" s="9" t="s">
        <v>46</v>
      </c>
      <c r="B36" s="9" t="s">
        <v>115</v>
      </c>
      <c r="C36" s="9" t="s">
        <v>116</v>
      </c>
      <c r="D36" s="9" t="s">
        <v>133</v>
      </c>
      <c r="E36" s="38">
        <v>6728617</v>
      </c>
      <c r="F36" s="38">
        <v>1034466</v>
      </c>
      <c r="G36" s="39">
        <v>96480.19</v>
      </c>
      <c r="H36" s="40">
        <f>IF(B36="Y",IFERROR(SUMIFS('Tenant Data'!$F$2:$F$4674,'Tenant Data'!$A$2:$A$4674,A36,'Tenant Data'!$F$2:$F$4674,"&gt;0",'Tenant Data'!$E$2:$E$4674,"&lt;10000")/SUMIFS('Tenant Data'!$E$2:$E$4674,'Tenant Data'!$A$2:$A$4674,A36,'Tenant Data'!$F$2:$F$4674,"&gt;0",'Tenant Data'!$E$2:$E$4674,"&lt;10000"),""),"")</f>
        <v>543.60094624054921</v>
      </c>
      <c r="I36" s="40">
        <f>IF(B36="Y",IFERROR(SUMIFS('Tenant Data'!$F$2:$F$4674,'Tenant Data'!$A$2:$A$4674,A36,'Tenant Data'!$D$2:$D$4674,"&lt;&gt;Apple",'Tenant Data'!$F$2:$F$4674,"&gt;0",'Tenant Data'!$E$2:$E$4674,"&lt;10000")/SUMIFS('Tenant Data'!$E$2:$E$4674,'Tenant Data'!$A$2:$A$4674,A36,'Tenant Data'!$D$2:$D$4674,"&lt;&gt;Apple",'Tenant Data'!$F$2:$F$4674,"&gt;0",'Tenant Data'!$E$2:$E$4674,"&lt;10000"),""),"")</f>
        <v>543.60094624054921</v>
      </c>
      <c r="J36" s="40">
        <f>IF(B36="Y",IFERROR(SUMPRODUCT(('Tenant Data'!$A$2:$A$4674=A36)*('Tenant Data'!$F$2:$F$4674&gt;0)*('Tenant Data'!$E$2:$E$4674&lt;10000)*'Tenant Data'!$I$2:$I$4674*'Tenant Data'!$E$2:$E$4674)/SUMPRODUCT(('Tenant Data'!$A$2:$A$4674=A36)*('Tenant Data'!$F$2:$F$4674&gt;0)*('Tenant Data'!$E$2:$E$4674&lt;10000)*'Tenant Data'!$E$2:$E$4674),""),"")</f>
        <v>69.213377243842473</v>
      </c>
      <c r="K36" s="41">
        <f>IF(B36="Y",IFERROR(SUMPRODUCT(('Tenant Data'!$A$2:$A$4674=A36)*('Tenant Data'!$F$2:$F$4674&gt;0)*('Tenant Data'!$E$2:$E$4674&lt;10000)*'Tenant Data'!$J$2:$J$4674*'Tenant Data'!$E$2:$E$4674)/SUMPRODUCT(('Tenant Data'!$A$2:$A$4674=A36)*('Tenant Data'!$F$2:$F$4674&gt;0)*('Tenant Data'!$E$2:$E$4674&lt;10000)*'Tenant Data'!$E$2:$E$4674),""),"")</f>
        <v>0.14178104687970311</v>
      </c>
      <c r="L36" s="9">
        <f>IF(B36="Y",COUNTIFS('Tenant Data'!$A$2:$A$4674,A36,'Tenant Data'!$E$2:$E$4674,"&lt;10000"),"")</f>
        <v>64</v>
      </c>
    </row>
    <row r="37" spans="1:12" x14ac:dyDescent="0.2">
      <c r="A37" s="9" t="s">
        <v>30</v>
      </c>
      <c r="B37" s="9" t="s">
        <v>115</v>
      </c>
      <c r="C37" s="9" t="s">
        <v>119</v>
      </c>
      <c r="D37" s="9" t="s">
        <v>132</v>
      </c>
      <c r="E37" s="38">
        <v>4531037</v>
      </c>
      <c r="F37" s="38">
        <v>879102</v>
      </c>
      <c r="G37" s="39">
        <v>137148.56</v>
      </c>
      <c r="H37" s="40">
        <f>IF(B37="Y",IFERROR(SUMIFS('Tenant Data'!$F$2:$F$4674,'Tenant Data'!$A$2:$A$4674,A37,'Tenant Data'!$F$2:$F$4674,"&gt;0",'Tenant Data'!$E$2:$E$4674,"&lt;10000")/SUMIFS('Tenant Data'!$E$2:$E$4674,'Tenant Data'!$A$2:$A$4674,A37,'Tenant Data'!$F$2:$F$4674,"&gt;0",'Tenant Data'!$E$2:$E$4674,"&lt;10000"),""),"")</f>
        <v>1281.0112945993405</v>
      </c>
      <c r="I37" s="40">
        <f>IF(B37="Y",IFERROR(SUMIFS('Tenant Data'!$F$2:$F$4674,'Tenant Data'!$A$2:$A$4674,A37,'Tenant Data'!$D$2:$D$4674,"&lt;&gt;Apple",'Tenant Data'!$F$2:$F$4674,"&gt;0",'Tenant Data'!$E$2:$E$4674,"&lt;10000")/SUMIFS('Tenant Data'!$E$2:$E$4674,'Tenant Data'!$A$2:$A$4674,A37,'Tenant Data'!$D$2:$D$4674,"&lt;&gt;Apple",'Tenant Data'!$F$2:$F$4674,"&gt;0",'Tenant Data'!$E$2:$E$4674,"&lt;10000"),""),"")</f>
        <v>1042.2429478304373</v>
      </c>
      <c r="J37" s="40">
        <f>IF(B37="Y",IFERROR(SUMPRODUCT(('Tenant Data'!$A$2:$A$4674=A37)*('Tenant Data'!$F$2:$F$4674&gt;0)*('Tenant Data'!$E$2:$E$4674&lt;10000)*'Tenant Data'!$I$2:$I$4674*'Tenant Data'!$E$2:$E$4674)/SUMPRODUCT(('Tenant Data'!$A$2:$A$4674=A37)*('Tenant Data'!$F$2:$F$4674&gt;0)*('Tenant Data'!$E$2:$E$4674&lt;10000)*'Tenant Data'!$E$2:$E$4674),""),"")</f>
        <v>96.743783989152092</v>
      </c>
      <c r="K37" s="41">
        <f>IF(B37="Y",IFERROR(SUMPRODUCT(('Tenant Data'!$A$2:$A$4674=A37)*('Tenant Data'!$F$2:$F$4674&gt;0)*('Tenant Data'!$E$2:$E$4674&lt;10000)*'Tenant Data'!$J$2:$J$4674*'Tenant Data'!$E$2:$E$4674)/SUMPRODUCT(('Tenant Data'!$A$2:$A$4674=A37)*('Tenant Data'!$F$2:$F$4674&gt;0)*('Tenant Data'!$E$2:$E$4674&lt;10000)*'Tenant Data'!$E$2:$E$4674),""),"")</f>
        <v>0.12206689634535717</v>
      </c>
      <c r="L37" s="9">
        <f>IF(B37="Y",COUNTIFS('Tenant Data'!$A$2:$A$4674,A37,'Tenant Data'!$E$2:$E$4674,"&lt;10000"),"")</f>
        <v>95</v>
      </c>
    </row>
    <row r="38" spans="1:12" x14ac:dyDescent="0.2">
      <c r="A38" s="9" t="s">
        <v>65</v>
      </c>
      <c r="B38" s="9" t="s">
        <v>115</v>
      </c>
      <c r="C38" s="9" t="s">
        <v>116</v>
      </c>
      <c r="D38" s="9" t="s">
        <v>134</v>
      </c>
      <c r="E38" s="38">
        <v>2668507</v>
      </c>
      <c r="F38" s="38">
        <v>900000</v>
      </c>
      <c r="G38" s="39">
        <v>125000</v>
      </c>
      <c r="H38" s="40">
        <f>IF(B38="Y",IFERROR(SUMIFS('Tenant Data'!$F$2:$F$4674,'Tenant Data'!$A$2:$A$4674,A38,'Tenant Data'!$F$2:$F$4674,"&gt;0",'Tenant Data'!$E$2:$E$4674,"&lt;10000")/SUMIFS('Tenant Data'!$E$2:$E$4674,'Tenant Data'!$A$2:$A$4674,A38,'Tenant Data'!$F$2:$F$4674,"&gt;0",'Tenant Data'!$E$2:$E$4674,"&lt;10000"),""),"")</f>
        <v>682.14370563304999</v>
      </c>
      <c r="I38" s="40">
        <f>IF(B38="Y",IFERROR(SUMIFS('Tenant Data'!$F$2:$F$4674,'Tenant Data'!$A$2:$A$4674,A38,'Tenant Data'!$D$2:$D$4674,"&lt;&gt;Apple",'Tenant Data'!$F$2:$F$4674,"&gt;0",'Tenant Data'!$E$2:$E$4674,"&lt;10000")/SUMIFS('Tenant Data'!$E$2:$E$4674,'Tenant Data'!$A$2:$A$4674,A38,'Tenant Data'!$D$2:$D$4674,"&lt;&gt;Apple",'Tenant Data'!$F$2:$F$4674,"&gt;0",'Tenant Data'!$E$2:$E$4674,"&lt;10000"),""),"")</f>
        <v>428.68079652204659</v>
      </c>
      <c r="J38" s="40">
        <f>IF(B38="Y",IFERROR(SUMPRODUCT(('Tenant Data'!$A$2:$A$4674=A38)*('Tenant Data'!$F$2:$F$4674&gt;0)*('Tenant Data'!$E$2:$E$4674&lt;10000)*'Tenant Data'!$I$2:$I$4674*'Tenant Data'!$E$2:$E$4674)/SUMPRODUCT(('Tenant Data'!$A$2:$A$4674=A38)*('Tenant Data'!$F$2:$F$4674&gt;0)*('Tenant Data'!$E$2:$E$4674&lt;10000)*'Tenant Data'!$E$2:$E$4674),""),"")</f>
        <v>52.801275359264089</v>
      </c>
      <c r="K38" s="41">
        <f>IF(B38="Y",IFERROR(SUMPRODUCT(('Tenant Data'!$A$2:$A$4674=A38)*('Tenant Data'!$F$2:$F$4674&gt;0)*('Tenant Data'!$E$2:$E$4674&lt;10000)*'Tenant Data'!$J$2:$J$4674*'Tenant Data'!$E$2:$E$4674)/SUMPRODUCT(('Tenant Data'!$A$2:$A$4674=A38)*('Tenant Data'!$F$2:$F$4674&gt;0)*('Tenant Data'!$E$2:$E$4674&lt;10000)*'Tenant Data'!$E$2:$E$4674),""),"")</f>
        <v>0.20655637867826951</v>
      </c>
      <c r="L38" s="9">
        <f>IF(B38="Y",COUNTIFS('Tenant Data'!$A$2:$A$4674,A38,'Tenant Data'!$E$2:$E$4674,"&lt;10000"),"")</f>
        <v>37</v>
      </c>
    </row>
    <row r="39" spans="1:12" x14ac:dyDescent="0.2">
      <c r="A39" s="9" t="s">
        <v>34</v>
      </c>
      <c r="B39" s="9" t="s">
        <v>115</v>
      </c>
      <c r="C39" s="9" t="s">
        <v>116</v>
      </c>
      <c r="D39" s="9" t="s">
        <v>131</v>
      </c>
      <c r="E39" s="38">
        <v>7531055</v>
      </c>
      <c r="F39" s="38">
        <v>736059</v>
      </c>
      <c r="G39" s="39">
        <v>88347.35</v>
      </c>
      <c r="H39" s="40">
        <f>IF(B39="Y",IFERROR(SUMIFS('Tenant Data'!$F$2:$F$4674,'Tenant Data'!$A$2:$A$4674,A39,'Tenant Data'!$F$2:$F$4674,"&gt;0",'Tenant Data'!$E$2:$E$4674,"&lt;10000")/SUMIFS('Tenant Data'!$E$2:$E$4674,'Tenant Data'!$A$2:$A$4674,A39,'Tenant Data'!$F$2:$F$4674,"&gt;0",'Tenant Data'!$E$2:$E$4674,"&lt;10000"),""),"")</f>
        <v>399.91307457192141</v>
      </c>
      <c r="I39" s="40">
        <f>IF(B39="Y",IFERROR(SUMIFS('Tenant Data'!$F$2:$F$4674,'Tenant Data'!$A$2:$A$4674,A39,'Tenant Data'!$D$2:$D$4674,"&lt;&gt;Apple",'Tenant Data'!$F$2:$F$4674,"&gt;0",'Tenant Data'!$E$2:$E$4674,"&lt;10000")/SUMIFS('Tenant Data'!$E$2:$E$4674,'Tenant Data'!$A$2:$A$4674,A39,'Tenant Data'!$D$2:$D$4674,"&lt;&gt;Apple",'Tenant Data'!$F$2:$F$4674,"&gt;0",'Tenant Data'!$E$2:$E$4674,"&lt;10000"),""),"")</f>
        <v>399.91307457192141</v>
      </c>
      <c r="J39" s="40">
        <f>IF(B39="Y",IFERROR(SUMPRODUCT(('Tenant Data'!$A$2:$A$4674=A39)*('Tenant Data'!$F$2:$F$4674&gt;0)*('Tenant Data'!$E$2:$E$4674&lt;10000)*'Tenant Data'!$I$2:$I$4674*'Tenant Data'!$E$2:$E$4674)/SUMPRODUCT(('Tenant Data'!$A$2:$A$4674=A39)*('Tenant Data'!$F$2:$F$4674&gt;0)*('Tenant Data'!$E$2:$E$4674&lt;10000)*'Tenant Data'!$E$2:$E$4674),""),"")</f>
        <v>42.884956355167802</v>
      </c>
      <c r="K39" s="41">
        <f>IF(B39="Y",IFERROR(SUMPRODUCT(('Tenant Data'!$A$2:$A$4674=A39)*('Tenant Data'!$F$2:$F$4674&gt;0)*('Tenant Data'!$E$2:$E$4674&lt;10000)*'Tenant Data'!$J$2:$J$4674*'Tenant Data'!$E$2:$E$4674)/SUMPRODUCT(('Tenant Data'!$A$2:$A$4674=A39)*('Tenant Data'!$F$2:$F$4674&gt;0)*('Tenant Data'!$E$2:$E$4674&lt;10000)*'Tenant Data'!$E$2:$E$4674),""),"")</f>
        <v>0.12530479356475871</v>
      </c>
      <c r="L39" s="9">
        <f>IF(B39="Y",COUNTIFS('Tenant Data'!$A$2:$A$4674,A39,'Tenant Data'!$E$2:$E$4674,"&lt;10000"),"")</f>
        <v>95</v>
      </c>
    </row>
    <row r="40" spans="1:12" x14ac:dyDescent="0.2">
      <c r="A40" s="9" t="s">
        <v>48</v>
      </c>
      <c r="B40" s="9" t="s">
        <v>115</v>
      </c>
      <c r="C40" s="9" t="s">
        <v>116</v>
      </c>
      <c r="D40" s="9" t="s">
        <v>127</v>
      </c>
      <c r="E40" s="38">
        <v>5040890</v>
      </c>
      <c r="F40" s="38">
        <v>99307</v>
      </c>
      <c r="G40" s="39">
        <v>93119.05</v>
      </c>
      <c r="H40" s="40">
        <f>IF(B40="Y",IFERROR(SUMIFS('Tenant Data'!$F$2:$F$4674,'Tenant Data'!$A$2:$A$4674,A40,'Tenant Data'!$F$2:$F$4674,"&gt;0",'Tenant Data'!$E$2:$E$4674,"&lt;10000")/SUMIFS('Tenant Data'!$E$2:$E$4674,'Tenant Data'!$A$2:$A$4674,A40,'Tenant Data'!$F$2:$F$4674,"&gt;0",'Tenant Data'!$E$2:$E$4674,"&lt;10000"),""),"")</f>
        <v>356.40139306883827</v>
      </c>
      <c r="I40" s="40">
        <f>IF(B40="Y",IFERROR(SUMIFS('Tenant Data'!$F$2:$F$4674,'Tenant Data'!$A$2:$A$4674,A40,'Tenant Data'!$D$2:$D$4674,"&lt;&gt;Apple",'Tenant Data'!$F$2:$F$4674,"&gt;0",'Tenant Data'!$E$2:$E$4674,"&lt;10000")/SUMIFS('Tenant Data'!$E$2:$E$4674,'Tenant Data'!$A$2:$A$4674,A40,'Tenant Data'!$D$2:$D$4674,"&lt;&gt;Apple",'Tenant Data'!$F$2:$F$4674,"&gt;0",'Tenant Data'!$E$2:$E$4674,"&lt;10000"),""),"")</f>
        <v>356.40139306883827</v>
      </c>
      <c r="J40" s="40">
        <f>IF(B40="Y",IFERROR(SUMPRODUCT(('Tenant Data'!$A$2:$A$4674=A40)*('Tenant Data'!$F$2:$F$4674&gt;0)*('Tenant Data'!$E$2:$E$4674&lt;10000)*'Tenant Data'!$I$2:$I$4674*'Tenant Data'!$E$2:$E$4674)/SUMPRODUCT(('Tenant Data'!$A$2:$A$4674=A40)*('Tenant Data'!$F$2:$F$4674&gt;0)*('Tenant Data'!$E$2:$E$4674&lt;10000)*'Tenant Data'!$E$2:$E$4674),""),"")</f>
        <v>35.740066877521429</v>
      </c>
      <c r="K40" s="41">
        <f>IF(B40="Y",IFERROR(SUMPRODUCT(('Tenant Data'!$A$2:$A$4674=A40)*('Tenant Data'!$F$2:$F$4674&gt;0)*('Tenant Data'!$E$2:$E$4674&lt;10000)*'Tenant Data'!$J$2:$J$4674*'Tenant Data'!$E$2:$E$4674)/SUMPRODUCT(('Tenant Data'!$A$2:$A$4674=A40)*('Tenant Data'!$F$2:$F$4674&gt;0)*('Tenant Data'!$E$2:$E$4674&lt;10000)*'Tenant Data'!$E$2:$E$4674),""),"")</f>
        <v>0.14360092198253771</v>
      </c>
      <c r="L40" s="9">
        <f>IF(B40="Y",COUNTIFS('Tenant Data'!$A$2:$A$4674,A40,'Tenant Data'!$E$2:$E$4674,"&lt;10000"),"")</f>
        <v>48</v>
      </c>
    </row>
    <row r="41" spans="1:12" x14ac:dyDescent="0.2">
      <c r="A41" s="9" t="s">
        <v>66</v>
      </c>
      <c r="B41" s="9" t="s">
        <v>115</v>
      </c>
      <c r="C41" s="9" t="s">
        <v>116</v>
      </c>
      <c r="D41" s="9" t="s">
        <v>131</v>
      </c>
      <c r="E41" s="38">
        <v>10358762</v>
      </c>
      <c r="F41" s="38">
        <v>433982</v>
      </c>
      <c r="G41" s="39">
        <v>123204.9</v>
      </c>
      <c r="H41" s="40">
        <f>IF(B41="Y",IFERROR(SUMIFS('Tenant Data'!$F$2:$F$4674,'Tenant Data'!$A$2:$A$4674,A41,'Tenant Data'!$F$2:$F$4674,"&gt;0",'Tenant Data'!$E$2:$E$4674,"&lt;10000")/SUMIFS('Tenant Data'!$E$2:$E$4674,'Tenant Data'!$A$2:$A$4674,A41,'Tenant Data'!$F$2:$F$4674,"&gt;0",'Tenant Data'!$E$2:$E$4674,"&lt;10000"),""),"")</f>
        <v>764.7370859011105</v>
      </c>
      <c r="I41" s="40">
        <f>IF(B41="Y",IFERROR(SUMIFS('Tenant Data'!$F$2:$F$4674,'Tenant Data'!$A$2:$A$4674,A41,'Tenant Data'!$D$2:$D$4674,"&lt;&gt;Apple",'Tenant Data'!$F$2:$F$4674,"&gt;0",'Tenant Data'!$E$2:$E$4674,"&lt;10000")/SUMIFS('Tenant Data'!$E$2:$E$4674,'Tenant Data'!$A$2:$A$4674,A41,'Tenant Data'!$D$2:$D$4674,"&lt;&gt;Apple",'Tenant Data'!$F$2:$F$4674,"&gt;0",'Tenant Data'!$E$2:$E$4674,"&lt;10000"),""),"")</f>
        <v>627.59742946386621</v>
      </c>
      <c r="J41" s="40">
        <f>IF(B41="Y",IFERROR(SUMPRODUCT(('Tenant Data'!$A$2:$A$4674=A41)*('Tenant Data'!$F$2:$F$4674&gt;0)*('Tenant Data'!$E$2:$E$4674&lt;10000)*'Tenant Data'!$I$2:$I$4674*'Tenant Data'!$E$2:$E$4674)/SUMPRODUCT(('Tenant Data'!$A$2:$A$4674=A41)*('Tenant Data'!$F$2:$F$4674&gt;0)*('Tenant Data'!$E$2:$E$4674&lt;10000)*'Tenant Data'!$E$2:$E$4674),""),"")</f>
        <v>106.85605573625476</v>
      </c>
      <c r="K41" s="41">
        <f>IF(B41="Y",IFERROR(SUMPRODUCT(('Tenant Data'!$A$2:$A$4674=A41)*('Tenant Data'!$F$2:$F$4674&gt;0)*('Tenant Data'!$E$2:$E$4674&lt;10000)*'Tenant Data'!$J$2:$J$4674*'Tenant Data'!$E$2:$E$4674)/SUMPRODUCT(('Tenant Data'!$A$2:$A$4674=A41)*('Tenant Data'!$F$2:$F$4674&gt;0)*('Tenant Data'!$E$2:$E$4674&lt;10000)*'Tenant Data'!$E$2:$E$4674),""),"")</f>
        <v>0.21804182684667348</v>
      </c>
      <c r="L41" s="9">
        <f>IF(B41="Y",COUNTIFS('Tenant Data'!$A$2:$A$4674,A41,'Tenant Data'!$E$2:$E$4674,"&lt;10000"),"")</f>
        <v>126</v>
      </c>
    </row>
    <row r="42" spans="1:12" x14ac:dyDescent="0.2">
      <c r="A42" s="9" t="s">
        <v>39</v>
      </c>
      <c r="B42" s="9" t="s">
        <v>115</v>
      </c>
      <c r="C42" s="9" t="s">
        <v>119</v>
      </c>
      <c r="D42" s="9" t="s">
        <v>135</v>
      </c>
      <c r="E42" s="38">
        <v>3661226</v>
      </c>
      <c r="F42" s="38">
        <v>505578</v>
      </c>
      <c r="G42" s="39">
        <v>103025.54</v>
      </c>
      <c r="H42" s="40">
        <f>IF(B42="Y",IFERROR(SUMIFS('Tenant Data'!$F$2:$F$4674,'Tenant Data'!$A$2:$A$4674,A42,'Tenant Data'!$F$2:$F$4674,"&gt;0",'Tenant Data'!$E$2:$E$4674,"&lt;10000")/SUMIFS('Tenant Data'!$E$2:$E$4674,'Tenant Data'!$A$2:$A$4674,A42,'Tenant Data'!$F$2:$F$4674,"&gt;0",'Tenant Data'!$E$2:$E$4674,"&lt;10000"),""),"")</f>
        <v>510.44744572399469</v>
      </c>
      <c r="I42" s="40">
        <f>IF(B42="Y",IFERROR(SUMIFS('Tenant Data'!$F$2:$F$4674,'Tenant Data'!$A$2:$A$4674,A42,'Tenant Data'!$D$2:$D$4674,"&lt;&gt;Apple",'Tenant Data'!$F$2:$F$4674,"&gt;0",'Tenant Data'!$E$2:$E$4674,"&lt;10000")/SUMIFS('Tenant Data'!$E$2:$E$4674,'Tenant Data'!$A$2:$A$4674,A42,'Tenant Data'!$D$2:$D$4674,"&lt;&gt;Apple",'Tenant Data'!$F$2:$F$4674,"&gt;0",'Tenant Data'!$E$2:$E$4674,"&lt;10000"),""),"")</f>
        <v>510.44744572399469</v>
      </c>
      <c r="J42" s="40">
        <f>IF(B42="Y",IFERROR(SUMPRODUCT(('Tenant Data'!$A$2:$A$4674=A42)*('Tenant Data'!$F$2:$F$4674&gt;0)*('Tenant Data'!$E$2:$E$4674&lt;10000)*'Tenant Data'!$I$2:$I$4674*'Tenant Data'!$E$2:$E$4674)/SUMPRODUCT(('Tenant Data'!$A$2:$A$4674=A42)*('Tenant Data'!$F$2:$F$4674&gt;0)*('Tenant Data'!$E$2:$E$4674&lt;10000)*'Tenant Data'!$E$2:$E$4674),""),"")</f>
        <v>48.414797961110061</v>
      </c>
      <c r="K42" s="41">
        <f>IF(B42="Y",IFERROR(SUMPRODUCT(('Tenant Data'!$A$2:$A$4674=A42)*('Tenant Data'!$F$2:$F$4674&gt;0)*('Tenant Data'!$E$2:$E$4674&lt;10000)*'Tenant Data'!$J$2:$J$4674*'Tenant Data'!$E$2:$E$4674)/SUMPRODUCT(('Tenant Data'!$A$2:$A$4674=A42)*('Tenant Data'!$F$2:$F$4674&gt;0)*('Tenant Data'!$E$2:$E$4674&lt;10000)*'Tenant Data'!$E$2:$E$4674),""),"")</f>
        <v>0.13142369023749026</v>
      </c>
      <c r="L42" s="9">
        <f>IF(B42="Y",COUNTIFS('Tenant Data'!$A$2:$A$4674,A42,'Tenant Data'!$E$2:$E$4674,"&lt;10000"),"")</f>
        <v>42</v>
      </c>
    </row>
    <row r="43" spans="1:12" x14ac:dyDescent="0.2">
      <c r="A43" s="9" t="s">
        <v>61</v>
      </c>
      <c r="B43" s="9" t="s">
        <v>115</v>
      </c>
      <c r="C43" s="9" t="s">
        <v>116</v>
      </c>
      <c r="D43" s="9" t="s">
        <v>117</v>
      </c>
      <c r="E43" s="38">
        <v>5089752</v>
      </c>
      <c r="F43" s="38">
        <v>1048565</v>
      </c>
      <c r="G43" s="39">
        <v>100706.98</v>
      </c>
      <c r="H43" s="40">
        <f>IF(B43="Y",IFERROR(SUMIFS('Tenant Data'!$F$2:$F$4674,'Tenant Data'!$A$2:$A$4674,A43,'Tenant Data'!$F$2:$F$4674,"&gt;0",'Tenant Data'!$E$2:$E$4674,"&lt;10000")/SUMIFS('Tenant Data'!$E$2:$E$4674,'Tenant Data'!$A$2:$A$4674,A43,'Tenant Data'!$F$2:$F$4674,"&gt;0",'Tenant Data'!$E$2:$E$4674,"&lt;10000"),""),"")</f>
        <v>776.31445626808284</v>
      </c>
      <c r="I43" s="40">
        <f>IF(B43="Y",IFERROR(SUMIFS('Tenant Data'!$F$2:$F$4674,'Tenant Data'!$A$2:$A$4674,A43,'Tenant Data'!$D$2:$D$4674,"&lt;&gt;Apple",'Tenant Data'!$F$2:$F$4674,"&gt;0",'Tenant Data'!$E$2:$E$4674,"&lt;10000")/SUMIFS('Tenant Data'!$E$2:$E$4674,'Tenant Data'!$A$2:$A$4674,A43,'Tenant Data'!$D$2:$D$4674,"&lt;&gt;Apple",'Tenant Data'!$F$2:$F$4674,"&gt;0",'Tenant Data'!$E$2:$E$4674,"&lt;10000"),""),"")</f>
        <v>541.72059863434436</v>
      </c>
      <c r="J43" s="40">
        <f>IF(B43="Y",IFERROR(SUMPRODUCT(('Tenant Data'!$A$2:$A$4674=A43)*('Tenant Data'!$F$2:$F$4674&gt;0)*('Tenant Data'!$E$2:$E$4674&lt;10000)*'Tenant Data'!$I$2:$I$4674*'Tenant Data'!$E$2:$E$4674)/SUMPRODUCT(('Tenant Data'!$A$2:$A$4674=A43)*('Tenant Data'!$F$2:$F$4674&gt;0)*('Tenant Data'!$E$2:$E$4674&lt;10000)*'Tenant Data'!$E$2:$E$4674),""),"")</f>
        <v>83.756697584824792</v>
      </c>
      <c r="K43" s="41">
        <f>IF(B43="Y",IFERROR(SUMPRODUCT(('Tenant Data'!$A$2:$A$4674=A43)*('Tenant Data'!$F$2:$F$4674&gt;0)*('Tenant Data'!$E$2:$E$4674&lt;10000)*'Tenant Data'!$J$2:$J$4674*'Tenant Data'!$E$2:$E$4674)/SUMPRODUCT(('Tenant Data'!$A$2:$A$4674=A43)*('Tenant Data'!$F$2:$F$4674&gt;0)*('Tenant Data'!$E$2:$E$4674&lt;10000)*'Tenant Data'!$E$2:$E$4674),""),"")</f>
        <v>0.18164420292150621</v>
      </c>
      <c r="L43" s="9">
        <f>IF(B43="Y",COUNTIFS('Tenant Data'!$A$2:$A$4674,A43,'Tenant Data'!$E$2:$E$4674,"&lt;10000"),"")</f>
        <v>75</v>
      </c>
    </row>
    <row r="44" spans="1:12" x14ac:dyDescent="0.2">
      <c r="A44" s="9" t="s">
        <v>67</v>
      </c>
      <c r="B44" s="9" t="s">
        <v>115</v>
      </c>
      <c r="C44" s="9" t="s">
        <v>116</v>
      </c>
      <c r="D44" s="9" t="s">
        <v>136</v>
      </c>
      <c r="E44" s="38">
        <v>15515177</v>
      </c>
      <c r="F44" s="38">
        <v>2534286</v>
      </c>
      <c r="G44" s="39">
        <v>173791.28</v>
      </c>
      <c r="H44" s="40">
        <f>IF(B44="Y",IFERROR(SUMIFS('Tenant Data'!$F$2:$F$4674,'Tenant Data'!$A$2:$A$4674,A44,'Tenant Data'!$F$2:$F$4674,"&gt;0",'Tenant Data'!$E$2:$E$4674,"&lt;10000")/SUMIFS('Tenant Data'!$E$2:$E$4674,'Tenant Data'!$A$2:$A$4674,A44,'Tenant Data'!$F$2:$F$4674,"&gt;0",'Tenant Data'!$E$2:$E$4674,"&lt;10000"),""),"")</f>
        <v>974.18292159617567</v>
      </c>
      <c r="I44" s="40">
        <f>IF(B44="Y",IFERROR(SUMIFS('Tenant Data'!$F$2:$F$4674,'Tenant Data'!$A$2:$A$4674,A44,'Tenant Data'!$D$2:$D$4674,"&lt;&gt;Apple",'Tenant Data'!$F$2:$F$4674,"&gt;0",'Tenant Data'!$E$2:$E$4674,"&lt;10000")/SUMIFS('Tenant Data'!$E$2:$E$4674,'Tenant Data'!$A$2:$A$4674,A44,'Tenant Data'!$D$2:$D$4674,"&lt;&gt;Apple",'Tenant Data'!$F$2:$F$4674,"&gt;0",'Tenant Data'!$E$2:$E$4674,"&lt;10000"),""),"")</f>
        <v>974.18292159617567</v>
      </c>
      <c r="J44" s="40">
        <f>IF(B44="Y",IFERROR(SUMPRODUCT(('Tenant Data'!$A$2:$A$4674=A44)*('Tenant Data'!$F$2:$F$4674&gt;0)*('Tenant Data'!$E$2:$E$4674&lt;10000)*'Tenant Data'!$I$2:$I$4674*'Tenant Data'!$E$2:$E$4674)/SUMPRODUCT(('Tenant Data'!$A$2:$A$4674=A44)*('Tenant Data'!$F$2:$F$4674&gt;0)*('Tenant Data'!$E$2:$E$4674&lt;10000)*'Tenant Data'!$E$2:$E$4674),""),"")</f>
        <v>181.08107432212668</v>
      </c>
      <c r="K44" s="41">
        <f>IF(B44="Y",IFERROR(SUMPRODUCT(('Tenant Data'!$A$2:$A$4674=A44)*('Tenant Data'!$F$2:$F$4674&gt;0)*('Tenant Data'!$E$2:$E$4674&lt;10000)*'Tenant Data'!$J$2:$J$4674*'Tenant Data'!$E$2:$E$4674)/SUMPRODUCT(('Tenant Data'!$A$2:$A$4674=A44)*('Tenant Data'!$F$2:$F$4674&gt;0)*('Tenant Data'!$E$2:$E$4674&lt;10000)*'Tenant Data'!$E$2:$E$4674),""),"")</f>
        <v>0.25539820004440861</v>
      </c>
      <c r="L44" s="9">
        <f>IF(B44="Y",COUNTIFS('Tenant Data'!$A$2:$A$4674,A44,'Tenant Data'!$E$2:$E$4674,"&lt;10000"),"")</f>
        <v>180</v>
      </c>
    </row>
    <row r="45" spans="1:12" x14ac:dyDescent="0.2">
      <c r="A45" s="9" t="s">
        <v>57</v>
      </c>
      <c r="B45" s="9" t="s">
        <v>115</v>
      </c>
      <c r="C45" s="9" t="s">
        <v>116</v>
      </c>
      <c r="D45" s="9" t="s">
        <v>127</v>
      </c>
      <c r="E45" s="38">
        <v>8449098</v>
      </c>
      <c r="F45" s="38">
        <v>721082</v>
      </c>
      <c r="G45" s="39">
        <v>86005.81</v>
      </c>
      <c r="H45" s="40">
        <f>IF(B45="Y",IFERROR(SUMIFS('Tenant Data'!$F$2:$F$4674,'Tenant Data'!$A$2:$A$4674,A45,'Tenant Data'!$F$2:$F$4674,"&gt;0",'Tenant Data'!$E$2:$E$4674,"&lt;10000")/SUMIFS('Tenant Data'!$E$2:$E$4674,'Tenant Data'!$A$2:$A$4674,A45,'Tenant Data'!$F$2:$F$4674,"&gt;0",'Tenant Data'!$E$2:$E$4674,"&lt;10000"),""),"")</f>
        <v>628.04986871502228</v>
      </c>
      <c r="I45" s="40">
        <f>IF(B45="Y",IFERROR(SUMIFS('Tenant Data'!$F$2:$F$4674,'Tenant Data'!$A$2:$A$4674,A45,'Tenant Data'!$D$2:$D$4674,"&lt;&gt;Apple",'Tenant Data'!$F$2:$F$4674,"&gt;0",'Tenant Data'!$E$2:$E$4674,"&lt;10000")/SUMIFS('Tenant Data'!$E$2:$E$4674,'Tenant Data'!$A$2:$A$4674,A45,'Tenant Data'!$D$2:$D$4674,"&lt;&gt;Apple",'Tenant Data'!$F$2:$F$4674,"&gt;0",'Tenant Data'!$E$2:$E$4674,"&lt;10000"),""),"")</f>
        <v>504.44049139739013</v>
      </c>
      <c r="J45" s="40">
        <f>IF(B45="Y",IFERROR(SUMPRODUCT(('Tenant Data'!$A$2:$A$4674=A45)*('Tenant Data'!$F$2:$F$4674&gt;0)*('Tenant Data'!$E$2:$E$4674&lt;10000)*'Tenant Data'!$I$2:$I$4674*'Tenant Data'!$E$2:$E$4674)/SUMPRODUCT(('Tenant Data'!$A$2:$A$4674=A45)*('Tenant Data'!$F$2:$F$4674&gt;0)*('Tenant Data'!$E$2:$E$4674&lt;10000)*'Tenant Data'!$E$2:$E$4674),""),"")</f>
        <v>69.17820724654743</v>
      </c>
      <c r="K45" s="41">
        <f>IF(B45="Y",IFERROR(SUMPRODUCT(('Tenant Data'!$A$2:$A$4674=A45)*('Tenant Data'!$F$2:$F$4674&gt;0)*('Tenant Data'!$E$2:$E$4674&lt;10000)*'Tenant Data'!$J$2:$J$4674*'Tenant Data'!$E$2:$E$4674)/SUMPRODUCT(('Tenant Data'!$A$2:$A$4674=A45)*('Tenant Data'!$F$2:$F$4674&gt;0)*('Tenant Data'!$E$2:$E$4674&lt;10000)*'Tenant Data'!$E$2:$E$4674),""),"")</f>
        <v>0.16148041353668552</v>
      </c>
      <c r="L45" s="9">
        <f>IF(B45="Y",COUNTIFS('Tenant Data'!$A$2:$A$4674,A45,'Tenant Data'!$E$2:$E$4674,"&lt;10000"),"")</f>
        <v>118</v>
      </c>
    </row>
    <row r="46" spans="1:12" x14ac:dyDescent="0.2">
      <c r="A46" s="9" t="s">
        <v>38</v>
      </c>
      <c r="B46" s="9" t="s">
        <v>115</v>
      </c>
      <c r="C46" s="9" t="s">
        <v>116</v>
      </c>
      <c r="D46" s="9" t="s">
        <v>127</v>
      </c>
      <c r="E46" s="38">
        <v>7072500</v>
      </c>
      <c r="F46" s="38">
        <v>879148</v>
      </c>
      <c r="G46" s="39">
        <v>120521</v>
      </c>
      <c r="H46" s="40">
        <f>IF(B46="Y",IFERROR(SUMIFS('Tenant Data'!$F$2:$F$4674,'Tenant Data'!$A$2:$A$4674,A46,'Tenant Data'!$F$2:$F$4674,"&gt;0",'Tenant Data'!$E$2:$E$4674,"&lt;10000")/SUMIFS('Tenant Data'!$E$2:$E$4674,'Tenant Data'!$A$2:$A$4674,A46,'Tenant Data'!$F$2:$F$4674,"&gt;0",'Tenant Data'!$E$2:$E$4674,"&lt;10000"),""),"")</f>
        <v>890.35405068435261</v>
      </c>
      <c r="I46" s="40">
        <f>IF(B46="Y",IFERROR(SUMIFS('Tenant Data'!$F$2:$F$4674,'Tenant Data'!$A$2:$A$4674,A46,'Tenant Data'!$D$2:$D$4674,"&lt;&gt;Apple",'Tenant Data'!$F$2:$F$4674,"&gt;0",'Tenant Data'!$E$2:$E$4674,"&lt;10000")/SUMIFS('Tenant Data'!$E$2:$E$4674,'Tenant Data'!$A$2:$A$4674,A46,'Tenant Data'!$D$2:$D$4674,"&lt;&gt;Apple",'Tenant Data'!$F$2:$F$4674,"&gt;0",'Tenant Data'!$E$2:$E$4674,"&lt;10000"),""),"")</f>
        <v>683.6809511639284</v>
      </c>
      <c r="J46" s="40">
        <f>IF(B46="Y",IFERROR(SUMPRODUCT(('Tenant Data'!$A$2:$A$4674=A46)*('Tenant Data'!$F$2:$F$4674&gt;0)*('Tenant Data'!$E$2:$E$4674&lt;10000)*'Tenant Data'!$I$2:$I$4674*'Tenant Data'!$E$2:$E$4674)/SUMPRODUCT(('Tenant Data'!$A$2:$A$4674=A46)*('Tenant Data'!$F$2:$F$4674&gt;0)*('Tenant Data'!$E$2:$E$4674&lt;10000)*'Tenant Data'!$E$2:$E$4674),""),"")</f>
        <v>75.476406166404104</v>
      </c>
      <c r="K46" s="41">
        <f>IF(B46="Y",IFERROR(SUMPRODUCT(('Tenant Data'!$A$2:$A$4674=A46)*('Tenant Data'!$F$2:$F$4674&gt;0)*('Tenant Data'!$E$2:$E$4674&lt;10000)*'Tenant Data'!$J$2:$J$4674*'Tenant Data'!$E$2:$E$4674)/SUMPRODUCT(('Tenant Data'!$A$2:$A$4674=A46)*('Tenant Data'!$F$2:$F$4674&gt;0)*('Tenant Data'!$E$2:$E$4674&lt;10000)*'Tenant Data'!$E$2:$E$4674),""),"")</f>
        <v>0.13019321411712825</v>
      </c>
      <c r="L46" s="9">
        <f>IF(B46="Y",COUNTIFS('Tenant Data'!$A$2:$A$4674,A46,'Tenant Data'!$E$2:$E$4674,"&lt;10000"),"")</f>
        <v>95</v>
      </c>
    </row>
    <row r="47" spans="1:12" x14ac:dyDescent="0.2">
      <c r="A47" s="9" t="s">
        <v>31</v>
      </c>
      <c r="B47" s="9" t="s">
        <v>115</v>
      </c>
      <c r="C47" s="9" t="s">
        <v>116</v>
      </c>
      <c r="D47" s="9" t="s">
        <v>137</v>
      </c>
      <c r="E47" s="38">
        <v>7476751</v>
      </c>
      <c r="F47" s="38">
        <v>387588</v>
      </c>
      <c r="G47" s="39">
        <v>113018.03</v>
      </c>
      <c r="H47" s="40">
        <f>IF(B47="Y",IFERROR(SUMIFS('Tenant Data'!$F$2:$F$4674,'Tenant Data'!$A$2:$A$4674,A47,'Tenant Data'!$F$2:$F$4674,"&gt;0",'Tenant Data'!$E$2:$E$4674,"&lt;10000")/SUMIFS('Tenant Data'!$E$2:$E$4674,'Tenant Data'!$A$2:$A$4674,A47,'Tenant Data'!$F$2:$F$4674,"&gt;0",'Tenant Data'!$E$2:$E$4674,"&lt;10000"),""),"")</f>
        <v>404.91999094447908</v>
      </c>
      <c r="I47" s="40">
        <f>IF(B47="Y",IFERROR(SUMIFS('Tenant Data'!$F$2:$F$4674,'Tenant Data'!$A$2:$A$4674,A47,'Tenant Data'!$D$2:$D$4674,"&lt;&gt;Apple",'Tenant Data'!$F$2:$F$4674,"&gt;0",'Tenant Data'!$E$2:$E$4674,"&lt;10000")/SUMIFS('Tenant Data'!$E$2:$E$4674,'Tenant Data'!$A$2:$A$4674,A47,'Tenant Data'!$D$2:$D$4674,"&lt;&gt;Apple",'Tenant Data'!$F$2:$F$4674,"&gt;0",'Tenant Data'!$E$2:$E$4674,"&lt;10000"),""),"")</f>
        <v>404.91999094447908</v>
      </c>
      <c r="J47" s="40">
        <f>IF(B47="Y",IFERROR(SUMPRODUCT(('Tenant Data'!$A$2:$A$4674=A47)*('Tenant Data'!$F$2:$F$4674&gt;0)*('Tenant Data'!$E$2:$E$4674&lt;10000)*'Tenant Data'!$I$2:$I$4674*'Tenant Data'!$E$2:$E$4674)/SUMPRODUCT(('Tenant Data'!$A$2:$A$4674=A47)*('Tenant Data'!$F$2:$F$4674&gt;0)*('Tenant Data'!$E$2:$E$4674&lt;10000)*'Tenant Data'!$E$2:$E$4674),""),"")</f>
        <v>43.556942126400948</v>
      </c>
      <c r="K47" s="41">
        <f>IF(B47="Y",IFERROR(SUMPRODUCT(('Tenant Data'!$A$2:$A$4674=A47)*('Tenant Data'!$F$2:$F$4674&gt;0)*('Tenant Data'!$E$2:$E$4674&lt;10000)*'Tenant Data'!$J$2:$J$4674*'Tenant Data'!$E$2:$E$4674)/SUMPRODUCT(('Tenant Data'!$A$2:$A$4674=A47)*('Tenant Data'!$F$2:$F$4674&gt;0)*('Tenant Data'!$E$2:$E$4674&lt;10000)*'Tenant Data'!$E$2:$E$4674),""),"")</f>
        <v>0.12263295364262812</v>
      </c>
      <c r="L47" s="9">
        <f>IF(B47="Y",COUNTIFS('Tenant Data'!$A$2:$A$4674,A47,'Tenant Data'!$E$2:$E$4674,"&lt;10000"),"")</f>
        <v>76</v>
      </c>
    </row>
    <row r="48" spans="1:12" x14ac:dyDescent="0.2">
      <c r="A48" s="9" t="s">
        <v>64</v>
      </c>
      <c r="B48" s="9" t="s">
        <v>115</v>
      </c>
      <c r="C48" s="9" t="s">
        <v>116</v>
      </c>
      <c r="D48" s="9" t="s">
        <v>130</v>
      </c>
      <c r="E48" s="38">
        <v>7186476</v>
      </c>
      <c r="F48" s="38">
        <v>1057969</v>
      </c>
      <c r="G48" s="39">
        <v>106619.23</v>
      </c>
      <c r="H48" s="40">
        <f>IF(B48="Y",IFERROR(SUMIFS('Tenant Data'!$F$2:$F$4674,'Tenant Data'!$A$2:$A$4674,A48,'Tenant Data'!$F$2:$F$4674,"&gt;0",'Tenant Data'!$E$2:$E$4674,"&lt;10000")/SUMIFS('Tenant Data'!$E$2:$E$4674,'Tenant Data'!$A$2:$A$4674,A48,'Tenant Data'!$F$2:$F$4674,"&gt;0",'Tenant Data'!$E$2:$E$4674,"&lt;10000"),""),"")</f>
        <v>715.85163866417759</v>
      </c>
      <c r="I48" s="40">
        <f>IF(B48="Y",IFERROR(SUMIFS('Tenant Data'!$F$2:$F$4674,'Tenant Data'!$A$2:$A$4674,A48,'Tenant Data'!$D$2:$D$4674,"&lt;&gt;Apple",'Tenant Data'!$F$2:$F$4674,"&gt;0",'Tenant Data'!$E$2:$E$4674,"&lt;10000")/SUMIFS('Tenant Data'!$E$2:$E$4674,'Tenant Data'!$A$2:$A$4674,A48,'Tenant Data'!$D$2:$D$4674,"&lt;&gt;Apple",'Tenant Data'!$F$2:$F$4674,"&gt;0",'Tenant Data'!$E$2:$E$4674,"&lt;10000"),""),"")</f>
        <v>715.85163866417759</v>
      </c>
      <c r="J48" s="40">
        <f>IF(B48="Y",IFERROR(SUMPRODUCT(('Tenant Data'!$A$2:$A$4674=A48)*('Tenant Data'!$F$2:$F$4674&gt;0)*('Tenant Data'!$E$2:$E$4674&lt;10000)*'Tenant Data'!$I$2:$I$4674*'Tenant Data'!$E$2:$E$4674)/SUMPRODUCT(('Tenant Data'!$A$2:$A$4674=A48)*('Tenant Data'!$F$2:$F$4674&gt;0)*('Tenant Data'!$E$2:$E$4674&lt;10000)*'Tenant Data'!$E$2:$E$4674),""),"")</f>
        <v>110.97095196000134</v>
      </c>
      <c r="K48" s="41">
        <f>IF(B48="Y",IFERROR(SUMPRODUCT(('Tenant Data'!$A$2:$A$4674=A48)*('Tenant Data'!$F$2:$F$4674&gt;0)*('Tenant Data'!$E$2:$E$4674&lt;10000)*'Tenant Data'!$J$2:$J$4674*'Tenant Data'!$E$2:$E$4674)/SUMPRODUCT(('Tenant Data'!$A$2:$A$4674=A48)*('Tenant Data'!$F$2:$F$4674&gt;0)*('Tenant Data'!$E$2:$E$4674&lt;10000)*'Tenant Data'!$E$2:$E$4674),""),"")</f>
        <v>0.20650364225793158</v>
      </c>
      <c r="L48" s="9">
        <f>IF(B48="Y",COUNTIFS('Tenant Data'!$A$2:$A$4674,A48,'Tenant Data'!$E$2:$E$4674,"&lt;10000"),"")</f>
        <v>126</v>
      </c>
    </row>
    <row r="49" spans="1:12" x14ac:dyDescent="0.2">
      <c r="A49" s="9" t="s">
        <v>29</v>
      </c>
      <c r="B49" s="9" t="s">
        <v>115</v>
      </c>
      <c r="C49" s="9" t="s">
        <v>116</v>
      </c>
      <c r="D49" s="9" t="s">
        <v>130</v>
      </c>
      <c r="E49" s="38">
        <v>5160995</v>
      </c>
      <c r="F49" s="38">
        <v>850000</v>
      </c>
      <c r="G49" s="39">
        <v>105000</v>
      </c>
      <c r="H49" s="40">
        <f>IF(B49="Y",IFERROR(SUMIFS('Tenant Data'!$F$2:$F$4674,'Tenant Data'!$A$2:$A$4674,A49,'Tenant Data'!$F$2:$F$4674,"&gt;0",'Tenant Data'!$E$2:$E$4674,"&lt;10000")/SUMIFS('Tenant Data'!$E$2:$E$4674,'Tenant Data'!$A$2:$A$4674,A49,'Tenant Data'!$F$2:$F$4674,"&gt;0",'Tenant Data'!$E$2:$E$4674,"&lt;10000"),""),"")</f>
        <v>827.71396583480805</v>
      </c>
      <c r="I49" s="40">
        <f>IF(B49="Y",IFERROR(SUMIFS('Tenant Data'!$F$2:$F$4674,'Tenant Data'!$A$2:$A$4674,A49,'Tenant Data'!$D$2:$D$4674,"&lt;&gt;Apple",'Tenant Data'!$F$2:$F$4674,"&gt;0",'Tenant Data'!$E$2:$E$4674,"&lt;10000")/SUMIFS('Tenant Data'!$E$2:$E$4674,'Tenant Data'!$A$2:$A$4674,A49,'Tenant Data'!$D$2:$D$4674,"&lt;&gt;Apple",'Tenant Data'!$F$2:$F$4674,"&gt;0",'Tenant Data'!$E$2:$E$4674,"&lt;10000"),""),"")</f>
        <v>557.27660768367491</v>
      </c>
      <c r="J49" s="40">
        <f>IF(B49="Y",IFERROR(SUMPRODUCT(('Tenant Data'!$A$2:$A$4674=A49)*('Tenant Data'!$F$2:$F$4674&gt;0)*('Tenant Data'!$E$2:$E$4674&lt;10000)*'Tenant Data'!$I$2:$I$4674*'Tenant Data'!$E$2:$E$4674)/SUMPRODUCT(('Tenant Data'!$A$2:$A$4674=A49)*('Tenant Data'!$F$2:$F$4674&gt;0)*('Tenant Data'!$E$2:$E$4674&lt;10000)*'Tenant Data'!$E$2:$E$4674),""),"")</f>
        <v>65.432631586550627</v>
      </c>
      <c r="K49" s="41">
        <f>IF(B49="Y",IFERROR(SUMPRODUCT(('Tenant Data'!$A$2:$A$4674=A49)*('Tenant Data'!$F$2:$F$4674&gt;0)*('Tenant Data'!$E$2:$E$4674&lt;10000)*'Tenant Data'!$J$2:$J$4674*'Tenant Data'!$E$2:$E$4674)/SUMPRODUCT(('Tenant Data'!$A$2:$A$4674=A49)*('Tenant Data'!$F$2:$F$4674&gt;0)*('Tenant Data'!$E$2:$E$4674&lt;10000)*'Tenant Data'!$E$2:$E$4674),""),"")</f>
        <v>0.12179286503665715</v>
      </c>
      <c r="L49" s="9">
        <f>IF(B49="Y",COUNTIFS('Tenant Data'!$A$2:$A$4674,A49,'Tenant Data'!$E$2:$E$4674,"&lt;10000"),"")</f>
        <v>37</v>
      </c>
    </row>
  </sheetData>
  <dataValidations count="1">
    <dataValidation type="list" sqref="B2:B49" xr:uid="{00000000-0002-0000-0100-000000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7A4A"/>
  </sheetPr>
  <dimension ref="A1:G107"/>
  <sheetViews>
    <sheetView workbookViewId="0">
      <pane ySplit="7" topLeftCell="A8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30" customWidth="1"/>
    <col min="2" max="2" width="22.6640625" bestFit="1" customWidth="1"/>
    <col min="3" max="3" width="9" bestFit="1" customWidth="1"/>
    <col min="4" max="4" width="14" customWidth="1"/>
    <col min="5" max="7" width="12" customWidth="1"/>
  </cols>
  <sheetData>
    <row r="1" spans="1:7" ht="19" x14ac:dyDescent="0.25">
      <c r="A1" s="84" t="s">
        <v>138</v>
      </c>
      <c r="B1" s="83"/>
      <c r="C1" s="83"/>
      <c r="D1" s="83"/>
      <c r="E1" s="83"/>
      <c r="F1" s="83"/>
      <c r="G1" s="83"/>
    </row>
    <row r="3" spans="1:7" ht="16" x14ac:dyDescent="0.2">
      <c r="A3" s="3" t="s">
        <v>139</v>
      </c>
      <c r="B3" s="42" t="s">
        <v>283</v>
      </c>
    </row>
    <row r="4" spans="1:7" x14ac:dyDescent="0.2">
      <c r="A4" s="3" t="s">
        <v>141</v>
      </c>
      <c r="B4" s="43">
        <f>COUNTIF(E8:E55,"&gt;0")</f>
        <v>28</v>
      </c>
    </row>
    <row r="6" spans="1:7" ht="16" x14ac:dyDescent="0.2">
      <c r="A6" s="44" t="s">
        <v>142</v>
      </c>
    </row>
    <row r="7" spans="1:7" ht="16" x14ac:dyDescent="0.2">
      <c r="A7" s="33" t="s">
        <v>14</v>
      </c>
      <c r="B7" s="33" t="s">
        <v>106</v>
      </c>
      <c r="C7" s="33" t="s">
        <v>143</v>
      </c>
      <c r="D7" s="33" t="s">
        <v>144</v>
      </c>
      <c r="E7" s="33" t="s">
        <v>145</v>
      </c>
      <c r="F7" s="33" t="s">
        <v>146</v>
      </c>
      <c r="G7" s="33" t="s">
        <v>147</v>
      </c>
    </row>
    <row r="8" spans="1:7" x14ac:dyDescent="0.2">
      <c r="A8" s="14" t="s">
        <v>55</v>
      </c>
      <c r="B8" s="18" t="str">
        <f>'Property Summary'!B2</f>
        <v>Y</v>
      </c>
      <c r="C8" s="17">
        <f>IFERROR(SUMIFS('Tenant Data'!$E$2:$E$4674,'Tenant Data'!$A$2:$A$4674,A8,'Tenant Data'!$B$2:$B$4674,$B$3),"")</f>
        <v>1325</v>
      </c>
      <c r="D8" s="15">
        <f>IFERROR(SUMIFS('Tenant Data'!$F$2:$F$4674,'Tenant Data'!$A$2:$A$4674,A8,'Tenant Data'!$B$2:$B$4674,$B$3),"")</f>
        <v>685034</v>
      </c>
      <c r="E8" s="45">
        <f t="shared" ref="E8:E55" si="0">IFERROR(IF(C8&gt;0,D8/C8,""),"")</f>
        <v>517.00679245283015</v>
      </c>
      <c r="F8" s="45">
        <f>IFERROR(SUMIFS('Tenant Data'!$I$2:$I$4674,'Tenant Data'!$A$2:$A$4674,A8,'Tenant Data'!$B$2:$B$4674,$B$3),"")</f>
        <v>78.154200000000003</v>
      </c>
      <c r="G8" s="16">
        <f>IFERROR(SUMIFS('Tenant Data'!$J$2:$J$4674,'Tenant Data'!$A$2:$A$4674,A8,'Tenant Data'!$B$2:$B$4674,$B$3),"")</f>
        <v>0.15116667931810679</v>
      </c>
    </row>
    <row r="9" spans="1:7" x14ac:dyDescent="0.2">
      <c r="A9" s="9" t="s">
        <v>60</v>
      </c>
      <c r="B9" s="13" t="str">
        <f>'Property Summary'!B3</f>
        <v>Y</v>
      </c>
      <c r="C9" s="12">
        <f>IFERROR(SUMIFS('Tenant Data'!$E$2:$E$4674,'Tenant Data'!$A$2:$A$4674,A9,'Tenant Data'!$B$2:$B$4674,$B$3),"")</f>
        <v>1160</v>
      </c>
      <c r="D9" s="10">
        <f>IFERROR(SUMIFS('Tenant Data'!$F$2:$F$4674,'Tenant Data'!$A$2:$A$4674,A9,'Tenant Data'!$B$2:$B$4674,$B$3),"")</f>
        <v>368697.45</v>
      </c>
      <c r="E9" s="46">
        <f t="shared" si="0"/>
        <v>317.84262931034482</v>
      </c>
      <c r="F9" s="46">
        <f>IFERROR(SUMIFS('Tenant Data'!$I$2:$I$4674,'Tenant Data'!$A$2:$A$4674,A9,'Tenant Data'!$B$2:$B$4674,$B$3),"")</f>
        <v>92.4</v>
      </c>
      <c r="G9" s="11">
        <f>IFERROR(SUMIFS('Tenant Data'!$J$2:$J$4674,'Tenant Data'!$A$2:$A$4674,A9,'Tenant Data'!$B$2:$B$4674,$B$3),"")</f>
        <v>0.29070990320112061</v>
      </c>
    </row>
    <row r="10" spans="1:7" x14ac:dyDescent="0.2">
      <c r="A10" s="9" t="s">
        <v>41</v>
      </c>
      <c r="B10" s="13" t="str">
        <f>'Property Summary'!B4</f>
        <v>Y</v>
      </c>
      <c r="C10" s="12">
        <f>IFERROR(SUMIFS('Tenant Data'!$E$2:$E$4674,'Tenant Data'!$A$2:$A$4674,A10,'Tenant Data'!$B$2:$B$4674,$B$3),"")</f>
        <v>0</v>
      </c>
      <c r="D10" s="10">
        <f>IFERROR(SUMIFS('Tenant Data'!$F$2:$F$4674,'Tenant Data'!$A$2:$A$4674,A10,'Tenant Data'!$B$2:$B$4674,$B$3),"")</f>
        <v>0</v>
      </c>
      <c r="E10" s="46" t="str">
        <f t="shared" si="0"/>
        <v/>
      </c>
      <c r="F10" s="46">
        <f>IFERROR(SUMIFS('Tenant Data'!$I$2:$I$4674,'Tenant Data'!$A$2:$A$4674,A10,'Tenant Data'!$B$2:$B$4674,$B$3),"")</f>
        <v>0</v>
      </c>
      <c r="G10" s="11">
        <f>IFERROR(SUMIFS('Tenant Data'!$J$2:$J$4674,'Tenant Data'!$A$2:$A$4674,A10,'Tenant Data'!$B$2:$B$4674,$B$3),"")</f>
        <v>0</v>
      </c>
    </row>
    <row r="11" spans="1:7" x14ac:dyDescent="0.2">
      <c r="A11" s="9" t="s">
        <v>54</v>
      </c>
      <c r="B11" s="13" t="str">
        <f>'Property Summary'!B5</f>
        <v>Y</v>
      </c>
      <c r="C11" s="12">
        <f>IFERROR(SUMIFS('Tenant Data'!$E$2:$E$4674,'Tenant Data'!$A$2:$A$4674,A11,'Tenant Data'!$B$2:$B$4674,$B$3),"")</f>
        <v>0</v>
      </c>
      <c r="D11" s="10">
        <f>IFERROR(SUMIFS('Tenant Data'!$F$2:$F$4674,'Tenant Data'!$A$2:$A$4674,A11,'Tenant Data'!$B$2:$B$4674,$B$3),"")</f>
        <v>0</v>
      </c>
      <c r="E11" s="46" t="str">
        <f t="shared" si="0"/>
        <v/>
      </c>
      <c r="F11" s="46">
        <f>IFERROR(SUMIFS('Tenant Data'!$I$2:$I$4674,'Tenant Data'!$A$2:$A$4674,A11,'Tenant Data'!$B$2:$B$4674,$B$3),"")</f>
        <v>0</v>
      </c>
      <c r="G11" s="11">
        <f>IFERROR(SUMIFS('Tenant Data'!$J$2:$J$4674,'Tenant Data'!$A$2:$A$4674,A11,'Tenant Data'!$B$2:$B$4674,$B$3),"")</f>
        <v>0</v>
      </c>
    </row>
    <row r="12" spans="1:7" x14ac:dyDescent="0.2">
      <c r="A12" s="9" t="s">
        <v>21</v>
      </c>
      <c r="B12" s="13" t="str">
        <f>'Property Summary'!B6</f>
        <v>Y</v>
      </c>
      <c r="C12" s="12">
        <f>IFERROR(SUMIFS('Tenant Data'!$E$2:$E$4674,'Tenant Data'!$A$2:$A$4674,A12,'Tenant Data'!$B$2:$B$4674,$B$3),"")</f>
        <v>0</v>
      </c>
      <c r="D12" s="10">
        <f>IFERROR(SUMIFS('Tenant Data'!$F$2:$F$4674,'Tenant Data'!$A$2:$A$4674,A12,'Tenant Data'!$B$2:$B$4674,$B$3),"")</f>
        <v>0</v>
      </c>
      <c r="E12" s="46" t="str">
        <f t="shared" si="0"/>
        <v/>
      </c>
      <c r="F12" s="46">
        <f>IFERROR(SUMIFS('Tenant Data'!$I$2:$I$4674,'Tenant Data'!$A$2:$A$4674,A12,'Tenant Data'!$B$2:$B$4674,$B$3),"")</f>
        <v>0</v>
      </c>
      <c r="G12" s="11">
        <f>IFERROR(SUMIFS('Tenant Data'!$J$2:$J$4674,'Tenant Data'!$A$2:$A$4674,A12,'Tenant Data'!$B$2:$B$4674,$B$3),"")</f>
        <v>0</v>
      </c>
    </row>
    <row r="13" spans="1:7" x14ac:dyDescent="0.2">
      <c r="A13" s="9" t="s">
        <v>32</v>
      </c>
      <c r="B13" s="13" t="str">
        <f>'Property Summary'!B7</f>
        <v>Y</v>
      </c>
      <c r="C13" s="12">
        <f>IFERROR(SUMIFS('Tenant Data'!$E$2:$E$4674,'Tenant Data'!$A$2:$A$4674,A13,'Tenant Data'!$B$2:$B$4674,$B$3),"")</f>
        <v>0</v>
      </c>
      <c r="D13" s="10">
        <f>IFERROR(SUMIFS('Tenant Data'!$F$2:$F$4674,'Tenant Data'!$A$2:$A$4674,A13,'Tenant Data'!$B$2:$B$4674,$B$3),"")</f>
        <v>0</v>
      </c>
      <c r="E13" s="46" t="str">
        <f t="shared" si="0"/>
        <v/>
      </c>
      <c r="F13" s="46">
        <f>IFERROR(SUMIFS('Tenant Data'!$I$2:$I$4674,'Tenant Data'!$A$2:$A$4674,A13,'Tenant Data'!$B$2:$B$4674,$B$3),"")</f>
        <v>0</v>
      </c>
      <c r="G13" s="11">
        <f>IFERROR(SUMIFS('Tenant Data'!$J$2:$J$4674,'Tenant Data'!$A$2:$A$4674,A13,'Tenant Data'!$B$2:$B$4674,$B$3),"")</f>
        <v>0</v>
      </c>
    </row>
    <row r="14" spans="1:7" x14ac:dyDescent="0.2">
      <c r="A14" s="9" t="s">
        <v>68</v>
      </c>
      <c r="B14" s="13" t="str">
        <f>'Property Summary'!B8</f>
        <v>Y</v>
      </c>
      <c r="C14" s="12">
        <f>IFERROR(SUMIFS('Tenant Data'!$E$2:$E$4674,'Tenant Data'!$A$2:$A$4674,A14,'Tenant Data'!$B$2:$B$4674,$B$3),"")</f>
        <v>841</v>
      </c>
      <c r="D14" s="10">
        <f>IFERROR(SUMIFS('Tenant Data'!$F$2:$F$4674,'Tenant Data'!$A$2:$A$4674,A14,'Tenant Data'!$B$2:$B$4674,$B$3),"")</f>
        <v>17900</v>
      </c>
      <c r="E14" s="46">
        <f t="shared" si="0"/>
        <v>21.284185493460168</v>
      </c>
      <c r="F14" s="46">
        <f>IFERROR(SUMIFS('Tenant Data'!$I$2:$I$4674,'Tenant Data'!$A$2:$A$4674,A14,'Tenant Data'!$B$2:$B$4674,$B$3),"")</f>
        <v>0</v>
      </c>
      <c r="G14" s="11">
        <f>IFERROR(SUMIFS('Tenant Data'!$J$2:$J$4674,'Tenant Data'!$A$2:$A$4674,A14,'Tenant Data'!$B$2:$B$4674,$B$3),"")</f>
        <v>0</v>
      </c>
    </row>
    <row r="15" spans="1:7" x14ac:dyDescent="0.2">
      <c r="A15" s="9" t="s">
        <v>23</v>
      </c>
      <c r="B15" s="13" t="str">
        <f>'Property Summary'!B9</f>
        <v>Y</v>
      </c>
      <c r="C15" s="12">
        <f>IFERROR(SUMIFS('Tenant Data'!$E$2:$E$4674,'Tenant Data'!$A$2:$A$4674,A15,'Tenant Data'!$B$2:$B$4674,$B$3),"")</f>
        <v>0</v>
      </c>
      <c r="D15" s="10">
        <f>IFERROR(SUMIFS('Tenant Data'!$F$2:$F$4674,'Tenant Data'!$A$2:$A$4674,A15,'Tenant Data'!$B$2:$B$4674,$B$3),"")</f>
        <v>0</v>
      </c>
      <c r="E15" s="46" t="str">
        <f t="shared" si="0"/>
        <v/>
      </c>
      <c r="F15" s="46">
        <f>IFERROR(SUMIFS('Tenant Data'!$I$2:$I$4674,'Tenant Data'!$A$2:$A$4674,A15,'Tenant Data'!$B$2:$B$4674,$B$3),"")</f>
        <v>0</v>
      </c>
      <c r="G15" s="11">
        <f>IFERROR(SUMIFS('Tenant Data'!$J$2:$J$4674,'Tenant Data'!$A$2:$A$4674,A15,'Tenant Data'!$B$2:$B$4674,$B$3),"")</f>
        <v>0</v>
      </c>
    </row>
    <row r="16" spans="1:7" x14ac:dyDescent="0.2">
      <c r="A16" s="9" t="s">
        <v>53</v>
      </c>
      <c r="B16" s="13" t="str">
        <f>'Property Summary'!B10</f>
        <v>Y</v>
      </c>
      <c r="C16" s="12">
        <f>IFERROR(SUMIFS('Tenant Data'!$E$2:$E$4674,'Tenant Data'!$A$2:$A$4674,A16,'Tenant Data'!$B$2:$B$4674,$B$3),"")</f>
        <v>806</v>
      </c>
      <c r="D16" s="10">
        <f>IFERROR(SUMIFS('Tenant Data'!$F$2:$F$4674,'Tenant Data'!$A$2:$A$4674,A16,'Tenant Data'!$B$2:$B$4674,$B$3),"")</f>
        <v>669303</v>
      </c>
      <c r="E16" s="46">
        <f t="shared" si="0"/>
        <v>830.40074441687341</v>
      </c>
      <c r="F16" s="46">
        <f>IFERROR(SUMIFS('Tenant Data'!$I$2:$I$4674,'Tenant Data'!$A$2:$A$4674,A16,'Tenant Data'!$B$2:$B$4674,$B$3),"")</f>
        <v>116.1914143920596</v>
      </c>
      <c r="G16" s="11">
        <f>IFERROR(SUMIFS('Tenant Data'!$J$2:$J$4674,'Tenant Data'!$A$2:$A$4674,A16,'Tenant Data'!$B$2:$B$4674,$B$3),"")</f>
        <v>0.13992209806320899</v>
      </c>
    </row>
    <row r="17" spans="1:7" x14ac:dyDescent="0.2">
      <c r="A17" s="9" t="s">
        <v>45</v>
      </c>
      <c r="B17" s="13" t="str">
        <f>'Property Summary'!B11</f>
        <v>Y</v>
      </c>
      <c r="C17" s="12">
        <f>IFERROR(SUMIFS('Tenant Data'!$E$2:$E$4674,'Tenant Data'!$A$2:$A$4674,A17,'Tenant Data'!$B$2:$B$4674,$B$3),"")</f>
        <v>800</v>
      </c>
      <c r="D17" s="10">
        <f>IFERROR(SUMIFS('Tenant Data'!$F$2:$F$4674,'Tenant Data'!$A$2:$A$4674,A17,'Tenant Data'!$B$2:$B$4674,$B$3),"")</f>
        <v>478642.84</v>
      </c>
      <c r="E17" s="46">
        <f t="shared" si="0"/>
        <v>598.30355000000009</v>
      </c>
      <c r="F17" s="46">
        <f>IFERROR(SUMIFS('Tenant Data'!$I$2:$I$4674,'Tenant Data'!$A$2:$A$4674,A17,'Tenant Data'!$B$2:$B$4674,$B$3),"")</f>
        <v>112.72499999999999</v>
      </c>
      <c r="G17" s="11">
        <f>IFERROR(SUMIFS('Tenant Data'!$J$2:$J$4674,'Tenant Data'!$A$2:$A$4674,A17,'Tenant Data'!$B$2:$B$4674,$B$3),"")</f>
        <v>0.18840770709115801</v>
      </c>
    </row>
    <row r="18" spans="1:7" x14ac:dyDescent="0.2">
      <c r="A18" s="9" t="s">
        <v>42</v>
      </c>
      <c r="B18" s="13" t="str">
        <f>'Property Summary'!B12</f>
        <v>Y</v>
      </c>
      <c r="C18" s="12">
        <f>IFERROR(SUMIFS('Tenant Data'!$E$2:$E$4674,'Tenant Data'!$A$2:$A$4674,A18,'Tenant Data'!$B$2:$B$4674,$B$3),"")</f>
        <v>1970</v>
      </c>
      <c r="D18" s="10">
        <f>IFERROR(SUMIFS('Tenant Data'!$F$2:$F$4674,'Tenant Data'!$A$2:$A$4674,A18,'Tenant Data'!$B$2:$B$4674,$B$3),"")</f>
        <v>492166.72</v>
      </c>
      <c r="E18" s="46">
        <f t="shared" si="0"/>
        <v>249.83082233502537</v>
      </c>
      <c r="F18" s="46">
        <f>IFERROR(SUMIFS('Tenant Data'!$I$2:$I$4674,'Tenant Data'!$A$2:$A$4674,A18,'Tenant Data'!$B$2:$B$4674,$B$3),"")</f>
        <v>28.446703147208119</v>
      </c>
      <c r="G18" s="11">
        <f>IFERROR(SUMIFS('Tenant Data'!$J$2:$J$4674,'Tenant Data'!$A$2:$A$4674,A18,'Tenant Data'!$B$2:$B$4674,$B$3),"")</f>
        <v>0.1138638654803803</v>
      </c>
    </row>
    <row r="19" spans="1:7" x14ac:dyDescent="0.2">
      <c r="A19" s="9" t="s">
        <v>49</v>
      </c>
      <c r="B19" s="13" t="str">
        <f>'Property Summary'!B13</f>
        <v>Y</v>
      </c>
      <c r="C19" s="12">
        <f>IFERROR(SUMIFS('Tenant Data'!$E$2:$E$4674,'Tenant Data'!$A$2:$A$4674,A19,'Tenant Data'!$B$2:$B$4674,$B$3),"")</f>
        <v>631</v>
      </c>
      <c r="D19" s="10">
        <f>IFERROR(SUMIFS('Tenant Data'!$F$2:$F$4674,'Tenant Data'!$A$2:$A$4674,A19,'Tenant Data'!$B$2:$B$4674,$B$3),"")</f>
        <v>493135.42</v>
      </c>
      <c r="E19" s="46">
        <f t="shared" si="0"/>
        <v>781.51413629160061</v>
      </c>
      <c r="F19" s="46">
        <f>IFERROR(SUMIFS('Tenant Data'!$I$2:$I$4674,'Tenant Data'!$A$2:$A$4674,A19,'Tenant Data'!$B$2:$B$4674,$B$3),"")</f>
        <v>124.858347385103</v>
      </c>
      <c r="G19" s="11">
        <f>IFERROR(SUMIFS('Tenant Data'!$J$2:$J$4674,'Tenant Data'!$A$2:$A$4674,A19,'Tenant Data'!$B$2:$B$4674,$B$3),"")</f>
        <v>0.1597646691044825</v>
      </c>
    </row>
    <row r="20" spans="1:7" x14ac:dyDescent="0.2">
      <c r="A20" s="9" t="s">
        <v>50</v>
      </c>
      <c r="B20" s="13" t="str">
        <f>'Property Summary'!B14</f>
        <v>Y</v>
      </c>
      <c r="C20" s="12">
        <f>IFERROR(SUMIFS('Tenant Data'!$E$2:$E$4674,'Tenant Data'!$A$2:$A$4674,A20,'Tenant Data'!$B$2:$B$4674,$B$3),"")</f>
        <v>974</v>
      </c>
      <c r="D20" s="10">
        <f>IFERROR(SUMIFS('Tenant Data'!$F$2:$F$4674,'Tenant Data'!$A$2:$A$4674,A20,'Tenant Data'!$B$2:$B$4674,$B$3),"")</f>
        <v>631368</v>
      </c>
      <c r="E20" s="46">
        <f t="shared" si="0"/>
        <v>648.22176591375774</v>
      </c>
      <c r="F20" s="46">
        <f>IFERROR(SUMIFS('Tenant Data'!$I$2:$I$4674,'Tenant Data'!$A$2:$A$4674,A20,'Tenant Data'!$B$2:$B$4674,$B$3),"")</f>
        <v>106.8418891170431</v>
      </c>
      <c r="G20" s="11">
        <f>IFERROR(SUMIFS('Tenant Data'!$J$2:$J$4674,'Tenant Data'!$A$2:$A$4674,A20,'Tenant Data'!$B$2:$B$4674,$B$3),"")</f>
        <v>0.16482305089900029</v>
      </c>
    </row>
    <row r="21" spans="1:7" x14ac:dyDescent="0.2">
      <c r="A21" s="9" t="s">
        <v>59</v>
      </c>
      <c r="B21" s="13" t="str">
        <f>'Property Summary'!B15</f>
        <v>Y</v>
      </c>
      <c r="C21" s="12">
        <f>IFERROR(SUMIFS('Tenant Data'!$E$2:$E$4674,'Tenant Data'!$A$2:$A$4674,A21,'Tenant Data'!$B$2:$B$4674,$B$3),"")</f>
        <v>1216</v>
      </c>
      <c r="D21" s="10">
        <f>IFERROR(SUMIFS('Tenant Data'!$F$2:$F$4674,'Tenant Data'!$A$2:$A$4674,A21,'Tenant Data'!$B$2:$B$4674,$B$3),"")</f>
        <v>544170.48</v>
      </c>
      <c r="E21" s="46">
        <f t="shared" si="0"/>
        <v>447.50861842105263</v>
      </c>
      <c r="F21" s="46">
        <f>IFERROR(SUMIFS('Tenant Data'!$I$2:$I$4674,'Tenant Data'!$A$2:$A$4674,A21,'Tenant Data'!$B$2:$B$4674,$B$3),"")</f>
        <v>57.56578914473684</v>
      </c>
      <c r="G21" s="11">
        <f>IFERROR(SUMIFS('Tenant Data'!$J$2:$J$4674,'Tenant Data'!$A$2:$A$4674,A21,'Tenant Data'!$B$2:$B$4674,$B$3),"")</f>
        <v>0.12863615755121449</v>
      </c>
    </row>
    <row r="22" spans="1:7" x14ac:dyDescent="0.2">
      <c r="A22" s="9" t="s">
        <v>35</v>
      </c>
      <c r="B22" s="13" t="str">
        <f>'Property Summary'!B16</f>
        <v>Y</v>
      </c>
      <c r="C22" s="12">
        <f>IFERROR(SUMIFS('Tenant Data'!$E$2:$E$4674,'Tenant Data'!$A$2:$A$4674,A22,'Tenant Data'!$B$2:$B$4674,$B$3),"")</f>
        <v>861</v>
      </c>
      <c r="D22" s="10">
        <f>IFERROR(SUMIFS('Tenant Data'!$F$2:$F$4674,'Tenant Data'!$A$2:$A$4674,A22,'Tenant Data'!$B$2:$B$4674,$B$3),"")</f>
        <v>399366.03</v>
      </c>
      <c r="E22" s="46">
        <f t="shared" si="0"/>
        <v>463.83975609756101</v>
      </c>
      <c r="F22" s="46">
        <f>IFERROR(SUMIFS('Tenant Data'!$I$2:$I$4674,'Tenant Data'!$A$2:$A$4674,A22,'Tenant Data'!$B$2:$B$4674,$B$3),"")</f>
        <v>100.90592334494769</v>
      </c>
      <c r="G22" s="11">
        <f>IFERROR(SUMIFS('Tenant Data'!$J$2:$J$4674,'Tenant Data'!$A$2:$A$4674,A22,'Tenant Data'!$B$2:$B$4674,$B$3),"")</f>
        <v>0.21754479217974551</v>
      </c>
    </row>
    <row r="23" spans="1:7" x14ac:dyDescent="0.2">
      <c r="A23" s="9" t="s">
        <v>52</v>
      </c>
      <c r="B23" s="13" t="str">
        <f>'Property Summary'!B17</f>
        <v>Y</v>
      </c>
      <c r="C23" s="12">
        <f>IFERROR(SUMIFS('Tenant Data'!$E$2:$E$4674,'Tenant Data'!$A$2:$A$4674,A23,'Tenant Data'!$B$2:$B$4674,$B$3),"")</f>
        <v>691</v>
      </c>
      <c r="D23" s="10">
        <f>IFERROR(SUMIFS('Tenant Data'!$F$2:$F$4674,'Tenant Data'!$A$2:$A$4674,A23,'Tenant Data'!$B$2:$B$4674,$B$3),"")</f>
        <v>256714.23999999999</v>
      </c>
      <c r="E23" s="46">
        <f t="shared" si="0"/>
        <v>371.51120115774239</v>
      </c>
      <c r="F23" s="46">
        <f>IFERROR(SUMIFS('Tenant Data'!$I$2:$I$4674,'Tenant Data'!$A$2:$A$4674,A23,'Tenant Data'!$B$2:$B$4674,$B$3),"")</f>
        <v>141.0173661360347</v>
      </c>
      <c r="G23" s="11">
        <f>IFERROR(SUMIFS('Tenant Data'!$J$2:$J$4674,'Tenant Data'!$A$2:$A$4674,A23,'Tenant Data'!$B$2:$B$4674,$B$3),"")</f>
        <v>0.37957769697543853</v>
      </c>
    </row>
    <row r="24" spans="1:7" x14ac:dyDescent="0.2">
      <c r="A24" s="9" t="s">
        <v>44</v>
      </c>
      <c r="B24" s="13" t="str">
        <f>'Property Summary'!B18</f>
        <v>Y</v>
      </c>
      <c r="C24" s="12">
        <f>IFERROR(SUMIFS('Tenant Data'!$E$2:$E$4674,'Tenant Data'!$A$2:$A$4674,A24,'Tenant Data'!$B$2:$B$4674,$B$3),"")</f>
        <v>603</v>
      </c>
      <c r="D24" s="10">
        <f>IFERROR(SUMIFS('Tenant Data'!$F$2:$F$4674,'Tenant Data'!$A$2:$A$4674,A24,'Tenant Data'!$B$2:$B$4674,$B$3),"")</f>
        <v>551345.24</v>
      </c>
      <c r="E24" s="46">
        <f t="shared" si="0"/>
        <v>914.33704809286894</v>
      </c>
      <c r="F24" s="46">
        <f>IFERROR(SUMIFS('Tenant Data'!$I$2:$I$4674,'Tenant Data'!$A$2:$A$4674,A24,'Tenant Data'!$B$2:$B$4674,$B$3),"")</f>
        <v>126.8505631840796</v>
      </c>
      <c r="G24" s="11">
        <f>IFERROR(SUMIFS('Tenant Data'!$J$2:$J$4674,'Tenant Data'!$A$2:$A$4674,A24,'Tenant Data'!$B$2:$B$4674,$B$3),"")</f>
        <v>0.13873501401771421</v>
      </c>
    </row>
    <row r="25" spans="1:7" x14ac:dyDescent="0.2">
      <c r="A25" s="9" t="s">
        <v>58</v>
      </c>
      <c r="B25" s="13" t="str">
        <f>'Property Summary'!B19</f>
        <v>Y</v>
      </c>
      <c r="C25" s="12">
        <f>IFERROR(SUMIFS('Tenant Data'!$E$2:$E$4674,'Tenant Data'!$A$2:$A$4674,A25,'Tenant Data'!$B$2:$B$4674,$B$3),"")</f>
        <v>628</v>
      </c>
      <c r="D25" s="10">
        <f>IFERROR(SUMIFS('Tenant Data'!$F$2:$F$4674,'Tenant Data'!$A$2:$A$4674,A25,'Tenant Data'!$B$2:$B$4674,$B$3),"")</f>
        <v>587146</v>
      </c>
      <c r="E25" s="46">
        <f t="shared" si="0"/>
        <v>934.94585987261144</v>
      </c>
      <c r="F25" s="46">
        <f>IFERROR(SUMIFS('Tenant Data'!$I$2:$I$4674,'Tenant Data'!$A$2:$A$4674,A25,'Tenant Data'!$B$2:$B$4674,$B$3),"")</f>
        <v>148.79450603184711</v>
      </c>
      <c r="G25" s="11">
        <f>IFERROR(SUMIFS('Tenant Data'!$J$2:$J$4674,'Tenant Data'!$A$2:$A$4674,A25,'Tenant Data'!$B$2:$B$4674,$B$3),"")</f>
        <v>0.15914772439563579</v>
      </c>
    </row>
    <row r="26" spans="1:7" x14ac:dyDescent="0.2">
      <c r="A26" s="9" t="s">
        <v>28</v>
      </c>
      <c r="B26" s="13" t="str">
        <f>'Property Summary'!B20</f>
        <v>Y</v>
      </c>
      <c r="C26" s="12">
        <f>IFERROR(SUMIFS('Tenant Data'!$E$2:$E$4674,'Tenant Data'!$A$2:$A$4674,A26,'Tenant Data'!$B$2:$B$4674,$B$3),"")</f>
        <v>919</v>
      </c>
      <c r="D26" s="10">
        <f>IFERROR(SUMIFS('Tenant Data'!$F$2:$F$4674,'Tenant Data'!$A$2:$A$4674,A26,'Tenant Data'!$B$2:$B$4674,$B$3),"")</f>
        <v>724367.2</v>
      </c>
      <c r="E26" s="46">
        <f t="shared" si="0"/>
        <v>788.21240478781283</v>
      </c>
      <c r="F26" s="46">
        <f>IFERROR(SUMIFS('Tenant Data'!$I$2:$I$4674,'Tenant Data'!$A$2:$A$4674,A26,'Tenant Data'!$B$2:$B$4674,$B$3),"")</f>
        <v>86.837775843307938</v>
      </c>
      <c r="G26" s="11">
        <f>IFERROR(SUMIFS('Tenant Data'!$J$2:$J$4674,'Tenant Data'!$A$2:$A$4674,A26,'Tenant Data'!$B$2:$B$4674,$B$3),"")</f>
        <v>0.1101705267715048</v>
      </c>
    </row>
    <row r="27" spans="1:7" x14ac:dyDescent="0.2">
      <c r="A27" s="9" t="s">
        <v>40</v>
      </c>
      <c r="B27" s="13" t="str">
        <f>'Property Summary'!B21</f>
        <v>Y</v>
      </c>
      <c r="C27" s="12">
        <f>IFERROR(SUMIFS('Tenant Data'!$E$2:$E$4674,'Tenant Data'!$A$2:$A$4674,A27,'Tenant Data'!$B$2:$B$4674,$B$3),"")</f>
        <v>0</v>
      </c>
      <c r="D27" s="10">
        <f>IFERROR(SUMIFS('Tenant Data'!$F$2:$F$4674,'Tenant Data'!$A$2:$A$4674,A27,'Tenant Data'!$B$2:$B$4674,$B$3),"")</f>
        <v>0</v>
      </c>
      <c r="E27" s="46" t="str">
        <f t="shared" si="0"/>
        <v/>
      </c>
      <c r="F27" s="46">
        <f>IFERROR(SUMIFS('Tenant Data'!$I$2:$I$4674,'Tenant Data'!$A$2:$A$4674,A27,'Tenant Data'!$B$2:$B$4674,$B$3),"")</f>
        <v>0</v>
      </c>
      <c r="G27" s="11">
        <f>IFERROR(SUMIFS('Tenant Data'!$J$2:$J$4674,'Tenant Data'!$A$2:$A$4674,A27,'Tenant Data'!$B$2:$B$4674,$B$3),"")</f>
        <v>0</v>
      </c>
    </row>
    <row r="28" spans="1:7" x14ac:dyDescent="0.2">
      <c r="A28" s="9" t="s">
        <v>51</v>
      </c>
      <c r="B28" s="13" t="str">
        <f>'Property Summary'!B22</f>
        <v>Y</v>
      </c>
      <c r="C28" s="12">
        <f>IFERROR(SUMIFS('Tenant Data'!$E$2:$E$4674,'Tenant Data'!$A$2:$A$4674,A28,'Tenant Data'!$B$2:$B$4674,$B$3),"")</f>
        <v>0</v>
      </c>
      <c r="D28" s="10">
        <f>IFERROR(SUMIFS('Tenant Data'!$F$2:$F$4674,'Tenant Data'!$A$2:$A$4674,A28,'Tenant Data'!$B$2:$B$4674,$B$3),"")</f>
        <v>0</v>
      </c>
      <c r="E28" s="46" t="str">
        <f t="shared" si="0"/>
        <v/>
      </c>
      <c r="F28" s="46">
        <f>IFERROR(SUMIFS('Tenant Data'!$I$2:$I$4674,'Tenant Data'!$A$2:$A$4674,A28,'Tenant Data'!$B$2:$B$4674,$B$3),"")</f>
        <v>0</v>
      </c>
      <c r="G28" s="11">
        <f>IFERROR(SUMIFS('Tenant Data'!$J$2:$J$4674,'Tenant Data'!$A$2:$A$4674,A28,'Tenant Data'!$B$2:$B$4674,$B$3),"")</f>
        <v>0</v>
      </c>
    </row>
    <row r="29" spans="1:7" x14ac:dyDescent="0.2">
      <c r="A29" s="9" t="s">
        <v>22</v>
      </c>
      <c r="B29" s="13" t="str">
        <f>'Property Summary'!B23</f>
        <v>Y</v>
      </c>
      <c r="C29" s="12">
        <f>IFERROR(SUMIFS('Tenant Data'!$E$2:$E$4674,'Tenant Data'!$A$2:$A$4674,A29,'Tenant Data'!$B$2:$B$4674,$B$3),"")</f>
        <v>0</v>
      </c>
      <c r="D29" s="10">
        <f>IFERROR(SUMIFS('Tenant Data'!$F$2:$F$4674,'Tenant Data'!$A$2:$A$4674,A29,'Tenant Data'!$B$2:$B$4674,$B$3),"")</f>
        <v>0</v>
      </c>
      <c r="E29" s="46" t="str">
        <f t="shared" si="0"/>
        <v/>
      </c>
      <c r="F29" s="46">
        <f>IFERROR(SUMIFS('Tenant Data'!$I$2:$I$4674,'Tenant Data'!$A$2:$A$4674,A29,'Tenant Data'!$B$2:$B$4674,$B$3),"")</f>
        <v>0</v>
      </c>
      <c r="G29" s="11">
        <f>IFERROR(SUMIFS('Tenant Data'!$J$2:$J$4674,'Tenant Data'!$A$2:$A$4674,A29,'Tenant Data'!$B$2:$B$4674,$B$3),"")</f>
        <v>0</v>
      </c>
    </row>
    <row r="30" spans="1:7" x14ac:dyDescent="0.2">
      <c r="A30" s="9" t="s">
        <v>37</v>
      </c>
      <c r="B30" s="13" t="str">
        <f>'Property Summary'!B24</f>
        <v>Y</v>
      </c>
      <c r="C30" s="12">
        <f>IFERROR(SUMIFS('Tenant Data'!$E$2:$E$4674,'Tenant Data'!$A$2:$A$4674,A30,'Tenant Data'!$B$2:$B$4674,$B$3),"")</f>
        <v>0</v>
      </c>
      <c r="D30" s="10">
        <f>IFERROR(SUMIFS('Tenant Data'!$F$2:$F$4674,'Tenant Data'!$A$2:$A$4674,A30,'Tenant Data'!$B$2:$B$4674,$B$3),"")</f>
        <v>0</v>
      </c>
      <c r="E30" s="46" t="str">
        <f t="shared" si="0"/>
        <v/>
      </c>
      <c r="F30" s="46">
        <f>IFERROR(SUMIFS('Tenant Data'!$I$2:$I$4674,'Tenant Data'!$A$2:$A$4674,A30,'Tenant Data'!$B$2:$B$4674,$B$3),"")</f>
        <v>0</v>
      </c>
      <c r="G30" s="11">
        <f>IFERROR(SUMIFS('Tenant Data'!$J$2:$J$4674,'Tenant Data'!$A$2:$A$4674,A30,'Tenant Data'!$B$2:$B$4674,$B$3),"")</f>
        <v>0</v>
      </c>
    </row>
    <row r="31" spans="1:7" x14ac:dyDescent="0.2">
      <c r="A31" s="9" t="s">
        <v>26</v>
      </c>
      <c r="B31" s="13" t="str">
        <f>'Property Summary'!B25</f>
        <v>Y</v>
      </c>
      <c r="C31" s="12">
        <f>IFERROR(SUMIFS('Tenant Data'!$E$2:$E$4674,'Tenant Data'!$A$2:$A$4674,A31,'Tenant Data'!$B$2:$B$4674,$B$3),"")</f>
        <v>1381</v>
      </c>
      <c r="D31" s="10">
        <f>IFERROR(SUMIFS('Tenant Data'!$F$2:$F$4674,'Tenant Data'!$A$2:$A$4674,A31,'Tenant Data'!$B$2:$B$4674,$B$3),"")</f>
        <v>471032.6</v>
      </c>
      <c r="E31" s="46">
        <f t="shared" si="0"/>
        <v>341.08081100651702</v>
      </c>
      <c r="F31" s="46">
        <f>IFERROR(SUMIFS('Tenant Data'!$I$2:$I$4674,'Tenant Data'!$A$2:$A$4674,A31,'Tenant Data'!$B$2:$B$4674,$B$3),"")</f>
        <v>68.0471585083273</v>
      </c>
      <c r="G31" s="11">
        <f>IFERROR(SUMIFS('Tenant Data'!$J$2:$J$4674,'Tenant Data'!$A$2:$A$4674,A31,'Tenant Data'!$B$2:$B$4674,$B$3),"")</f>
        <v>0.19950450542064391</v>
      </c>
    </row>
    <row r="32" spans="1:7" x14ac:dyDescent="0.2">
      <c r="A32" s="9" t="s">
        <v>63</v>
      </c>
      <c r="B32" s="13" t="str">
        <f>'Property Summary'!B26</f>
        <v>Y</v>
      </c>
      <c r="C32" s="12">
        <f>IFERROR(SUMIFS('Tenant Data'!$E$2:$E$4674,'Tenant Data'!$A$2:$A$4674,A32,'Tenant Data'!$B$2:$B$4674,$B$3),"")</f>
        <v>0</v>
      </c>
      <c r="D32" s="10">
        <f>IFERROR(SUMIFS('Tenant Data'!$F$2:$F$4674,'Tenant Data'!$A$2:$A$4674,A32,'Tenant Data'!$B$2:$B$4674,$B$3),"")</f>
        <v>0</v>
      </c>
      <c r="E32" s="46" t="str">
        <f t="shared" si="0"/>
        <v/>
      </c>
      <c r="F32" s="46">
        <f>IFERROR(SUMIFS('Tenant Data'!$I$2:$I$4674,'Tenant Data'!$A$2:$A$4674,A32,'Tenant Data'!$B$2:$B$4674,$B$3),"")</f>
        <v>0</v>
      </c>
      <c r="G32" s="11">
        <f>IFERROR(SUMIFS('Tenant Data'!$J$2:$J$4674,'Tenant Data'!$A$2:$A$4674,A32,'Tenant Data'!$B$2:$B$4674,$B$3),"")</f>
        <v>0</v>
      </c>
    </row>
    <row r="33" spans="1:7" x14ac:dyDescent="0.2">
      <c r="A33" s="9" t="s">
        <v>25</v>
      </c>
      <c r="B33" s="13" t="str">
        <f>'Property Summary'!B27</f>
        <v>Y</v>
      </c>
      <c r="C33" s="12">
        <f>IFERROR(SUMIFS('Tenant Data'!$E$2:$E$4674,'Tenant Data'!$A$2:$A$4674,A33,'Tenant Data'!$B$2:$B$4674,$B$3),"")</f>
        <v>1497</v>
      </c>
      <c r="D33" s="10">
        <f>IFERROR(SUMIFS('Tenant Data'!$F$2:$F$4674,'Tenant Data'!$A$2:$A$4674,A33,'Tenant Data'!$B$2:$B$4674,$B$3),"")</f>
        <v>627769.67000000004</v>
      </c>
      <c r="E33" s="46">
        <f t="shared" si="0"/>
        <v>419.35181696726789</v>
      </c>
      <c r="F33" s="46">
        <f>IFERROR(SUMIFS('Tenant Data'!$I$2:$I$4674,'Tenant Data'!$A$2:$A$4674,A33,'Tenant Data'!$B$2:$B$4674,$B$3),"")</f>
        <v>72.120561122244496</v>
      </c>
      <c r="G33" s="11">
        <f>IFERROR(SUMIFS('Tenant Data'!$J$2:$J$4674,'Tenant Data'!$A$2:$A$4674,A33,'Tenant Data'!$B$2:$B$4674,$B$3),"")</f>
        <v>0.17198103884184149</v>
      </c>
    </row>
    <row r="34" spans="1:7" x14ac:dyDescent="0.2">
      <c r="A34" s="9" t="s">
        <v>43</v>
      </c>
      <c r="B34" s="13" t="str">
        <f>'Property Summary'!B28</f>
        <v>Y</v>
      </c>
      <c r="C34" s="12">
        <f>IFERROR(SUMIFS('Tenant Data'!$E$2:$E$4674,'Tenant Data'!$A$2:$A$4674,A34,'Tenant Data'!$B$2:$B$4674,$B$3),"")</f>
        <v>2294</v>
      </c>
      <c r="D34" s="10">
        <f>IFERROR(SUMIFS('Tenant Data'!$F$2:$F$4674,'Tenant Data'!$A$2:$A$4674,A34,'Tenant Data'!$B$2:$B$4674,$B$3),"")</f>
        <v>0</v>
      </c>
      <c r="E34" s="46">
        <f t="shared" si="0"/>
        <v>0</v>
      </c>
      <c r="F34" s="46">
        <f>IFERROR(SUMIFS('Tenant Data'!$I$2:$I$4674,'Tenant Data'!$A$2:$A$4674,A34,'Tenant Data'!$B$2:$B$4674,$B$3),"")</f>
        <v>32.693984306887543</v>
      </c>
      <c r="G34" s="11">
        <f>IFERROR(SUMIFS('Tenant Data'!$J$2:$J$4674,'Tenant Data'!$A$2:$A$4674,A34,'Tenant Data'!$B$2:$B$4674,$B$3),"")</f>
        <v>0</v>
      </c>
    </row>
    <row r="35" spans="1:7" x14ac:dyDescent="0.2">
      <c r="A35" s="9" t="s">
        <v>24</v>
      </c>
      <c r="B35" s="13" t="str">
        <f>'Property Summary'!B29</f>
        <v>Y</v>
      </c>
      <c r="C35" s="12">
        <f>IFERROR(SUMIFS('Tenant Data'!$E$2:$E$4674,'Tenant Data'!$A$2:$A$4674,A35,'Tenant Data'!$B$2:$B$4674,$B$3),"")</f>
        <v>0</v>
      </c>
      <c r="D35" s="10">
        <f>IFERROR(SUMIFS('Tenant Data'!$F$2:$F$4674,'Tenant Data'!$A$2:$A$4674,A35,'Tenant Data'!$B$2:$B$4674,$B$3),"")</f>
        <v>0</v>
      </c>
      <c r="E35" s="46" t="str">
        <f t="shared" si="0"/>
        <v/>
      </c>
      <c r="F35" s="46">
        <f>IFERROR(SUMIFS('Tenant Data'!$I$2:$I$4674,'Tenant Data'!$A$2:$A$4674,A35,'Tenant Data'!$B$2:$B$4674,$B$3),"")</f>
        <v>0</v>
      </c>
      <c r="G35" s="11">
        <f>IFERROR(SUMIFS('Tenant Data'!$J$2:$J$4674,'Tenant Data'!$A$2:$A$4674,A35,'Tenant Data'!$B$2:$B$4674,$B$3),"")</f>
        <v>0</v>
      </c>
    </row>
    <row r="36" spans="1:7" x14ac:dyDescent="0.2">
      <c r="A36" s="9" t="s">
        <v>27</v>
      </c>
      <c r="B36" s="13" t="str">
        <f>'Property Summary'!B30</f>
        <v>Y</v>
      </c>
      <c r="C36" s="12">
        <f>IFERROR(SUMIFS('Tenant Data'!$E$2:$E$4674,'Tenant Data'!$A$2:$A$4674,A36,'Tenant Data'!$B$2:$B$4674,$B$3),"")</f>
        <v>0</v>
      </c>
      <c r="D36" s="10">
        <f>IFERROR(SUMIFS('Tenant Data'!$F$2:$F$4674,'Tenant Data'!$A$2:$A$4674,A36,'Tenant Data'!$B$2:$B$4674,$B$3),"")</f>
        <v>0</v>
      </c>
      <c r="E36" s="46" t="str">
        <f t="shared" si="0"/>
        <v/>
      </c>
      <c r="F36" s="46">
        <f>IFERROR(SUMIFS('Tenant Data'!$I$2:$I$4674,'Tenant Data'!$A$2:$A$4674,A36,'Tenant Data'!$B$2:$B$4674,$B$3),"")</f>
        <v>0</v>
      </c>
      <c r="G36" s="11">
        <f>IFERROR(SUMIFS('Tenant Data'!$J$2:$J$4674,'Tenant Data'!$A$2:$A$4674,A36,'Tenant Data'!$B$2:$B$4674,$B$3),"")</f>
        <v>0</v>
      </c>
    </row>
    <row r="37" spans="1:7" x14ac:dyDescent="0.2">
      <c r="A37" s="9" t="s">
        <v>36</v>
      </c>
      <c r="B37" s="13" t="str">
        <f>'Property Summary'!B31</f>
        <v>Y</v>
      </c>
      <c r="C37" s="12">
        <f>IFERROR(SUMIFS('Tenant Data'!$E$2:$E$4674,'Tenant Data'!$A$2:$A$4674,A37,'Tenant Data'!$B$2:$B$4674,$B$3),"")</f>
        <v>768</v>
      </c>
      <c r="D37" s="10">
        <f>IFERROR(SUMIFS('Tenant Data'!$F$2:$F$4674,'Tenant Data'!$A$2:$A$4674,A37,'Tenant Data'!$B$2:$B$4674,$B$3),"")</f>
        <v>646872.51</v>
      </c>
      <c r="E37" s="46">
        <f t="shared" si="0"/>
        <v>842.28191406250005</v>
      </c>
      <c r="F37" s="46">
        <f>IFERROR(SUMIFS('Tenant Data'!$I$2:$I$4674,'Tenant Data'!$A$2:$A$4674,A37,'Tenant Data'!$B$2:$B$4674,$B$3),"")</f>
        <v>104.2749489583333</v>
      </c>
      <c r="G37" s="11">
        <f>IFERROR(SUMIFS('Tenant Data'!$J$2:$J$4674,'Tenant Data'!$A$2:$A$4674,A37,'Tenant Data'!$B$2:$B$4674,$B$3),"")</f>
        <v>0.1238005318853324</v>
      </c>
    </row>
    <row r="38" spans="1:7" x14ac:dyDescent="0.2">
      <c r="A38" s="9" t="s">
        <v>20</v>
      </c>
      <c r="B38" s="13" t="str">
        <f>'Property Summary'!B32</f>
        <v>Y</v>
      </c>
      <c r="C38" s="12">
        <f>IFERROR(SUMIFS('Tenant Data'!$E$2:$E$4674,'Tenant Data'!$A$2:$A$4674,A38,'Tenant Data'!$B$2:$B$4674,$B$3),"")</f>
        <v>0</v>
      </c>
      <c r="D38" s="10">
        <f>IFERROR(SUMIFS('Tenant Data'!$F$2:$F$4674,'Tenant Data'!$A$2:$A$4674,A38,'Tenant Data'!$B$2:$B$4674,$B$3),"")</f>
        <v>0</v>
      </c>
      <c r="E38" s="46" t="str">
        <f t="shared" si="0"/>
        <v/>
      </c>
      <c r="F38" s="46">
        <f>IFERROR(SUMIFS('Tenant Data'!$I$2:$I$4674,'Tenant Data'!$A$2:$A$4674,A38,'Tenant Data'!$B$2:$B$4674,$B$3),"")</f>
        <v>0</v>
      </c>
      <c r="G38" s="11">
        <f>IFERROR(SUMIFS('Tenant Data'!$J$2:$J$4674,'Tenant Data'!$A$2:$A$4674,A38,'Tenant Data'!$B$2:$B$4674,$B$3),"")</f>
        <v>0</v>
      </c>
    </row>
    <row r="39" spans="1:7" x14ac:dyDescent="0.2">
      <c r="A39" s="9" t="s">
        <v>47</v>
      </c>
      <c r="B39" s="13" t="str">
        <f>'Property Summary'!B33</f>
        <v>Y</v>
      </c>
      <c r="C39" s="12">
        <f>IFERROR(SUMIFS('Tenant Data'!$E$2:$E$4674,'Tenant Data'!$A$2:$A$4674,A39,'Tenant Data'!$B$2:$B$4674,$B$3),"")</f>
        <v>0</v>
      </c>
      <c r="D39" s="10">
        <f>IFERROR(SUMIFS('Tenant Data'!$F$2:$F$4674,'Tenant Data'!$A$2:$A$4674,A39,'Tenant Data'!$B$2:$B$4674,$B$3),"")</f>
        <v>0</v>
      </c>
      <c r="E39" s="46" t="str">
        <f t="shared" si="0"/>
        <v/>
      </c>
      <c r="F39" s="46">
        <f>IFERROR(SUMIFS('Tenant Data'!$I$2:$I$4674,'Tenant Data'!$A$2:$A$4674,A39,'Tenant Data'!$B$2:$B$4674,$B$3),"")</f>
        <v>0</v>
      </c>
      <c r="G39" s="11">
        <f>IFERROR(SUMIFS('Tenant Data'!$J$2:$J$4674,'Tenant Data'!$A$2:$A$4674,A39,'Tenant Data'!$B$2:$B$4674,$B$3),"")</f>
        <v>0</v>
      </c>
    </row>
    <row r="40" spans="1:7" x14ac:dyDescent="0.2">
      <c r="A40" s="9" t="s">
        <v>62</v>
      </c>
      <c r="B40" s="13" t="str">
        <f>'Property Summary'!B34</f>
        <v>Y</v>
      </c>
      <c r="C40" s="12">
        <f>IFERROR(SUMIFS('Tenant Data'!$E$2:$E$4674,'Tenant Data'!$A$2:$A$4674,A40,'Tenant Data'!$B$2:$B$4674,$B$3),"")</f>
        <v>800</v>
      </c>
      <c r="D40" s="10">
        <f>IFERROR(SUMIFS('Tenant Data'!$F$2:$F$4674,'Tenant Data'!$A$2:$A$4674,A40,'Tenant Data'!$B$2:$B$4674,$B$3),"")</f>
        <v>374209.25</v>
      </c>
      <c r="E40" s="46">
        <f t="shared" si="0"/>
        <v>467.76156250000003</v>
      </c>
      <c r="F40" s="46">
        <f>IFERROR(SUMIFS('Tenant Data'!$I$2:$I$4674,'Tenant Data'!$A$2:$A$4674,A40,'Tenant Data'!$B$2:$B$4674,$B$3),"")</f>
        <v>127.2220185</v>
      </c>
      <c r="G40" s="11">
        <f>IFERROR(SUMIFS('Tenant Data'!$J$2:$J$4674,'Tenant Data'!$A$2:$A$4674,A40,'Tenant Data'!$B$2:$B$4674,$B$3),"")</f>
        <v>0.27198048899111932</v>
      </c>
    </row>
    <row r="41" spans="1:7" x14ac:dyDescent="0.2">
      <c r="A41" s="9" t="s">
        <v>33</v>
      </c>
      <c r="B41" s="13" t="str">
        <f>'Property Summary'!B35</f>
        <v>Y</v>
      </c>
      <c r="C41" s="12">
        <f>IFERROR(SUMIFS('Tenant Data'!$E$2:$E$4674,'Tenant Data'!$A$2:$A$4674,A41,'Tenant Data'!$B$2:$B$4674,$B$3),"")</f>
        <v>0</v>
      </c>
      <c r="D41" s="10">
        <f>IFERROR(SUMIFS('Tenant Data'!$F$2:$F$4674,'Tenant Data'!$A$2:$A$4674,A41,'Tenant Data'!$B$2:$B$4674,$B$3),"")</f>
        <v>0</v>
      </c>
      <c r="E41" s="46" t="str">
        <f t="shared" si="0"/>
        <v/>
      </c>
      <c r="F41" s="46">
        <f>IFERROR(SUMIFS('Tenant Data'!$I$2:$I$4674,'Tenant Data'!$A$2:$A$4674,A41,'Tenant Data'!$B$2:$B$4674,$B$3),"")</f>
        <v>0</v>
      </c>
      <c r="G41" s="11">
        <f>IFERROR(SUMIFS('Tenant Data'!$J$2:$J$4674,'Tenant Data'!$A$2:$A$4674,A41,'Tenant Data'!$B$2:$B$4674,$B$3),"")</f>
        <v>0</v>
      </c>
    </row>
    <row r="42" spans="1:7" x14ac:dyDescent="0.2">
      <c r="A42" s="9" t="s">
        <v>46</v>
      </c>
      <c r="B42" s="13" t="str">
        <f>'Property Summary'!B36</f>
        <v>Y</v>
      </c>
      <c r="C42" s="12">
        <f>IFERROR(SUMIFS('Tenant Data'!$E$2:$E$4674,'Tenant Data'!$A$2:$A$4674,A42,'Tenant Data'!$B$2:$B$4674,$B$3),"")</f>
        <v>990</v>
      </c>
      <c r="D42" s="10">
        <f>IFERROR(SUMIFS('Tenant Data'!$F$2:$F$4674,'Tenant Data'!$A$2:$A$4674,A42,'Tenant Data'!$B$2:$B$4674,$B$3),"")</f>
        <v>514404</v>
      </c>
      <c r="E42" s="46">
        <f t="shared" si="0"/>
        <v>519.6</v>
      </c>
      <c r="F42" s="46">
        <f>IFERROR(SUMIFS('Tenant Data'!$I$2:$I$4674,'Tenant Data'!$A$2:$A$4674,A42,'Tenant Data'!$B$2:$B$4674,$B$3),"")</f>
        <v>87.2</v>
      </c>
      <c r="G42" s="11">
        <f>IFERROR(SUMIFS('Tenant Data'!$J$2:$J$4674,'Tenant Data'!$A$2:$A$4674,A42,'Tenant Data'!$B$2:$B$4674,$B$3),"")</f>
        <v>0.16782140107775209</v>
      </c>
    </row>
    <row r="43" spans="1:7" x14ac:dyDescent="0.2">
      <c r="A43" s="9" t="s">
        <v>30</v>
      </c>
      <c r="B43" s="13" t="str">
        <f>'Property Summary'!B37</f>
        <v>Y</v>
      </c>
      <c r="C43" s="12">
        <f>IFERROR(SUMIFS('Tenant Data'!$E$2:$E$4674,'Tenant Data'!$A$2:$A$4674,A43,'Tenant Data'!$B$2:$B$4674,$B$3),"")</f>
        <v>0</v>
      </c>
      <c r="D43" s="10">
        <f>IFERROR(SUMIFS('Tenant Data'!$F$2:$F$4674,'Tenant Data'!$A$2:$A$4674,A43,'Tenant Data'!$B$2:$B$4674,$B$3),"")</f>
        <v>0</v>
      </c>
      <c r="E43" s="46" t="str">
        <f t="shared" si="0"/>
        <v/>
      </c>
      <c r="F43" s="46">
        <f>IFERROR(SUMIFS('Tenant Data'!$I$2:$I$4674,'Tenant Data'!$A$2:$A$4674,A43,'Tenant Data'!$B$2:$B$4674,$B$3),"")</f>
        <v>0</v>
      </c>
      <c r="G43" s="11">
        <f>IFERROR(SUMIFS('Tenant Data'!$J$2:$J$4674,'Tenant Data'!$A$2:$A$4674,A43,'Tenant Data'!$B$2:$B$4674,$B$3),"")</f>
        <v>0</v>
      </c>
    </row>
    <row r="44" spans="1:7" x14ac:dyDescent="0.2">
      <c r="A44" s="9" t="s">
        <v>65</v>
      </c>
      <c r="B44" s="13" t="str">
        <f>'Property Summary'!B38</f>
        <v>Y</v>
      </c>
      <c r="C44" s="12">
        <f>IFERROR(SUMIFS('Tenant Data'!$E$2:$E$4674,'Tenant Data'!$A$2:$A$4674,A44,'Tenant Data'!$B$2:$B$4674,$B$3),"")</f>
        <v>733</v>
      </c>
      <c r="D44" s="10">
        <f>IFERROR(SUMIFS('Tenant Data'!$F$2:$F$4674,'Tenant Data'!$A$2:$A$4674,A44,'Tenant Data'!$B$2:$B$4674,$B$3),"")</f>
        <v>341385</v>
      </c>
      <c r="E44" s="46">
        <f t="shared" si="0"/>
        <v>465.73669849931787</v>
      </c>
      <c r="F44" s="46">
        <f>IFERROR(SUMIFS('Tenant Data'!$I$2:$I$4674,'Tenant Data'!$A$2:$A$4674,A44,'Tenant Data'!$B$2:$B$4674,$B$3),"")</f>
        <v>137.47</v>
      </c>
      <c r="G44" s="11">
        <f>IFERROR(SUMIFS('Tenant Data'!$J$2:$J$4674,'Tenant Data'!$A$2:$A$4674,A44,'Tenant Data'!$B$2:$B$4674,$B$3),"")</f>
        <v>0.3271</v>
      </c>
    </row>
    <row r="45" spans="1:7" x14ac:dyDescent="0.2">
      <c r="A45" s="9" t="s">
        <v>34</v>
      </c>
      <c r="B45" s="13" t="str">
        <f>'Property Summary'!B39</f>
        <v>Y</v>
      </c>
      <c r="C45" s="12">
        <f>IFERROR(SUMIFS('Tenant Data'!$E$2:$E$4674,'Tenant Data'!$A$2:$A$4674,A45,'Tenant Data'!$B$2:$B$4674,$B$3),"")</f>
        <v>936</v>
      </c>
      <c r="D45" s="10">
        <f>IFERROR(SUMIFS('Tenant Data'!$F$2:$F$4674,'Tenant Data'!$A$2:$A$4674,A45,'Tenant Data'!$B$2:$B$4674,$B$3),"")</f>
        <v>567584.17000000004</v>
      </c>
      <c r="E45" s="46">
        <f t="shared" si="0"/>
        <v>606.39334401709402</v>
      </c>
      <c r="F45" s="46">
        <f>IFERROR(SUMIFS('Tenant Data'!$I$2:$I$4674,'Tenant Data'!$A$2:$A$4674,A45,'Tenant Data'!$B$2:$B$4674,$B$3),"")</f>
        <v>111.6251557692308</v>
      </c>
      <c r="G45" s="11">
        <f>IFERROR(SUMIFS('Tenant Data'!$J$2:$J$4674,'Tenant Data'!$A$2:$A$4674,A45,'Tenant Data'!$B$2:$B$4674,$B$3),"")</f>
        <v>0.18408044361068071</v>
      </c>
    </row>
    <row r="46" spans="1:7" x14ac:dyDescent="0.2">
      <c r="A46" s="9" t="s">
        <v>48</v>
      </c>
      <c r="B46" s="13" t="str">
        <f>'Property Summary'!B40</f>
        <v>Y</v>
      </c>
      <c r="C46" s="12">
        <f>IFERROR(SUMIFS('Tenant Data'!$E$2:$E$4674,'Tenant Data'!$A$2:$A$4674,A46,'Tenant Data'!$B$2:$B$4674,$B$3),"")</f>
        <v>0</v>
      </c>
      <c r="D46" s="10">
        <f>IFERROR(SUMIFS('Tenant Data'!$F$2:$F$4674,'Tenant Data'!$A$2:$A$4674,A46,'Tenant Data'!$B$2:$B$4674,$B$3),"")</f>
        <v>0</v>
      </c>
      <c r="E46" s="46" t="str">
        <f t="shared" si="0"/>
        <v/>
      </c>
      <c r="F46" s="46">
        <f>IFERROR(SUMIFS('Tenant Data'!$I$2:$I$4674,'Tenant Data'!$A$2:$A$4674,A46,'Tenant Data'!$B$2:$B$4674,$B$3),"")</f>
        <v>0</v>
      </c>
      <c r="G46" s="11">
        <f>IFERROR(SUMIFS('Tenant Data'!$J$2:$J$4674,'Tenant Data'!$A$2:$A$4674,A46,'Tenant Data'!$B$2:$B$4674,$B$3),"")</f>
        <v>0</v>
      </c>
    </row>
    <row r="47" spans="1:7" x14ac:dyDescent="0.2">
      <c r="A47" s="9" t="s">
        <v>66</v>
      </c>
      <c r="B47" s="13" t="str">
        <f>'Property Summary'!B41</f>
        <v>Y</v>
      </c>
      <c r="C47" s="12">
        <f>IFERROR(SUMIFS('Tenant Data'!$E$2:$E$4674,'Tenant Data'!$A$2:$A$4674,A47,'Tenant Data'!$B$2:$B$4674,$B$3),"")</f>
        <v>840</v>
      </c>
      <c r="D47" s="10">
        <f>IFERROR(SUMIFS('Tenant Data'!$F$2:$F$4674,'Tenant Data'!$A$2:$A$4674,A47,'Tenant Data'!$B$2:$B$4674,$B$3),"")</f>
        <v>426317.54</v>
      </c>
      <c r="E47" s="46">
        <f t="shared" si="0"/>
        <v>507.52088095238094</v>
      </c>
      <c r="F47" s="46">
        <f>IFERROR(SUMIFS('Tenant Data'!$I$2:$I$4674,'Tenant Data'!$A$2:$A$4674,A47,'Tenant Data'!$B$2:$B$4674,$B$3),"")</f>
        <v>138.03934191330731</v>
      </c>
      <c r="G47" s="11">
        <f>IFERROR(SUMIFS('Tenant Data'!$J$2:$J$4674,'Tenant Data'!$A$2:$A$4674,A47,'Tenant Data'!$B$2:$B$4674,$B$3),"")</f>
        <v>0.27198751242366931</v>
      </c>
    </row>
    <row r="48" spans="1:7" x14ac:dyDescent="0.2">
      <c r="A48" s="9" t="s">
        <v>39</v>
      </c>
      <c r="B48" s="13" t="str">
        <f>'Property Summary'!B42</f>
        <v>Y</v>
      </c>
      <c r="C48" s="12">
        <f>IFERROR(SUMIFS('Tenant Data'!$E$2:$E$4674,'Tenant Data'!$A$2:$A$4674,A48,'Tenant Data'!$B$2:$B$4674,$B$3),"")</f>
        <v>0</v>
      </c>
      <c r="D48" s="10">
        <f>IFERROR(SUMIFS('Tenant Data'!$F$2:$F$4674,'Tenant Data'!$A$2:$A$4674,A48,'Tenant Data'!$B$2:$B$4674,$B$3),"")</f>
        <v>0</v>
      </c>
      <c r="E48" s="46" t="str">
        <f t="shared" si="0"/>
        <v/>
      </c>
      <c r="F48" s="46">
        <f>IFERROR(SUMIFS('Tenant Data'!$I$2:$I$4674,'Tenant Data'!$A$2:$A$4674,A48,'Tenant Data'!$B$2:$B$4674,$B$3),"")</f>
        <v>0</v>
      </c>
      <c r="G48" s="11">
        <f>IFERROR(SUMIFS('Tenant Data'!$J$2:$J$4674,'Tenant Data'!$A$2:$A$4674,A48,'Tenant Data'!$B$2:$B$4674,$B$3),"")</f>
        <v>0</v>
      </c>
    </row>
    <row r="49" spans="1:7" x14ac:dyDescent="0.2">
      <c r="A49" s="9" t="s">
        <v>61</v>
      </c>
      <c r="B49" s="13" t="str">
        <f>'Property Summary'!B43</f>
        <v>Y</v>
      </c>
      <c r="C49" s="12">
        <f>IFERROR(SUMIFS('Tenant Data'!$E$2:$E$4674,'Tenant Data'!$A$2:$A$4674,A49,'Tenant Data'!$B$2:$B$4674,$B$3),"")</f>
        <v>1070</v>
      </c>
      <c r="D49" s="10">
        <f>IFERROR(SUMIFS('Tenant Data'!$F$2:$F$4674,'Tenant Data'!$A$2:$A$4674,A49,'Tenant Data'!$B$2:$B$4674,$B$3),"")</f>
        <v>560355.93000000005</v>
      </c>
      <c r="E49" s="46">
        <f t="shared" si="0"/>
        <v>523.69713084112152</v>
      </c>
      <c r="F49" s="46">
        <f>IFERROR(SUMIFS('Tenant Data'!$I$2:$I$4674,'Tenant Data'!$A$2:$A$4674,A49,'Tenant Data'!$B$2:$B$4674,$B$3),"")</f>
        <v>82.706922078574223</v>
      </c>
      <c r="G49" s="11">
        <f>IFERROR(SUMIFS('Tenant Data'!$J$2:$J$4674,'Tenant Data'!$A$2:$A$4674,A49,'Tenant Data'!$B$2:$B$4674,$B$3),"")</f>
        <v>0.15792891961377911</v>
      </c>
    </row>
    <row r="50" spans="1:7" x14ac:dyDescent="0.2">
      <c r="A50" s="9" t="s">
        <v>67</v>
      </c>
      <c r="B50" s="13" t="str">
        <f>'Property Summary'!B44</f>
        <v>Y</v>
      </c>
      <c r="C50" s="12">
        <f>IFERROR(SUMIFS('Tenant Data'!$E$2:$E$4674,'Tenant Data'!$A$2:$A$4674,A50,'Tenant Data'!$B$2:$B$4674,$B$3),"")</f>
        <v>531</v>
      </c>
      <c r="D50" s="10">
        <f>IFERROR(SUMIFS('Tenant Data'!$F$2:$F$4674,'Tenant Data'!$A$2:$A$4674,A50,'Tenant Data'!$B$2:$B$4674,$B$3),"")</f>
        <v>232569.94</v>
      </c>
      <c r="E50" s="46">
        <f t="shared" si="0"/>
        <v>437.98482109227871</v>
      </c>
      <c r="F50" s="46">
        <f>IFERROR(SUMIFS('Tenant Data'!$I$2:$I$4674,'Tenant Data'!$A$2:$A$4674,A50,'Tenant Data'!$B$2:$B$4674,$B$3),"")</f>
        <v>327.76961848906649</v>
      </c>
      <c r="G50" s="11">
        <f>IFERROR(SUMIFS('Tenant Data'!$J$2:$J$4674,'Tenant Data'!$A$2:$A$4674,A50,'Tenant Data'!$B$2:$B$4674,$B$3),"")</f>
        <v>0.74835839669432047</v>
      </c>
    </row>
    <row r="51" spans="1:7" x14ac:dyDescent="0.2">
      <c r="A51" s="9" t="s">
        <v>57</v>
      </c>
      <c r="B51" s="13" t="str">
        <f>'Property Summary'!B45</f>
        <v>Y</v>
      </c>
      <c r="C51" s="12">
        <f>IFERROR(SUMIFS('Tenant Data'!$E$2:$E$4674,'Tenant Data'!$A$2:$A$4674,A51,'Tenant Data'!$B$2:$B$4674,$B$3),"")</f>
        <v>1201</v>
      </c>
      <c r="D51" s="10">
        <f>IFERROR(SUMIFS('Tenant Data'!$F$2:$F$4674,'Tenant Data'!$A$2:$A$4674,A51,'Tenant Data'!$B$2:$B$4674,$B$3),"")</f>
        <v>430030.88</v>
      </c>
      <c r="E51" s="46">
        <f t="shared" si="0"/>
        <v>358.06068276436304</v>
      </c>
      <c r="F51" s="46">
        <f>IFERROR(SUMIFS('Tenant Data'!$I$2:$I$4674,'Tenant Data'!$A$2:$A$4674,A51,'Tenant Data'!$B$2:$B$4674,$B$3),"")</f>
        <v>89.20117568692757</v>
      </c>
      <c r="G51" s="11">
        <f>IFERROR(SUMIFS('Tenant Data'!$J$2:$J$4674,'Tenant Data'!$A$2:$A$4674,A51,'Tenant Data'!$B$2:$B$4674,$B$3),"")</f>
        <v>0.24912306762714351</v>
      </c>
    </row>
    <row r="52" spans="1:7" x14ac:dyDescent="0.2">
      <c r="A52" s="9" t="s">
        <v>38</v>
      </c>
      <c r="B52" s="13" t="str">
        <f>'Property Summary'!B46</f>
        <v>Y</v>
      </c>
      <c r="C52" s="12">
        <f>IFERROR(SUMIFS('Tenant Data'!$E$2:$E$4674,'Tenant Data'!$A$2:$A$4674,A52,'Tenant Data'!$B$2:$B$4674,$B$3),"")</f>
        <v>1316</v>
      </c>
      <c r="D52" s="10">
        <f>IFERROR(SUMIFS('Tenant Data'!$F$2:$F$4674,'Tenant Data'!$A$2:$A$4674,A52,'Tenant Data'!$B$2:$B$4674,$B$3),"")</f>
        <v>628632.80999999994</v>
      </c>
      <c r="E52" s="46">
        <f t="shared" si="0"/>
        <v>477.6845060790273</v>
      </c>
      <c r="F52" s="46">
        <f>IFERROR(SUMIFS('Tenant Data'!$I$2:$I$4674,'Tenant Data'!$A$2:$A$4674,A52,'Tenant Data'!$B$2:$B$4674,$B$3),"")</f>
        <v>51.784130091185411</v>
      </c>
      <c r="G52" s="11">
        <f>IFERROR(SUMIFS('Tenant Data'!$J$2:$J$4674,'Tenant Data'!$A$2:$A$4674,A52,'Tenant Data'!$B$2:$B$4674,$B$3),"")</f>
        <v>0.1084065516720325</v>
      </c>
    </row>
    <row r="53" spans="1:7" x14ac:dyDescent="0.2">
      <c r="A53" s="9" t="s">
        <v>31</v>
      </c>
      <c r="B53" s="13" t="str">
        <f>'Property Summary'!B47</f>
        <v>Y</v>
      </c>
      <c r="C53" s="12">
        <f>IFERROR(SUMIFS('Tenant Data'!$E$2:$E$4674,'Tenant Data'!$A$2:$A$4674,A53,'Tenant Data'!$B$2:$B$4674,$B$3),"")</f>
        <v>683</v>
      </c>
      <c r="D53" s="10">
        <f>IFERROR(SUMIFS('Tenant Data'!$F$2:$F$4674,'Tenant Data'!$A$2:$A$4674,A53,'Tenant Data'!$B$2:$B$4674,$B$3),"")</f>
        <v>533900.91</v>
      </c>
      <c r="E53" s="46">
        <f t="shared" si="0"/>
        <v>781.69972181551987</v>
      </c>
      <c r="F53" s="46">
        <f>IFERROR(SUMIFS('Tenant Data'!$I$2:$I$4674,'Tenant Data'!$A$2:$A$4674,A53,'Tenant Data'!$B$2:$B$4674,$B$3),"")</f>
        <v>93.803966617862386</v>
      </c>
      <c r="G53" s="11">
        <f>IFERROR(SUMIFS('Tenant Data'!$J$2:$J$4674,'Tenant Data'!$A$2:$A$4674,A53,'Tenant Data'!$B$2:$B$4674,$B$3),"")</f>
        <v>0.12</v>
      </c>
    </row>
    <row r="54" spans="1:7" x14ac:dyDescent="0.2">
      <c r="A54" s="9" t="s">
        <v>64</v>
      </c>
      <c r="B54" s="13" t="str">
        <f>'Property Summary'!B48</f>
        <v>Y</v>
      </c>
      <c r="C54" s="12">
        <f>IFERROR(SUMIFS('Tenant Data'!$E$2:$E$4674,'Tenant Data'!$A$2:$A$4674,A54,'Tenant Data'!$B$2:$B$4674,$B$3),"")</f>
        <v>935</v>
      </c>
      <c r="D54" s="10">
        <f>IFERROR(SUMIFS('Tenant Data'!$F$2:$F$4674,'Tenant Data'!$A$2:$A$4674,A54,'Tenant Data'!$B$2:$B$4674,$B$3),"")</f>
        <v>0</v>
      </c>
      <c r="E54" s="46">
        <f t="shared" si="0"/>
        <v>0</v>
      </c>
      <c r="F54" s="46">
        <f>IFERROR(SUMIFS('Tenant Data'!$I$2:$I$4674,'Tenant Data'!$A$2:$A$4674,A54,'Tenant Data'!$B$2:$B$4674,$B$3),"")</f>
        <v>130.57253826758571</v>
      </c>
      <c r="G54" s="11">
        <f>IFERROR(SUMIFS('Tenant Data'!$J$2:$J$4674,'Tenant Data'!$A$2:$A$4674,A54,'Tenant Data'!$B$2:$B$4674,$B$3),"")</f>
        <v>0</v>
      </c>
    </row>
    <row r="55" spans="1:7" x14ac:dyDescent="0.2">
      <c r="A55" s="9" t="s">
        <v>29</v>
      </c>
      <c r="B55" s="13" t="str">
        <f>'Property Summary'!B49</f>
        <v>Y</v>
      </c>
      <c r="C55" s="12">
        <f>IFERROR(SUMIFS('Tenant Data'!$E$2:$E$4674,'Tenant Data'!$A$2:$A$4674,A55,'Tenant Data'!$B$2:$B$4674,$B$3),"")</f>
        <v>738</v>
      </c>
      <c r="D55" s="10">
        <f>IFERROR(SUMIFS('Tenant Data'!$F$2:$F$4674,'Tenant Data'!$A$2:$A$4674,A55,'Tenant Data'!$B$2:$B$4674,$B$3),"")</f>
        <v>539559</v>
      </c>
      <c r="E55" s="46">
        <f t="shared" si="0"/>
        <v>731.10975609756099</v>
      </c>
      <c r="F55" s="46">
        <f>IFERROR(SUMIFS('Tenant Data'!$I$2:$I$4674,'Tenant Data'!$A$2:$A$4674,A55,'Tenant Data'!$B$2:$B$4674,$B$3),"")</f>
        <v>136.57</v>
      </c>
      <c r="G55" s="11">
        <f>IFERROR(SUMIFS('Tenant Data'!$J$2:$J$4674,'Tenant Data'!$A$2:$A$4674,A55,'Tenant Data'!$B$2:$B$4674,$B$3),"")</f>
        <v>0.18679999999999999</v>
      </c>
    </row>
    <row r="56" spans="1:7" x14ac:dyDescent="0.2">
      <c r="A56" s="47" t="s">
        <v>148</v>
      </c>
      <c r="B56" s="13"/>
      <c r="C56" s="12">
        <f>SUMPRODUCT((B8:B55="Y")*(C8:C55&lt;&gt;"")*C8:C55)</f>
        <v>30138</v>
      </c>
      <c r="D56" s="10">
        <f>SUMPRODUCT((B8:B55="Y")*(D8:D55&lt;&gt;"")*D8:D55)</f>
        <v>13793980.83</v>
      </c>
      <c r="E56" s="46">
        <f>IFERROR(D56/C56,"")</f>
        <v>457.69396874377861</v>
      </c>
      <c r="F56" s="13"/>
      <c r="G56" s="13"/>
    </row>
    <row r="58" spans="1:7" ht="16" x14ac:dyDescent="0.2">
      <c r="A58" s="82" t="s">
        <v>149</v>
      </c>
      <c r="B58" s="83"/>
      <c r="C58" s="83"/>
      <c r="D58" s="83"/>
      <c r="E58" s="83"/>
    </row>
    <row r="59" spans="1:7" x14ac:dyDescent="0.2">
      <c r="A59" s="48" t="s">
        <v>150</v>
      </c>
      <c r="B59" s="48" t="s">
        <v>14</v>
      </c>
      <c r="C59" s="48" t="s">
        <v>145</v>
      </c>
    </row>
    <row r="60" spans="1:7" x14ac:dyDescent="0.2">
      <c r="A60" s="49">
        <v>1</v>
      </c>
      <c r="B60" s="13" t="str">
        <f>IFERROR(INDEX($A$8:$A$55,MATCH(LARGE($E$8:$E$55,1),$E$8:$E$55,0)),"")</f>
        <v>Galleria at Tyler</v>
      </c>
      <c r="C60" s="46">
        <f>IFERROR(LARGE($E$8:$E$55,1),"")</f>
        <v>934.94585987261144</v>
      </c>
    </row>
    <row r="61" spans="1:7" x14ac:dyDescent="0.2">
      <c r="A61" s="49">
        <v>2</v>
      </c>
      <c r="B61" s="13" t="str">
        <f>IFERROR(INDEX($A$8:$A$55,MATCH(LARGE($E$8:$E$55,2),$E$8:$E$55,0)),"")</f>
        <v>Fayette Mall</v>
      </c>
      <c r="C61" s="46">
        <f>IFERROR(LARGE($E$8:$E$55,2),"")</f>
        <v>914.33704809286894</v>
      </c>
    </row>
    <row r="62" spans="1:7" x14ac:dyDescent="0.2">
      <c r="A62" s="49">
        <v>3</v>
      </c>
      <c r="B62" s="13" t="str">
        <f>IFERROR(INDEX($A$8:$A$55,MATCH(LARGE($E$8:$E$55,3),$E$8:$E$55,0)),"")</f>
        <v>Oak Park Mall</v>
      </c>
      <c r="C62" s="46">
        <f>IFERROR(LARGE($E$8:$E$55,3),"")</f>
        <v>842.28191406250005</v>
      </c>
    </row>
    <row r="63" spans="1:7" x14ac:dyDescent="0.2">
      <c r="A63" s="49">
        <v>4</v>
      </c>
      <c r="B63" s="13" t="str">
        <f>IFERROR(INDEX($A$8:$A$55,MATCH(LARGE($E$8:$E$55,4),$E$8:$E$55,0)),"")</f>
        <v>Bridgewater Commons</v>
      </c>
      <c r="C63" s="46">
        <f>IFERROR(LARGE($E$8:$E$55,4),"")</f>
        <v>830.40074441687341</v>
      </c>
    </row>
    <row r="64" spans="1:7" x14ac:dyDescent="0.2">
      <c r="A64" s="49">
        <v>5</v>
      </c>
      <c r="B64" s="13" t="str">
        <f>IFERROR(INDEX($A$8:$A$55,MATCH(LARGE($E$8:$E$55,5),$E$8:$E$55,0)),"")</f>
        <v>Hamilton Place Mall</v>
      </c>
      <c r="C64" s="46">
        <f>IFERROR(LARGE($E$8:$E$55,5),"")</f>
        <v>788.21240478781283</v>
      </c>
    </row>
    <row r="65" spans="1:3" x14ac:dyDescent="0.2">
      <c r="A65" s="49">
        <v>6</v>
      </c>
      <c r="B65" s="13" t="str">
        <f>IFERROR(INDEX($A$8:$A$55,MATCH(LARGE($E$8:$E$55,6),$E$8:$E$55,0)),"")</f>
        <v>West Towne Mall</v>
      </c>
      <c r="C65" s="46">
        <f>IFERROR(LARGE($E$8:$E$55,6),"")</f>
        <v>781.69972181551987</v>
      </c>
    </row>
    <row r="66" spans="1:3" x14ac:dyDescent="0.2">
      <c r="A66" s="49">
        <v>7</v>
      </c>
      <c r="B66" s="13" t="str">
        <f>IFERROR(INDEX($A$8:$A$55,MATCH(LARGE($E$8:$E$55,7),$E$8:$E$55,0)),"")</f>
        <v>CoolSprings Galleria</v>
      </c>
      <c r="C66" s="46">
        <f>IFERROR(LARGE($E$8:$E$55,7),"")</f>
        <v>781.51413629160061</v>
      </c>
    </row>
    <row r="67" spans="1:3" x14ac:dyDescent="0.2">
      <c r="A67" s="49">
        <v>8</v>
      </c>
      <c r="B67" s="13" t="str">
        <f>IFERROR(INDEX($A$8:$A$55,MATCH(LARGE($E$8:$E$55,8),$E$8:$E$55,0)),"")</f>
        <v>Willow Grove Park</v>
      </c>
      <c r="C67" s="46">
        <f>IFERROR(LARGE($E$8:$E$55,8),"")</f>
        <v>731.10975609756099</v>
      </c>
    </row>
    <row r="68" spans="1:3" x14ac:dyDescent="0.2">
      <c r="A68" s="49">
        <v>9</v>
      </c>
      <c r="B68" s="13" t="str">
        <f>IFERROR(INDEX($A$8:$A$55,MATCH(LARGE($E$8:$E$55,9),$E$8:$E$55,0)),"")</f>
        <v>Crabtree Valley Mall</v>
      </c>
      <c r="C68" s="46">
        <f>IFERROR(LARGE($E$8:$E$55,9),"")</f>
        <v>648.22176591375774</v>
      </c>
    </row>
    <row r="69" spans="1:3" x14ac:dyDescent="0.2">
      <c r="A69" s="49">
        <v>10</v>
      </c>
      <c r="B69" s="13" t="str">
        <f>IFERROR(INDEX($A$8:$A$55,MATCH(LARGE($E$8:$E$55,10),$E$8:$E$55,0)),"")</f>
        <v>SouthPark Mall (OH)</v>
      </c>
      <c r="C69" s="46">
        <f>IFERROR(LARGE($E$8:$E$55,10),"")</f>
        <v>606.39334401709402</v>
      </c>
    </row>
    <row r="70" spans="1:3" x14ac:dyDescent="0.2">
      <c r="A70" s="49">
        <v>11</v>
      </c>
      <c r="B70" s="13" t="str">
        <f>IFERROR(INDEX($A$8:$A$55,MATCH(LARGE($E$8:$E$55,11),$E$8:$E$55,0)),"")</f>
        <v>Capital City Mall</v>
      </c>
      <c r="C70" s="46">
        <f>IFERROR(LARGE($E$8:$E$55,11),"")</f>
        <v>598.30355000000009</v>
      </c>
    </row>
    <row r="71" spans="1:3" x14ac:dyDescent="0.2">
      <c r="A71" s="49">
        <v>12</v>
      </c>
      <c r="B71" s="13" t="str">
        <f>IFERROR(INDEX($A$8:$A$55,MATCH(LARGE($E$8:$E$55,12),$E$8:$E$55,0)),"")</f>
        <v>Towson Town Center</v>
      </c>
      <c r="C71" s="46">
        <f>IFERROR(LARGE($E$8:$E$55,12),"")</f>
        <v>523.69713084112152</v>
      </c>
    </row>
    <row r="72" spans="1:3" x14ac:dyDescent="0.2">
      <c r="A72" s="49">
        <v>13</v>
      </c>
      <c r="B72" s="13" t="str">
        <f>IFERROR(INDEX($A$8:$A$55,MATCH(LARGE($E$8:$E$55,13),$E$8:$E$55,0)),"")</f>
        <v>Providence Place</v>
      </c>
      <c r="C72" s="46">
        <f>IFERROR(LARGE($E$8:$E$55,13),"")</f>
        <v>519.6</v>
      </c>
    </row>
    <row r="73" spans="1:3" x14ac:dyDescent="0.2">
      <c r="A73" s="49">
        <v>14</v>
      </c>
      <c r="B73" s="13" t="str">
        <f>IFERROR(INDEX($A$8:$A$55,MATCH(LARGE($E$8:$E$55,14),$E$8:$E$55,0)),"")</f>
        <v>Clackamas Town Center</v>
      </c>
      <c r="C73" s="46">
        <f>IFERROR(LARGE($E$8:$E$55,14),"")</f>
        <v>517.00679245283015</v>
      </c>
    </row>
    <row r="74" spans="1:3" x14ac:dyDescent="0.2">
      <c r="A74" s="49">
        <v>15</v>
      </c>
      <c r="B74" s="13" t="str">
        <f>IFERROR(INDEX($A$8:$A$55,MATCH(LARGE($E$8:$E$55,15),$E$8:$E$55,0)),"")</f>
        <v>Staten Island Mall</v>
      </c>
      <c r="C74" s="46">
        <f>IFERROR(LARGE($E$8:$E$55,15),"")</f>
        <v>507.52088095238094</v>
      </c>
    </row>
    <row r="75" spans="1:3" x14ac:dyDescent="0.2">
      <c r="A75" s="49">
        <v>16</v>
      </c>
      <c r="B75" s="13" t="str">
        <f>IFERROR(INDEX($A$8:$A$55,MATCH(LARGE($E$8:$E$55,16),$E$8:$E$55,0)),"")</f>
        <v>West County Center</v>
      </c>
      <c r="C75" s="46">
        <f>IFERROR(LARGE($E$8:$E$55,16),"")</f>
        <v>477.6845060790273</v>
      </c>
    </row>
    <row r="76" spans="1:3" x14ac:dyDescent="0.2">
      <c r="A76" s="49">
        <v>17</v>
      </c>
      <c r="B76" s="13" t="str">
        <f>IFERROR(INDEX($A$8:$A$55,MATCH(LARGE($E$8:$E$55,17),$E$8:$E$55,0)),"")</f>
        <v>Palisades Center</v>
      </c>
      <c r="C76" s="46">
        <f>IFERROR(LARGE($E$8:$E$55,17),"")</f>
        <v>467.76156250000003</v>
      </c>
    </row>
    <row r="77" spans="1:3" x14ac:dyDescent="0.2">
      <c r="A77" s="49">
        <v>18</v>
      </c>
      <c r="B77" s="13" t="str">
        <f>IFERROR(INDEX($A$8:$A$55,MATCH(LARGE($E$8:$E$55,18),$E$8:$E$55,0)),"")</f>
        <v>SoNo Collection</v>
      </c>
      <c r="C77" s="46">
        <f>IFERROR(LARGE($E$8:$E$55,18),"")</f>
        <v>465.73669849931787</v>
      </c>
    </row>
    <row r="78" spans="1:3" x14ac:dyDescent="0.2">
      <c r="A78" s="49">
        <v>19</v>
      </c>
      <c r="B78" s="13" t="str">
        <f>IFERROR(INDEX($A$8:$A$55,MATCH(LARGE($E$8:$E$55,19),$E$8:$E$55,0)),"")</f>
        <v>Crossgates Center</v>
      </c>
      <c r="C78" s="46">
        <f>IFERROR(LARGE($E$8:$E$55,19),"")</f>
        <v>463.83975609756101</v>
      </c>
    </row>
    <row r="79" spans="1:3" x14ac:dyDescent="0.2">
      <c r="A79" s="49">
        <v>20</v>
      </c>
      <c r="B79" s="13" t="str">
        <f>IFERROR(INDEX($A$8:$A$55,MATCH(LARGE($E$8:$E$55,20),$E$8:$E$55,0)),"")</f>
        <v>Cross Creek Mall</v>
      </c>
      <c r="C79" s="46">
        <f>IFERROR(LARGE($E$8:$E$55,20),"")</f>
        <v>447.50861842105263</v>
      </c>
    </row>
    <row r="80" spans="1:3" x14ac:dyDescent="0.2">
      <c r="A80" s="49">
        <v>21</v>
      </c>
      <c r="B80" s="13" t="str">
        <f>IFERROR(INDEX($A$8:$A$55,MATCH(LARGE($E$8:$E$55,21),$E$8:$E$55,0)),"")</f>
        <v>Tysons Corner</v>
      </c>
      <c r="C80" s="46">
        <f>IFERROR(LARGE($E$8:$E$55,21),"")</f>
        <v>437.98482109227871</v>
      </c>
    </row>
    <row r="81" spans="1:3" x14ac:dyDescent="0.2">
      <c r="A81" s="49">
        <v>22</v>
      </c>
      <c r="B81" s="13" t="str">
        <f>IFERROR(INDEX($A$8:$A$55,MATCH(LARGE($E$8:$E$55,22),$E$8:$E$55,0)),"")</f>
        <v>Mall at Wellington Green</v>
      </c>
      <c r="C81" s="46">
        <f>IFERROR(LARGE($E$8:$E$55,22),"")</f>
        <v>419.35181696726789</v>
      </c>
    </row>
    <row r="82" spans="1:3" x14ac:dyDescent="0.2">
      <c r="A82" s="49">
        <v>23</v>
      </c>
      <c r="B82" s="13" t="str">
        <f>IFERROR(INDEX($A$8:$A$55,MATCH(LARGE($E$8:$E$55,23),$E$8:$E$55,0)),"")</f>
        <v>Destiny USA</v>
      </c>
      <c r="C82" s="46">
        <f>IFERROR(LARGE($E$8:$E$55,23),"")</f>
        <v>371.51120115774239</v>
      </c>
    </row>
    <row r="83" spans="1:3" x14ac:dyDescent="0.2">
      <c r="A83" s="49">
        <v>24</v>
      </c>
      <c r="B83" s="13" t="str">
        <f>IFERROR(INDEX($A$8:$A$55,MATCH(LARGE($E$8:$E$55,24),$E$8:$E$55,0)),"")</f>
        <v>Walden Galleria</v>
      </c>
      <c r="C83" s="46">
        <f>IFERROR(LARGE($E$8:$E$55,24),"")</f>
        <v>358.06068276436304</v>
      </c>
    </row>
    <row r="84" spans="1:3" x14ac:dyDescent="0.2">
      <c r="A84" s="49">
        <v>25</v>
      </c>
      <c r="B84" s="13" t="str">
        <f>IFERROR(INDEX($A$8:$A$55,MATCH(LARGE($E$8:$E$55,25),$E$8:$E$55,0)),"")</f>
        <v>Mall at Partridge Creek</v>
      </c>
      <c r="C84" s="46">
        <f>IFERROR(LARGE($E$8:$E$55,25),"")</f>
        <v>341.08081100651702</v>
      </c>
    </row>
    <row r="85" spans="1:3" x14ac:dyDescent="0.2">
      <c r="A85" s="49">
        <v>26</v>
      </c>
      <c r="B85" s="13" t="str">
        <f>IFERROR(INDEX($A$8:$A$55,MATCH(LARGE($E$8:$E$55,26),$E$8:$E$55,0)),"")</f>
        <v>Annapolis Mall</v>
      </c>
      <c r="C85" s="46">
        <f>IFERROR(LARGE($E$8:$E$55,26),"")</f>
        <v>317.84262931034482</v>
      </c>
    </row>
    <row r="86" spans="1:3" x14ac:dyDescent="0.2">
      <c r="A86" s="49">
        <v>27</v>
      </c>
      <c r="B86" s="13" t="str">
        <f>IFERROR(INDEX($A$8:$A$55,MATCH(LARGE($E$8:$E$55,27),$E$8:$E$55,0)),"")</f>
        <v>Coastal Grand Mall</v>
      </c>
      <c r="C86" s="46">
        <f>IFERROR(LARGE($E$8:$E$55,27),"")</f>
        <v>249.83082233502537</v>
      </c>
    </row>
    <row r="87" spans="1:3" x14ac:dyDescent="0.2">
      <c r="A87" s="49">
        <v>28</v>
      </c>
      <c r="B87" s="13" t="str">
        <f>IFERROR(INDEX($A$8:$A$55,MATCH(LARGE($E$8:$E$55,28),$E$8:$E$55,0)),"")</f>
        <v>Briarwood Mall</v>
      </c>
      <c r="C87" s="46">
        <f>IFERROR(LARGE($E$8:$E$55,28),"")</f>
        <v>21.284185493460168</v>
      </c>
    </row>
    <row r="88" spans="1:3" x14ac:dyDescent="0.2">
      <c r="A88" s="49">
        <v>29</v>
      </c>
      <c r="B88" s="13" t="str">
        <f>IFERROR(INDEX($A$8:$A$55,MATCH(LARGE($E$8:$E$55,29),$E$8:$E$55,0)),"")</f>
        <v>Mall del Norte</v>
      </c>
      <c r="C88" s="46">
        <f>IFERROR(LARGE($E$8:$E$55,29),"")</f>
        <v>0</v>
      </c>
    </row>
    <row r="89" spans="1:3" x14ac:dyDescent="0.2">
      <c r="A89" s="49">
        <v>30</v>
      </c>
      <c r="B89" s="13" t="str">
        <f>IFERROR(INDEX($A$8:$A$55,MATCH(LARGE($E$8:$E$55,30),$E$8:$E$55,0)),"")</f>
        <v>Mall del Norte</v>
      </c>
      <c r="C89" s="46">
        <f>IFERROR(LARGE($E$8:$E$55,30),"")</f>
        <v>0</v>
      </c>
    </row>
    <row r="90" spans="1:3" x14ac:dyDescent="0.2">
      <c r="A90" s="49">
        <v>31</v>
      </c>
      <c r="B90" s="13" t="str">
        <f>IFERROR(INDEX($A$8:$A$55,MATCH(LARGE($E$8:$E$55,31),$E$8:$E$55,0)),"")</f>
        <v/>
      </c>
      <c r="C90" s="46" t="str">
        <f>IFERROR(LARGE($E$8:$E$55,31),"")</f>
        <v/>
      </c>
    </row>
    <row r="91" spans="1:3" x14ac:dyDescent="0.2">
      <c r="A91" s="49">
        <v>32</v>
      </c>
      <c r="B91" s="13" t="str">
        <f>IFERROR(INDEX($A$8:$A$55,MATCH(LARGE($E$8:$E$55,32),$E$8:$E$55,0)),"")</f>
        <v/>
      </c>
      <c r="C91" s="46" t="str">
        <f>IFERROR(LARGE($E$8:$E$55,32),"")</f>
        <v/>
      </c>
    </row>
    <row r="92" spans="1:3" x14ac:dyDescent="0.2">
      <c r="A92" s="49">
        <v>33</v>
      </c>
      <c r="B92" s="13" t="str">
        <f>IFERROR(INDEX($A$8:$A$55,MATCH(LARGE($E$8:$E$55,33),$E$8:$E$55,0)),"")</f>
        <v/>
      </c>
      <c r="C92" s="46" t="str">
        <f>IFERROR(LARGE($E$8:$E$55,33),"")</f>
        <v/>
      </c>
    </row>
    <row r="93" spans="1:3" x14ac:dyDescent="0.2">
      <c r="A93" s="49">
        <v>34</v>
      </c>
      <c r="B93" s="13" t="str">
        <f>IFERROR(INDEX($A$8:$A$55,MATCH(LARGE($E$8:$E$55,34),$E$8:$E$55,0)),"")</f>
        <v/>
      </c>
      <c r="C93" s="46" t="str">
        <f>IFERROR(LARGE($E$8:$E$55,34),"")</f>
        <v/>
      </c>
    </row>
    <row r="94" spans="1:3" x14ac:dyDescent="0.2">
      <c r="A94" s="49">
        <v>35</v>
      </c>
      <c r="B94" s="13" t="str">
        <f>IFERROR(INDEX($A$8:$A$55,MATCH(LARGE($E$8:$E$55,35),$E$8:$E$55,0)),"")</f>
        <v/>
      </c>
      <c r="C94" s="46" t="str">
        <f>IFERROR(LARGE($E$8:$E$55,35),"")</f>
        <v/>
      </c>
    </row>
    <row r="95" spans="1:3" x14ac:dyDescent="0.2">
      <c r="A95" s="49">
        <v>36</v>
      </c>
      <c r="B95" s="13" t="str">
        <f>IFERROR(INDEX($A$8:$A$55,MATCH(LARGE($E$8:$E$55,36),$E$8:$E$55,0)),"")</f>
        <v/>
      </c>
      <c r="C95" s="46" t="str">
        <f>IFERROR(LARGE($E$8:$E$55,36),"")</f>
        <v/>
      </c>
    </row>
    <row r="96" spans="1:3" x14ac:dyDescent="0.2">
      <c r="A96" s="49">
        <v>37</v>
      </c>
      <c r="B96" s="13" t="str">
        <f>IFERROR(INDEX($A$8:$A$55,MATCH(LARGE($E$8:$E$55,37),$E$8:$E$55,0)),"")</f>
        <v/>
      </c>
      <c r="C96" s="46" t="str">
        <f>IFERROR(LARGE($E$8:$E$55,37),"")</f>
        <v/>
      </c>
    </row>
    <row r="97" spans="1:3" x14ac:dyDescent="0.2">
      <c r="A97" s="49">
        <v>38</v>
      </c>
      <c r="B97" s="13" t="str">
        <f>IFERROR(INDEX($A$8:$A$55,MATCH(LARGE($E$8:$E$55,38),$E$8:$E$55,0)),"")</f>
        <v/>
      </c>
      <c r="C97" s="46" t="str">
        <f>IFERROR(LARGE($E$8:$E$55,38),"")</f>
        <v/>
      </c>
    </row>
    <row r="98" spans="1:3" x14ac:dyDescent="0.2">
      <c r="A98" s="49">
        <v>39</v>
      </c>
      <c r="B98" s="13" t="str">
        <f>IFERROR(INDEX($A$8:$A$55,MATCH(LARGE($E$8:$E$55,39),$E$8:$E$55,0)),"")</f>
        <v/>
      </c>
      <c r="C98" s="46" t="str">
        <f>IFERROR(LARGE($E$8:$E$55,39),"")</f>
        <v/>
      </c>
    </row>
    <row r="99" spans="1:3" x14ac:dyDescent="0.2">
      <c r="A99" s="49">
        <v>40</v>
      </c>
      <c r="B99" s="13" t="str">
        <f>IFERROR(INDEX($A$8:$A$55,MATCH(LARGE($E$8:$E$55,40),$E$8:$E$55,0)),"")</f>
        <v/>
      </c>
      <c r="C99" s="46" t="str">
        <f>IFERROR(LARGE($E$8:$E$55,40),"")</f>
        <v/>
      </c>
    </row>
    <row r="100" spans="1:3" x14ac:dyDescent="0.2">
      <c r="A100" s="49">
        <v>41</v>
      </c>
      <c r="B100" s="13" t="str">
        <f>IFERROR(INDEX($A$8:$A$55,MATCH(LARGE($E$8:$E$55,41),$E$8:$E$55,0)),"")</f>
        <v/>
      </c>
      <c r="C100" s="46" t="str">
        <f>IFERROR(LARGE($E$8:$E$55,41),"")</f>
        <v/>
      </c>
    </row>
    <row r="101" spans="1:3" x14ac:dyDescent="0.2">
      <c r="A101" s="49">
        <v>42</v>
      </c>
      <c r="B101" s="13" t="str">
        <f>IFERROR(INDEX($A$8:$A$55,MATCH(LARGE($E$8:$E$55,42),$E$8:$E$55,0)),"")</f>
        <v/>
      </c>
      <c r="C101" s="46" t="str">
        <f>IFERROR(LARGE($E$8:$E$55,42),"")</f>
        <v/>
      </c>
    </row>
    <row r="102" spans="1:3" x14ac:dyDescent="0.2">
      <c r="A102" s="49">
        <v>43</v>
      </c>
      <c r="B102" s="13" t="str">
        <f>IFERROR(INDEX($A$8:$A$55,MATCH(LARGE($E$8:$E$55,43),$E$8:$E$55,0)),"")</f>
        <v/>
      </c>
      <c r="C102" s="46" t="str">
        <f>IFERROR(LARGE($E$8:$E$55,43),"")</f>
        <v/>
      </c>
    </row>
    <row r="103" spans="1:3" x14ac:dyDescent="0.2">
      <c r="A103" s="49">
        <v>44</v>
      </c>
      <c r="B103" s="13" t="str">
        <f>IFERROR(INDEX($A$8:$A$55,MATCH(LARGE($E$8:$E$55,44),$E$8:$E$55,0)),"")</f>
        <v/>
      </c>
      <c r="C103" s="46" t="str">
        <f>IFERROR(LARGE($E$8:$E$55,44),"")</f>
        <v/>
      </c>
    </row>
    <row r="104" spans="1:3" x14ac:dyDescent="0.2">
      <c r="A104" s="49">
        <v>45</v>
      </c>
      <c r="B104" s="13" t="str">
        <f>IFERROR(INDEX($A$8:$A$55,MATCH(LARGE($E$8:$E$55,45),$E$8:$E$55,0)),"")</f>
        <v/>
      </c>
      <c r="C104" s="46" t="str">
        <f>IFERROR(LARGE($E$8:$E$55,45),"")</f>
        <v/>
      </c>
    </row>
    <row r="105" spans="1:3" x14ac:dyDescent="0.2">
      <c r="A105" s="49">
        <v>46</v>
      </c>
      <c r="B105" s="13" t="str">
        <f>IFERROR(INDEX($A$8:$A$55,MATCH(LARGE($E$8:$E$55,46),$E$8:$E$55,0)),"")</f>
        <v/>
      </c>
      <c r="C105" s="46" t="str">
        <f>IFERROR(LARGE($E$8:$E$55,46),"")</f>
        <v/>
      </c>
    </row>
    <row r="106" spans="1:3" x14ac:dyDescent="0.2">
      <c r="A106" s="49">
        <v>47</v>
      </c>
      <c r="B106" s="13" t="str">
        <f>IFERROR(INDEX($A$8:$A$55,MATCH(LARGE($E$8:$E$55,47),$E$8:$E$55,0)),"")</f>
        <v/>
      </c>
      <c r="C106" s="46" t="str">
        <f>IFERROR(LARGE($E$8:$E$55,47),"")</f>
        <v/>
      </c>
    </row>
    <row r="107" spans="1:3" x14ac:dyDescent="0.2">
      <c r="A107" s="49">
        <v>48</v>
      </c>
      <c r="B107" s="13" t="str">
        <f>IFERROR(INDEX($A$8:$A$55,MATCH(LARGE($E$8:$E$55,48),$E$8:$E$55,0)),"")</f>
        <v/>
      </c>
      <c r="C107" s="46" t="str">
        <f>IFERROR(LARGE($E$8:$E$55,48),"")</f>
        <v/>
      </c>
    </row>
  </sheetData>
  <mergeCells count="2">
    <mergeCell ref="A58:E58"/>
    <mergeCell ref="A1:G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_TenantList!$A$1:$A$106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A2D4A"/>
  </sheetPr>
  <dimension ref="A1:F106"/>
  <sheetViews>
    <sheetView workbookViewId="0">
      <pane ySplit="6" topLeftCell="A7" activePane="bottomLeft" state="frozen"/>
      <selection pane="bottomLeft" sqref="A1:F1"/>
    </sheetView>
  </sheetViews>
  <sheetFormatPr baseColWidth="10" defaultColWidth="8.83203125" defaultRowHeight="15" x14ac:dyDescent="0.2"/>
  <cols>
    <col min="1" max="1" width="30" customWidth="1"/>
    <col min="2" max="2" width="10" customWidth="1"/>
    <col min="3" max="6" width="14" customWidth="1"/>
  </cols>
  <sheetData>
    <row r="1" spans="1:6" ht="19" x14ac:dyDescent="0.25">
      <c r="A1" s="84" t="s">
        <v>151</v>
      </c>
      <c r="B1" s="83"/>
      <c r="C1" s="83"/>
      <c r="D1" s="83"/>
      <c r="E1" s="83"/>
      <c r="F1" s="83"/>
    </row>
    <row r="3" spans="1:6" ht="16" x14ac:dyDescent="0.2">
      <c r="A3" s="3" t="s">
        <v>152</v>
      </c>
      <c r="B3" s="50" t="s">
        <v>76</v>
      </c>
    </row>
    <row r="4" spans="1:6" x14ac:dyDescent="0.2">
      <c r="A4" s="3" t="s">
        <v>153</v>
      </c>
      <c r="B4" s="43">
        <f>COUNTIF(C7:C54,"&gt;0")</f>
        <v>48</v>
      </c>
    </row>
    <row r="6" spans="1:6" ht="16" x14ac:dyDescent="0.2">
      <c r="A6" s="33" t="s">
        <v>14</v>
      </c>
      <c r="B6" s="33" t="s">
        <v>106</v>
      </c>
      <c r="C6" s="33" t="s">
        <v>154</v>
      </c>
      <c r="D6" s="33" t="s">
        <v>155</v>
      </c>
      <c r="E6" s="33" t="s">
        <v>156</v>
      </c>
      <c r="F6" s="33" t="s">
        <v>157</v>
      </c>
    </row>
    <row r="7" spans="1:6" x14ac:dyDescent="0.2">
      <c r="A7" s="14" t="s">
        <v>55</v>
      </c>
      <c r="B7" s="18" t="str">
        <f>'Property Summary'!B2</f>
        <v>Y</v>
      </c>
      <c r="C7" s="18">
        <f>COUNTIFS('Tenant Data'!$A$2:$A$4674,"Clackamas Town Center",'Tenant Data'!$D$2:$D$4674,$B$3,'Tenant Data'!$F$2:$F$4674,"&gt;0",'Tenant Data'!$E$2:$E$4674,"&lt;10000")</f>
        <v>25</v>
      </c>
      <c r="D7" s="17">
        <f>SUMIFS('Tenant Data'!$E$2:$E$4674,'Tenant Data'!$A$2:$A$4674,"Clackamas Town Center",'Tenant Data'!$D$2:$D$4674,$B$3,'Tenant Data'!$F$2:$F$4674,"&gt;0",'Tenant Data'!$E$2:$E$4674,"&lt;10000")</f>
        <v>95702</v>
      </c>
      <c r="E7" s="15">
        <f>SUMIFS('Tenant Data'!$F$2:$F$4674,'Tenant Data'!$A$2:$A$4674,"Clackamas Town Center",'Tenant Data'!$D$2:$D$4674,$B$3,'Tenant Data'!$E$2:$E$4674,"&lt;10000")</f>
        <v>39543528</v>
      </c>
      <c r="F7" s="45">
        <f t="shared" ref="F7:F38" si="0">IFERROR(E7/D7,"")</f>
        <v>413.19437420325596</v>
      </c>
    </row>
    <row r="8" spans="1:6" x14ac:dyDescent="0.2">
      <c r="A8" s="9" t="s">
        <v>60</v>
      </c>
      <c r="B8" s="13" t="str">
        <f>'Property Summary'!B3</f>
        <v>Y</v>
      </c>
      <c r="C8" s="13">
        <f>COUNTIFS('Tenant Data'!$A$2:$A$4674,"Annapolis Mall",'Tenant Data'!$D$2:$D$4674,$B$3,'Tenant Data'!$F$2:$F$4674,"&gt;0",'Tenant Data'!$E$2:$E$4674,"&lt;10000")</f>
        <v>36</v>
      </c>
      <c r="D8" s="12">
        <f>SUMIFS('Tenant Data'!$E$2:$E$4674,'Tenant Data'!$A$2:$A$4674,"Annapolis Mall",'Tenant Data'!$D$2:$D$4674,$B$3,'Tenant Data'!$F$2:$F$4674,"&gt;0",'Tenant Data'!$E$2:$E$4674,"&lt;10000")</f>
        <v>124472</v>
      </c>
      <c r="E8" s="10">
        <f>SUMIFS('Tenant Data'!$F$2:$F$4674,'Tenant Data'!$A$2:$A$4674,"Annapolis Mall",'Tenant Data'!$D$2:$D$4674,$B$3,'Tenant Data'!$E$2:$E$4674,"&lt;10000")</f>
        <v>40670815.359999999</v>
      </c>
      <c r="F8" s="46">
        <f t="shared" si="0"/>
        <v>326.7467009447908</v>
      </c>
    </row>
    <row r="9" spans="1:6" x14ac:dyDescent="0.2">
      <c r="A9" s="9" t="s">
        <v>41</v>
      </c>
      <c r="B9" s="13" t="str">
        <f>'Property Summary'!B4</f>
        <v>Y</v>
      </c>
      <c r="C9" s="13">
        <f>COUNTIFS('Tenant Data'!$A$2:$A$4674,"Annapolis Town Center",'Tenant Data'!$D$2:$D$4674,$B$3,'Tenant Data'!$F$2:$F$4674,"&gt;0",'Tenant Data'!$E$2:$E$4674,"&lt;10000")</f>
        <v>2</v>
      </c>
      <c r="D9" s="12">
        <f>SUMIFS('Tenant Data'!$E$2:$E$4674,'Tenant Data'!$A$2:$A$4674,"Annapolis Town Center",'Tenant Data'!$D$2:$D$4674,$B$3,'Tenant Data'!$F$2:$F$4674,"&gt;0",'Tenant Data'!$E$2:$E$4674,"&lt;10000")</f>
        <v>7793</v>
      </c>
      <c r="E9" s="10">
        <f>SUMIFS('Tenant Data'!$F$2:$F$4674,'Tenant Data'!$A$2:$A$4674,"Annapolis Town Center",'Tenant Data'!$D$2:$D$4674,$B$3,'Tenant Data'!$E$2:$E$4674,"&lt;10000")</f>
        <v>3315511</v>
      </c>
      <c r="F9" s="46">
        <f t="shared" si="0"/>
        <v>425.44732452200691</v>
      </c>
    </row>
    <row r="10" spans="1:6" x14ac:dyDescent="0.2">
      <c r="A10" s="9" t="s">
        <v>54</v>
      </c>
      <c r="B10" s="13" t="str">
        <f>'Property Summary'!B5</f>
        <v>Y</v>
      </c>
      <c r="C10" s="13">
        <f>COUNTIFS('Tenant Data'!$A$2:$A$4674,"Arden Fair Mall",'Tenant Data'!$D$2:$D$4674,$B$3,'Tenant Data'!$F$2:$F$4674,"&gt;0",'Tenant Data'!$E$2:$E$4674,"&lt;10000")</f>
        <v>32</v>
      </c>
      <c r="D10" s="12">
        <f>SUMIFS('Tenant Data'!$E$2:$E$4674,'Tenant Data'!$A$2:$A$4674,"Arden Fair Mall",'Tenant Data'!$D$2:$D$4674,$B$3,'Tenant Data'!$F$2:$F$4674,"&gt;0",'Tenant Data'!$E$2:$E$4674,"&lt;10000")</f>
        <v>112833</v>
      </c>
      <c r="E10" s="10">
        <f>SUMIFS('Tenant Data'!$F$2:$F$4674,'Tenant Data'!$A$2:$A$4674,"Arden Fair Mall",'Tenant Data'!$D$2:$D$4674,$B$3,'Tenant Data'!$E$2:$E$4674,"&lt;10000")</f>
        <v>58828912</v>
      </c>
      <c r="F10" s="46">
        <f t="shared" si="0"/>
        <v>521.38037630834947</v>
      </c>
    </row>
    <row r="11" spans="1:6" x14ac:dyDescent="0.2">
      <c r="A11" s="9" t="s">
        <v>21</v>
      </c>
      <c r="B11" s="13" t="str">
        <f>'Property Summary'!B6</f>
        <v>Y</v>
      </c>
      <c r="C11" s="13">
        <f>COUNTIFS('Tenant Data'!$A$2:$A$4674,"Belmar",'Tenant Data'!$D$2:$D$4674,$B$3,'Tenant Data'!$F$2:$F$4674,"&gt;0",'Tenant Data'!$E$2:$E$4674,"&lt;10000")</f>
        <v>5</v>
      </c>
      <c r="D11" s="12">
        <f>SUMIFS('Tenant Data'!$E$2:$E$4674,'Tenant Data'!$A$2:$A$4674,"Belmar",'Tenant Data'!$D$2:$D$4674,$B$3,'Tenant Data'!$F$2:$F$4674,"&gt;0",'Tenant Data'!$E$2:$E$4674,"&lt;10000")</f>
        <v>19325</v>
      </c>
      <c r="E11" s="10">
        <f>SUMIFS('Tenant Data'!$F$2:$F$4674,'Tenant Data'!$A$2:$A$4674,"Belmar",'Tenant Data'!$D$2:$D$4674,$B$3,'Tenant Data'!$E$2:$E$4674,"&lt;10000")</f>
        <v>3468669.81</v>
      </c>
      <c r="F11" s="46">
        <f t="shared" si="0"/>
        <v>179.49132263906856</v>
      </c>
    </row>
    <row r="12" spans="1:6" x14ac:dyDescent="0.2">
      <c r="A12" s="9" t="s">
        <v>32</v>
      </c>
      <c r="B12" s="13" t="str">
        <f>'Property Summary'!B7</f>
        <v>Y</v>
      </c>
      <c r="C12" s="13">
        <f>COUNTIFS('Tenant Data'!$A$2:$A$4674,"Brandon Exchange",'Tenant Data'!$D$2:$D$4674,$B$3,'Tenant Data'!$F$2:$F$4674,"&gt;0",'Tenant Data'!$E$2:$E$4674,"&lt;10000")</f>
        <v>32</v>
      </c>
      <c r="D12" s="12">
        <f>SUMIFS('Tenant Data'!$E$2:$E$4674,'Tenant Data'!$A$2:$A$4674,"Brandon Exchange",'Tenant Data'!$D$2:$D$4674,$B$3,'Tenant Data'!$F$2:$F$4674,"&gt;0",'Tenant Data'!$E$2:$E$4674,"&lt;10000")</f>
        <v>128917</v>
      </c>
      <c r="E12" s="10">
        <f>SUMIFS('Tenant Data'!$F$2:$F$4674,'Tenant Data'!$A$2:$A$4674,"Brandon Exchange",'Tenant Data'!$D$2:$D$4674,$B$3,'Tenant Data'!$E$2:$E$4674,"&lt;10000")</f>
        <v>52760542.039999999</v>
      </c>
      <c r="F12" s="46">
        <f t="shared" si="0"/>
        <v>409.25977210142958</v>
      </c>
    </row>
    <row r="13" spans="1:6" x14ac:dyDescent="0.2">
      <c r="A13" s="9" t="s">
        <v>68</v>
      </c>
      <c r="B13" s="13" t="str">
        <f>'Property Summary'!B8</f>
        <v>Y</v>
      </c>
      <c r="C13" s="13">
        <f>COUNTIFS('Tenant Data'!$A$2:$A$4674,"Briarwood Mall",'Tenant Data'!$D$2:$D$4674,$B$3,'Tenant Data'!$F$2:$F$4674,"&gt;0",'Tenant Data'!$E$2:$E$4674,"&lt;10000")</f>
        <v>25</v>
      </c>
      <c r="D13" s="12">
        <f>SUMIFS('Tenant Data'!$E$2:$E$4674,'Tenant Data'!$A$2:$A$4674,"Briarwood Mall",'Tenant Data'!$D$2:$D$4674,$B$3,'Tenant Data'!$F$2:$F$4674,"&gt;0",'Tenant Data'!$E$2:$E$4674,"&lt;10000")</f>
        <v>98694</v>
      </c>
      <c r="E13" s="10">
        <f>SUMIFS('Tenant Data'!$F$2:$F$4674,'Tenant Data'!$A$2:$A$4674,"Briarwood Mall",'Tenant Data'!$D$2:$D$4674,$B$3,'Tenant Data'!$E$2:$E$4674,"&lt;10000")</f>
        <v>2461300</v>
      </c>
      <c r="F13" s="46">
        <f t="shared" si="0"/>
        <v>24.938699414351429</v>
      </c>
    </row>
    <row r="14" spans="1:6" x14ac:dyDescent="0.2">
      <c r="A14" s="9" t="s">
        <v>23</v>
      </c>
      <c r="B14" s="13" t="str">
        <f>'Property Summary'!B9</f>
        <v>Y</v>
      </c>
      <c r="C14" s="13">
        <f>COUNTIFS('Tenant Data'!$A$2:$A$4674,"Bridge Street Towne Centre",'Tenant Data'!$D$2:$D$4674,$B$3,'Tenant Data'!$F$2:$F$4674,"&gt;0",'Tenant Data'!$E$2:$E$4674,"&lt;10000")</f>
        <v>16</v>
      </c>
      <c r="D14" s="12">
        <f>SUMIFS('Tenant Data'!$E$2:$E$4674,'Tenant Data'!$A$2:$A$4674,"Bridge Street Towne Centre",'Tenant Data'!$D$2:$D$4674,$B$3,'Tenant Data'!$F$2:$F$4674,"&gt;0",'Tenant Data'!$E$2:$E$4674,"&lt;10000")</f>
        <v>67517</v>
      </c>
      <c r="E14" s="10">
        <f>SUMIFS('Tenant Data'!$F$2:$F$4674,'Tenant Data'!$A$2:$A$4674,"Bridge Street Towne Centre",'Tenant Data'!$D$2:$D$4674,$B$3,'Tenant Data'!$E$2:$E$4674,"&lt;10000")</f>
        <v>28653133</v>
      </c>
      <c r="F14" s="46">
        <f t="shared" si="0"/>
        <v>424.38397736866273</v>
      </c>
    </row>
    <row r="15" spans="1:6" x14ac:dyDescent="0.2">
      <c r="A15" s="9" t="s">
        <v>53</v>
      </c>
      <c r="B15" s="13" t="str">
        <f>'Property Summary'!B10</f>
        <v>Y</v>
      </c>
      <c r="C15" s="13">
        <f>COUNTIFS('Tenant Data'!$A$2:$A$4674,"Bridgewater Commons",'Tenant Data'!$D$2:$D$4674,$B$3,'Tenant Data'!$F$2:$F$4674,"&gt;0",'Tenant Data'!$E$2:$E$4674,"&lt;10000")</f>
        <v>39</v>
      </c>
      <c r="D15" s="12">
        <f>SUMIFS('Tenant Data'!$E$2:$E$4674,'Tenant Data'!$A$2:$A$4674,"Bridgewater Commons",'Tenant Data'!$D$2:$D$4674,$B$3,'Tenant Data'!$F$2:$F$4674,"&gt;0",'Tenant Data'!$E$2:$E$4674,"&lt;10000")</f>
        <v>129945</v>
      </c>
      <c r="E15" s="10">
        <f>SUMIFS('Tenant Data'!$F$2:$F$4674,'Tenant Data'!$A$2:$A$4674,"Bridgewater Commons",'Tenant Data'!$D$2:$D$4674,$B$3,'Tenant Data'!$E$2:$E$4674,"&lt;10000")</f>
        <v>59198033</v>
      </c>
      <c r="F15" s="46">
        <f t="shared" si="0"/>
        <v>455.56222247874098</v>
      </c>
    </row>
    <row r="16" spans="1:6" x14ac:dyDescent="0.2">
      <c r="A16" s="9" t="s">
        <v>45</v>
      </c>
      <c r="B16" s="13" t="str">
        <f>'Property Summary'!B11</f>
        <v>Y</v>
      </c>
      <c r="C16" s="13">
        <f>COUNTIFS('Tenant Data'!$A$2:$A$4674,"Capital City Mall",'Tenant Data'!$D$2:$D$4674,$B$3,'Tenant Data'!$F$2:$F$4674,"&gt;0",'Tenant Data'!$E$2:$E$4674,"&lt;10000")</f>
        <v>16</v>
      </c>
      <c r="D16" s="12">
        <f>SUMIFS('Tenant Data'!$E$2:$E$4674,'Tenant Data'!$A$2:$A$4674,"Capital City Mall",'Tenant Data'!$D$2:$D$4674,$B$3,'Tenant Data'!$F$2:$F$4674,"&gt;0",'Tenant Data'!$E$2:$E$4674,"&lt;10000")</f>
        <v>61066</v>
      </c>
      <c r="E16" s="10">
        <f>SUMIFS('Tenant Data'!$F$2:$F$4674,'Tenant Data'!$A$2:$A$4674,"Capital City Mall",'Tenant Data'!$D$2:$D$4674,$B$3,'Tenant Data'!$E$2:$E$4674,"&lt;10000")</f>
        <v>21246685.740000006</v>
      </c>
      <c r="F16" s="46">
        <f t="shared" si="0"/>
        <v>347.92987488946397</v>
      </c>
    </row>
    <row r="17" spans="1:6" x14ac:dyDescent="0.2">
      <c r="A17" s="9" t="s">
        <v>42</v>
      </c>
      <c r="B17" s="13" t="str">
        <f>'Property Summary'!B12</f>
        <v>Y</v>
      </c>
      <c r="C17" s="13">
        <f>COUNTIFS('Tenant Data'!$A$2:$A$4674,"Coastal Grand Mall",'Tenant Data'!$D$2:$D$4674,$B$3,'Tenant Data'!$F$2:$F$4674,"&gt;0",'Tenant Data'!$E$2:$E$4674,"&lt;10000")</f>
        <v>22</v>
      </c>
      <c r="D17" s="12">
        <f>SUMIFS('Tenant Data'!$E$2:$E$4674,'Tenant Data'!$A$2:$A$4674,"Coastal Grand Mall",'Tenant Data'!$D$2:$D$4674,$B$3,'Tenant Data'!$F$2:$F$4674,"&gt;0",'Tenant Data'!$E$2:$E$4674,"&lt;10000")</f>
        <v>99474</v>
      </c>
      <c r="E17" s="10">
        <f>SUMIFS('Tenant Data'!$F$2:$F$4674,'Tenant Data'!$A$2:$A$4674,"Coastal Grand Mall",'Tenant Data'!$D$2:$D$4674,$B$3,'Tenant Data'!$E$2:$E$4674,"&lt;10000")</f>
        <v>30000421.199999999</v>
      </c>
      <c r="F17" s="46">
        <f t="shared" si="0"/>
        <v>301.59057844260809</v>
      </c>
    </row>
    <row r="18" spans="1:6" x14ac:dyDescent="0.2">
      <c r="A18" s="9" t="s">
        <v>49</v>
      </c>
      <c r="B18" s="13" t="str">
        <f>'Property Summary'!B13</f>
        <v>Y</v>
      </c>
      <c r="C18" s="13">
        <f>COUNTIFS('Tenant Data'!$A$2:$A$4674,"CoolSprings Galleria",'Tenant Data'!$D$2:$D$4674,$B$3,'Tenant Data'!$F$2:$F$4674,"&gt;0",'Tenant Data'!$E$2:$E$4674,"&lt;10000")</f>
        <v>33</v>
      </c>
      <c r="D18" s="12">
        <f>SUMIFS('Tenant Data'!$E$2:$E$4674,'Tenant Data'!$A$2:$A$4674,"CoolSprings Galleria",'Tenant Data'!$D$2:$D$4674,$B$3,'Tenant Data'!$F$2:$F$4674,"&gt;0",'Tenant Data'!$E$2:$E$4674,"&lt;10000")</f>
        <v>124374</v>
      </c>
      <c r="E18" s="10">
        <f>SUMIFS('Tenant Data'!$F$2:$F$4674,'Tenant Data'!$A$2:$A$4674,"CoolSprings Galleria",'Tenant Data'!$D$2:$D$4674,$B$3,'Tenant Data'!$E$2:$E$4674,"&lt;10000")</f>
        <v>47933250.139999993</v>
      </c>
      <c r="F18" s="46">
        <f t="shared" si="0"/>
        <v>385.39606461157473</v>
      </c>
    </row>
    <row r="19" spans="1:6" x14ac:dyDescent="0.2">
      <c r="A19" s="9" t="s">
        <v>50</v>
      </c>
      <c r="B19" s="13" t="str">
        <f>'Property Summary'!B14</f>
        <v>Y</v>
      </c>
      <c r="C19" s="13">
        <f>COUNTIFS('Tenant Data'!$A$2:$A$4674,"Crabtree Valley Mall",'Tenant Data'!$D$2:$D$4674,$B$3,'Tenant Data'!$F$2:$F$4674,"&gt;0",'Tenant Data'!$E$2:$E$4674,"&lt;10000")</f>
        <v>32</v>
      </c>
      <c r="D19" s="12">
        <f>SUMIFS('Tenant Data'!$E$2:$E$4674,'Tenant Data'!$A$2:$A$4674,"Crabtree Valley Mall",'Tenant Data'!$D$2:$D$4674,$B$3,'Tenant Data'!$F$2:$F$4674,"&gt;0",'Tenant Data'!$E$2:$E$4674,"&lt;10000")</f>
        <v>122540</v>
      </c>
      <c r="E19" s="10">
        <f>SUMIFS('Tenant Data'!$F$2:$F$4674,'Tenant Data'!$A$2:$A$4674,"Crabtree Valley Mall",'Tenant Data'!$D$2:$D$4674,$B$3,'Tenant Data'!$E$2:$E$4674,"&lt;10000")</f>
        <v>65407476</v>
      </c>
      <c r="F19" s="46">
        <f t="shared" si="0"/>
        <v>533.76428921168599</v>
      </c>
    </row>
    <row r="20" spans="1:6" x14ac:dyDescent="0.2">
      <c r="A20" s="9" t="s">
        <v>59</v>
      </c>
      <c r="B20" s="13" t="str">
        <f>'Property Summary'!B15</f>
        <v>Y</v>
      </c>
      <c r="C20" s="13">
        <f>COUNTIFS('Tenant Data'!$A$2:$A$4674,"Cross Creek Mall",'Tenant Data'!$D$2:$D$4674,$B$3,'Tenant Data'!$F$2:$F$4674,"&gt;0",'Tenant Data'!$E$2:$E$4674,"&lt;10000")</f>
        <v>24</v>
      </c>
      <c r="D20" s="12">
        <f>SUMIFS('Tenant Data'!$E$2:$E$4674,'Tenant Data'!$A$2:$A$4674,"Cross Creek Mall",'Tenant Data'!$D$2:$D$4674,$B$3,'Tenant Data'!$F$2:$F$4674,"&gt;0",'Tenant Data'!$E$2:$E$4674,"&lt;10000")</f>
        <v>102781</v>
      </c>
      <c r="E20" s="10">
        <f>SUMIFS('Tenant Data'!$F$2:$F$4674,'Tenant Data'!$A$2:$A$4674,"Cross Creek Mall",'Tenant Data'!$D$2:$D$4674,$B$3,'Tenant Data'!$E$2:$E$4674,"&lt;10000")</f>
        <v>33623799.600000001</v>
      </c>
      <c r="F20" s="46">
        <f t="shared" si="0"/>
        <v>327.14022630641853</v>
      </c>
    </row>
    <row r="21" spans="1:6" x14ac:dyDescent="0.2">
      <c r="A21" s="9" t="s">
        <v>35</v>
      </c>
      <c r="B21" s="13" t="str">
        <f>'Property Summary'!B16</f>
        <v>Y</v>
      </c>
      <c r="C21" s="13">
        <f>COUNTIFS('Tenant Data'!$A$2:$A$4674,"Crossgates Center",'Tenant Data'!$D$2:$D$4674,$B$3,'Tenant Data'!$F$2:$F$4674,"&gt;0",'Tenant Data'!$E$2:$E$4674,"&lt;10000")</f>
        <v>27</v>
      </c>
      <c r="D21" s="12">
        <f>SUMIFS('Tenant Data'!$E$2:$E$4674,'Tenant Data'!$A$2:$A$4674,"Crossgates Center",'Tenant Data'!$D$2:$D$4674,$B$3,'Tenant Data'!$F$2:$F$4674,"&gt;0",'Tenant Data'!$E$2:$E$4674,"&lt;10000")</f>
        <v>126360</v>
      </c>
      <c r="E21" s="10">
        <f>SUMIFS('Tenant Data'!$F$2:$F$4674,'Tenant Data'!$A$2:$A$4674,"Crossgates Center",'Tenant Data'!$D$2:$D$4674,$B$3,'Tenant Data'!$E$2:$E$4674,"&lt;10000")</f>
        <v>52428212.950000003</v>
      </c>
      <c r="F21" s="46">
        <f t="shared" si="0"/>
        <v>414.91146684077245</v>
      </c>
    </row>
    <row r="22" spans="1:6" x14ac:dyDescent="0.2">
      <c r="A22" s="9" t="s">
        <v>52</v>
      </c>
      <c r="B22" s="13" t="str">
        <f>'Property Summary'!B17</f>
        <v>Y</v>
      </c>
      <c r="C22" s="13">
        <f>COUNTIFS('Tenant Data'!$A$2:$A$4674,"Destiny USA",'Tenant Data'!$D$2:$D$4674,$B$3,'Tenant Data'!$F$2:$F$4674,"&gt;0",'Tenant Data'!$E$2:$E$4674,"&lt;10000")</f>
        <v>41</v>
      </c>
      <c r="D22" s="12">
        <f>SUMIFS('Tenant Data'!$E$2:$E$4674,'Tenant Data'!$A$2:$A$4674,"Destiny USA",'Tenant Data'!$D$2:$D$4674,$B$3,'Tenant Data'!$F$2:$F$4674,"&gt;0",'Tenant Data'!$E$2:$E$4674,"&lt;10000")</f>
        <v>177924</v>
      </c>
      <c r="E22" s="10">
        <f>SUMIFS('Tenant Data'!$F$2:$F$4674,'Tenant Data'!$A$2:$A$4674,"Destiny USA",'Tenant Data'!$D$2:$D$4674,$B$3,'Tenant Data'!$E$2:$E$4674,"&lt;10000")</f>
        <v>59494875.900000006</v>
      </c>
      <c r="F22" s="46">
        <f t="shared" si="0"/>
        <v>334.3836463883456</v>
      </c>
    </row>
    <row r="23" spans="1:6" x14ac:dyDescent="0.2">
      <c r="A23" s="9" t="s">
        <v>44</v>
      </c>
      <c r="B23" s="13" t="str">
        <f>'Property Summary'!B18</f>
        <v>Y</v>
      </c>
      <c r="C23" s="13">
        <f>COUNTIFS('Tenant Data'!$A$2:$A$4674,"Fayette Mall",'Tenant Data'!$D$2:$D$4674,$B$3,'Tenant Data'!$F$2:$F$4674,"&gt;0",'Tenant Data'!$E$2:$E$4674,"&lt;10000")</f>
        <v>35</v>
      </c>
      <c r="D23" s="12">
        <f>SUMIFS('Tenant Data'!$E$2:$E$4674,'Tenant Data'!$A$2:$A$4674,"Fayette Mall",'Tenant Data'!$D$2:$D$4674,$B$3,'Tenant Data'!$F$2:$F$4674,"&gt;0",'Tenant Data'!$E$2:$E$4674,"&lt;10000")</f>
        <v>147018</v>
      </c>
      <c r="E23" s="10">
        <f>SUMIFS('Tenant Data'!$F$2:$F$4674,'Tenant Data'!$A$2:$A$4674,"Fayette Mall",'Tenant Data'!$D$2:$D$4674,$B$3,'Tenant Data'!$E$2:$E$4674,"&lt;10000")</f>
        <v>59566882.470000014</v>
      </c>
      <c r="F23" s="46">
        <f t="shared" si="0"/>
        <v>405.16727523160438</v>
      </c>
    </row>
    <row r="24" spans="1:6" x14ac:dyDescent="0.2">
      <c r="A24" s="9" t="s">
        <v>58</v>
      </c>
      <c r="B24" s="13" t="str">
        <f>'Property Summary'!B19</f>
        <v>Y</v>
      </c>
      <c r="C24" s="13">
        <f>COUNTIFS('Tenant Data'!$A$2:$A$4674,"Galleria at Tyler",'Tenant Data'!$D$2:$D$4674,$B$3,'Tenant Data'!$F$2:$F$4674,"&gt;0",'Tenant Data'!$E$2:$E$4674,"&lt;10000")</f>
        <v>29</v>
      </c>
      <c r="D24" s="12">
        <f>SUMIFS('Tenant Data'!$E$2:$E$4674,'Tenant Data'!$A$2:$A$4674,"Galleria at Tyler",'Tenant Data'!$D$2:$D$4674,$B$3,'Tenant Data'!$F$2:$F$4674,"&gt;0",'Tenant Data'!$E$2:$E$4674,"&lt;10000")</f>
        <v>102805</v>
      </c>
      <c r="E24" s="10">
        <f>SUMIFS('Tenant Data'!$F$2:$F$4674,'Tenant Data'!$A$2:$A$4674,"Galleria at Tyler",'Tenant Data'!$D$2:$D$4674,$B$3,'Tenant Data'!$E$2:$E$4674,"&lt;10000")</f>
        <v>32783728</v>
      </c>
      <c r="F24" s="46">
        <f t="shared" si="0"/>
        <v>318.89234959389137</v>
      </c>
    </row>
    <row r="25" spans="1:6" x14ac:dyDescent="0.2">
      <c r="A25" s="9" t="s">
        <v>28</v>
      </c>
      <c r="B25" s="13" t="str">
        <f>'Property Summary'!B20</f>
        <v>Y</v>
      </c>
      <c r="C25" s="13">
        <f>COUNTIFS('Tenant Data'!$A$2:$A$4674,"Hamilton Place Mall",'Tenant Data'!$D$2:$D$4674,$B$3,'Tenant Data'!$F$2:$F$4674,"&gt;0",'Tenant Data'!$E$2:$E$4674,"&lt;10000")</f>
        <v>27</v>
      </c>
      <c r="D25" s="12">
        <f>SUMIFS('Tenant Data'!$E$2:$E$4674,'Tenant Data'!$A$2:$A$4674,"Hamilton Place Mall",'Tenant Data'!$D$2:$D$4674,$B$3,'Tenant Data'!$F$2:$F$4674,"&gt;0",'Tenant Data'!$E$2:$E$4674,"&lt;10000")</f>
        <v>121920</v>
      </c>
      <c r="E25" s="10">
        <f>SUMIFS('Tenant Data'!$F$2:$F$4674,'Tenant Data'!$A$2:$A$4674,"Hamilton Place Mall",'Tenant Data'!$D$2:$D$4674,$B$3,'Tenant Data'!$E$2:$E$4674,"&lt;10000")</f>
        <v>44256195.620000012</v>
      </c>
      <c r="F25" s="46">
        <f t="shared" si="0"/>
        <v>362.99373047900275</v>
      </c>
    </row>
    <row r="26" spans="1:6" x14ac:dyDescent="0.2">
      <c r="A26" s="9" t="s">
        <v>40</v>
      </c>
      <c r="B26" s="13" t="str">
        <f>'Property Summary'!B21</f>
        <v>Y</v>
      </c>
      <c r="C26" s="13">
        <f>COUNTIFS('Tenant Data'!$A$2:$A$4674,"Hanes Mall",'Tenant Data'!$D$2:$D$4674,$B$3,'Tenant Data'!$F$2:$F$4674,"&gt;0",'Tenant Data'!$E$2:$E$4674,"&lt;10000")</f>
        <v>26</v>
      </c>
      <c r="D26" s="12">
        <f>SUMIFS('Tenant Data'!$E$2:$E$4674,'Tenant Data'!$A$2:$A$4674,"Hanes Mall",'Tenant Data'!$D$2:$D$4674,$B$3,'Tenant Data'!$F$2:$F$4674,"&gt;0",'Tenant Data'!$E$2:$E$4674,"&lt;10000")</f>
        <v>114377</v>
      </c>
      <c r="E26" s="10">
        <f>SUMIFS('Tenant Data'!$F$2:$F$4674,'Tenant Data'!$A$2:$A$4674,"Hanes Mall",'Tenant Data'!$D$2:$D$4674,$B$3,'Tenant Data'!$E$2:$E$4674,"&lt;10000")</f>
        <v>34524102.579999998</v>
      </c>
      <c r="F26" s="46">
        <f t="shared" si="0"/>
        <v>301.84479904176538</v>
      </c>
    </row>
    <row r="27" spans="1:6" x14ac:dyDescent="0.2">
      <c r="A27" s="9" t="s">
        <v>51</v>
      </c>
      <c r="B27" s="13" t="str">
        <f>'Property Summary'!B22</f>
        <v>Y</v>
      </c>
      <c r="C27" s="13">
        <f>COUNTIFS('Tenant Data'!$A$2:$A$4674,"Kansas City Collection",'Tenant Data'!$D$2:$D$4674,$B$3,'Tenant Data'!$F$2:$F$4674,"&gt;0",'Tenant Data'!$E$2:$E$4674,"&lt;10000")</f>
        <v>23</v>
      </c>
      <c r="D27" s="12">
        <f>SUMIFS('Tenant Data'!$E$2:$E$4674,'Tenant Data'!$A$2:$A$4674,"Kansas City Collection",'Tenant Data'!$D$2:$D$4674,$B$3,'Tenant Data'!$F$2:$F$4674,"&gt;0",'Tenant Data'!$E$2:$E$4674,"&lt;10000")</f>
        <v>100797</v>
      </c>
      <c r="E27" s="10">
        <f>SUMIFS('Tenant Data'!$F$2:$F$4674,'Tenant Data'!$A$2:$A$4674,"Kansas City Collection",'Tenant Data'!$D$2:$D$4674,$B$3,'Tenant Data'!$E$2:$E$4674,"&lt;10000")</f>
        <v>51789897.853636362</v>
      </c>
      <c r="F27" s="46">
        <f t="shared" si="0"/>
        <v>513.80396096745301</v>
      </c>
    </row>
    <row r="28" spans="1:6" x14ac:dyDescent="0.2">
      <c r="A28" s="9" t="s">
        <v>22</v>
      </c>
      <c r="B28" s="13" t="str">
        <f>'Property Summary'!B23</f>
        <v>Y</v>
      </c>
      <c r="C28" s="13">
        <f>COUNTIFS('Tenant Data'!$A$2:$A$4674,"LaCenterra at Cinco Ranch",'Tenant Data'!$D$2:$D$4674,$B$3,'Tenant Data'!$F$2:$F$4674,"&gt;0",'Tenant Data'!$E$2:$E$4674,"&lt;10000")</f>
        <v>12</v>
      </c>
      <c r="D28" s="12">
        <f>SUMIFS('Tenant Data'!$E$2:$E$4674,'Tenant Data'!$A$2:$A$4674,"LaCenterra at Cinco Ranch",'Tenant Data'!$D$2:$D$4674,$B$3,'Tenant Data'!$F$2:$F$4674,"&gt;0",'Tenant Data'!$E$2:$E$4674,"&lt;10000")</f>
        <v>44232</v>
      </c>
      <c r="E28" s="10">
        <f>SUMIFS('Tenant Data'!$F$2:$F$4674,'Tenant Data'!$A$2:$A$4674,"LaCenterra at Cinco Ranch",'Tenant Data'!$D$2:$D$4674,$B$3,'Tenant Data'!$E$2:$E$4674,"&lt;10000")</f>
        <v>23671807</v>
      </c>
      <c r="F28" s="46">
        <f t="shared" si="0"/>
        <v>535.17378820763247</v>
      </c>
    </row>
    <row r="29" spans="1:6" x14ac:dyDescent="0.2">
      <c r="A29" s="9" t="s">
        <v>37</v>
      </c>
      <c r="B29" s="13" t="str">
        <f>'Property Summary'!B24</f>
        <v>Y</v>
      </c>
      <c r="C29" s="13">
        <f>COUNTIFS('Tenant Data'!$A$2:$A$4674,"Liberty Center",'Tenant Data'!$D$2:$D$4674,$B$3,'Tenant Data'!$F$2:$F$4674,"&gt;0",'Tenant Data'!$E$2:$E$4674,"&lt;10000")</f>
        <v>22</v>
      </c>
      <c r="D29" s="12">
        <f>SUMIFS('Tenant Data'!$E$2:$E$4674,'Tenant Data'!$A$2:$A$4674,"Liberty Center",'Tenant Data'!$D$2:$D$4674,$B$3,'Tenant Data'!$F$2:$F$4674,"&gt;0",'Tenant Data'!$E$2:$E$4674,"&lt;10000")</f>
        <v>81489</v>
      </c>
      <c r="E29" s="10">
        <f>SUMIFS('Tenant Data'!$F$2:$F$4674,'Tenant Data'!$A$2:$A$4674,"Liberty Center",'Tenant Data'!$D$2:$D$4674,$B$3,'Tenant Data'!$E$2:$E$4674,"&lt;10000")</f>
        <v>19185407</v>
      </c>
      <c r="F29" s="46">
        <f t="shared" si="0"/>
        <v>235.43554344758189</v>
      </c>
    </row>
    <row r="30" spans="1:6" x14ac:dyDescent="0.2">
      <c r="A30" s="9" t="s">
        <v>26</v>
      </c>
      <c r="B30" s="13" t="str">
        <f>'Property Summary'!B25</f>
        <v>Y</v>
      </c>
      <c r="C30" s="13">
        <f>COUNTIFS('Tenant Data'!$A$2:$A$4674,"Mall at Partridge Creek",'Tenant Data'!$D$2:$D$4674,$B$3,'Tenant Data'!$F$2:$F$4674,"&gt;0",'Tenant Data'!$E$2:$E$4674,"&lt;10000")</f>
        <v>26</v>
      </c>
      <c r="D30" s="12">
        <f>SUMIFS('Tenant Data'!$E$2:$E$4674,'Tenant Data'!$A$2:$A$4674,"Mall at Partridge Creek",'Tenant Data'!$D$2:$D$4674,$B$3,'Tenant Data'!$F$2:$F$4674,"&gt;0",'Tenant Data'!$E$2:$E$4674,"&lt;10000")</f>
        <v>105311</v>
      </c>
      <c r="E30" s="10">
        <f>SUMIFS('Tenant Data'!$F$2:$F$4674,'Tenant Data'!$A$2:$A$4674,"Mall at Partridge Creek",'Tenant Data'!$D$2:$D$4674,$B$3,'Tenant Data'!$E$2:$E$4674,"&lt;10000")</f>
        <v>29182548.549999997</v>
      </c>
      <c r="F30" s="46">
        <f t="shared" si="0"/>
        <v>277.1082655183219</v>
      </c>
    </row>
    <row r="31" spans="1:6" x14ac:dyDescent="0.2">
      <c r="A31" s="9" t="s">
        <v>63</v>
      </c>
      <c r="B31" s="13" t="str">
        <f>'Property Summary'!B26</f>
        <v>Y</v>
      </c>
      <c r="C31" s="13">
        <f>COUNTIFS('Tenant Data'!$A$2:$A$4674,"Mall at Prince Georges",'Tenant Data'!$D$2:$D$4674,$B$3,'Tenant Data'!$F$2:$F$4674,"&gt;0",'Tenant Data'!$E$2:$E$4674,"&lt;10000")</f>
        <v>11</v>
      </c>
      <c r="D31" s="12">
        <f>SUMIFS('Tenant Data'!$E$2:$E$4674,'Tenant Data'!$A$2:$A$4674,"Mall at Prince Georges",'Tenant Data'!$D$2:$D$4674,$B$3,'Tenant Data'!$F$2:$F$4674,"&gt;0",'Tenant Data'!$E$2:$E$4674,"&lt;10000")</f>
        <v>48003</v>
      </c>
      <c r="E31" s="10">
        <f>SUMIFS('Tenant Data'!$F$2:$F$4674,'Tenant Data'!$A$2:$A$4674,"Mall at Prince Georges",'Tenant Data'!$D$2:$D$4674,$B$3,'Tenant Data'!$E$2:$E$4674,"&lt;10000")</f>
        <v>14326859</v>
      </c>
      <c r="F31" s="46">
        <f t="shared" si="0"/>
        <v>298.45757556819365</v>
      </c>
    </row>
    <row r="32" spans="1:6" x14ac:dyDescent="0.2">
      <c r="A32" s="9" t="s">
        <v>25</v>
      </c>
      <c r="B32" s="13" t="str">
        <f>'Property Summary'!B27</f>
        <v>Y</v>
      </c>
      <c r="C32" s="13">
        <f>COUNTIFS('Tenant Data'!$A$2:$A$4674,"Mall at Wellington Green",'Tenant Data'!$D$2:$D$4674,$B$3,'Tenant Data'!$F$2:$F$4674,"&gt;0",'Tenant Data'!$E$2:$E$4674,"&lt;10000")</f>
        <v>22</v>
      </c>
      <c r="D32" s="12">
        <f>SUMIFS('Tenant Data'!$E$2:$E$4674,'Tenant Data'!$A$2:$A$4674,"Mall at Wellington Green",'Tenant Data'!$D$2:$D$4674,$B$3,'Tenant Data'!$F$2:$F$4674,"&gt;0",'Tenant Data'!$E$2:$E$4674,"&lt;10000")</f>
        <v>82974</v>
      </c>
      <c r="E32" s="10">
        <f>SUMIFS('Tenant Data'!$F$2:$F$4674,'Tenant Data'!$A$2:$A$4674,"Mall at Wellington Green",'Tenant Data'!$D$2:$D$4674,$B$3,'Tenant Data'!$E$2:$E$4674,"&lt;10000")</f>
        <v>21675096.969999999</v>
      </c>
      <c r="F32" s="46">
        <f t="shared" si="0"/>
        <v>261.22757695181622</v>
      </c>
    </row>
    <row r="33" spans="1:6" x14ac:dyDescent="0.2">
      <c r="A33" s="9" t="s">
        <v>43</v>
      </c>
      <c r="B33" s="13" t="str">
        <f>'Property Summary'!B28</f>
        <v>Y</v>
      </c>
      <c r="C33" s="13">
        <f>COUNTIFS('Tenant Data'!$A$2:$A$4674,"Mall del Norte",'Tenant Data'!$D$2:$D$4674,$B$3,'Tenant Data'!$F$2:$F$4674,"&gt;0",'Tenant Data'!$E$2:$E$4674,"&lt;10000")</f>
        <v>13</v>
      </c>
      <c r="D33" s="12">
        <f>SUMIFS('Tenant Data'!$E$2:$E$4674,'Tenant Data'!$A$2:$A$4674,"Mall del Norte",'Tenant Data'!$D$2:$D$4674,$B$3,'Tenant Data'!$F$2:$F$4674,"&gt;0",'Tenant Data'!$E$2:$E$4674,"&lt;10000")</f>
        <v>58432</v>
      </c>
      <c r="E33" s="10">
        <f>SUMIFS('Tenant Data'!$F$2:$F$4674,'Tenant Data'!$A$2:$A$4674,"Mall del Norte",'Tenant Data'!$D$2:$D$4674,$B$3,'Tenant Data'!$E$2:$E$4674,"&lt;10000")</f>
        <v>15194502.419999996</v>
      </c>
      <c r="F33" s="46">
        <f t="shared" si="0"/>
        <v>260.03734973986849</v>
      </c>
    </row>
    <row r="34" spans="1:6" x14ac:dyDescent="0.2">
      <c r="A34" s="9" t="s">
        <v>24</v>
      </c>
      <c r="B34" s="13" t="str">
        <f>'Property Summary'!B29</f>
        <v>Y</v>
      </c>
      <c r="C34" s="13">
        <f>COUNTIFS('Tenant Data'!$A$2:$A$4674,"Mayfaire Town Center",'Tenant Data'!$D$2:$D$4674,$B$3,'Tenant Data'!$F$2:$F$4674,"&gt;0",'Tenant Data'!$E$2:$E$4674,"&lt;10000")</f>
        <v>32</v>
      </c>
      <c r="D34" s="12">
        <f>SUMIFS('Tenant Data'!$E$2:$E$4674,'Tenant Data'!$A$2:$A$4674,"Mayfaire Town Center",'Tenant Data'!$D$2:$D$4674,$B$3,'Tenant Data'!$F$2:$F$4674,"&gt;0",'Tenant Data'!$E$2:$E$4674,"&lt;10000")</f>
        <v>130823</v>
      </c>
      <c r="E34" s="10">
        <f>SUMIFS('Tenant Data'!$F$2:$F$4674,'Tenant Data'!$A$2:$A$4674,"Mayfaire Town Center",'Tenant Data'!$D$2:$D$4674,$B$3,'Tenant Data'!$E$2:$E$4674,"&lt;10000")</f>
        <v>50314593.659999996</v>
      </c>
      <c r="F34" s="46">
        <f t="shared" si="0"/>
        <v>384.60051871612785</v>
      </c>
    </row>
    <row r="35" spans="1:6" x14ac:dyDescent="0.2">
      <c r="A35" s="9" t="s">
        <v>27</v>
      </c>
      <c r="B35" s="13" t="str">
        <f>'Property Summary'!B30</f>
        <v>Y</v>
      </c>
      <c r="C35" s="13">
        <f>COUNTIFS('Tenant Data'!$A$2:$A$4674,"Mesa Mall",'Tenant Data'!$D$2:$D$4674,$B$3,'Tenant Data'!$F$2:$F$4674,"&gt;0",'Tenant Data'!$E$2:$E$4674,"&lt;10000")</f>
        <v>16</v>
      </c>
      <c r="D35" s="12">
        <f>SUMIFS('Tenant Data'!$E$2:$E$4674,'Tenant Data'!$A$2:$A$4674,"Mesa Mall",'Tenant Data'!$D$2:$D$4674,$B$3,'Tenant Data'!$F$2:$F$4674,"&gt;0",'Tenant Data'!$E$2:$E$4674,"&lt;10000")</f>
        <v>58145</v>
      </c>
      <c r="E35" s="10">
        <f>SUMIFS('Tenant Data'!$F$2:$F$4674,'Tenant Data'!$A$2:$A$4674,"Mesa Mall",'Tenant Data'!$D$2:$D$4674,$B$3,'Tenant Data'!$E$2:$E$4674,"&lt;10000")</f>
        <v>20004026.490000002</v>
      </c>
      <c r="F35" s="46">
        <f t="shared" si="0"/>
        <v>344.03691615788119</v>
      </c>
    </row>
    <row r="36" spans="1:6" x14ac:dyDescent="0.2">
      <c r="A36" s="9" t="s">
        <v>36</v>
      </c>
      <c r="B36" s="13" t="str">
        <f>'Property Summary'!B31</f>
        <v>Y</v>
      </c>
      <c r="C36" s="13">
        <f>COUNTIFS('Tenant Data'!$A$2:$A$4674,"Oak Park Mall",'Tenant Data'!$D$2:$D$4674,$B$3,'Tenant Data'!$F$2:$F$4674,"&gt;0",'Tenant Data'!$E$2:$E$4674,"&lt;10000")</f>
        <v>31</v>
      </c>
      <c r="D36" s="12">
        <f>SUMIFS('Tenant Data'!$E$2:$E$4674,'Tenant Data'!$A$2:$A$4674,"Oak Park Mall",'Tenant Data'!$D$2:$D$4674,$B$3,'Tenant Data'!$F$2:$F$4674,"&gt;0",'Tenant Data'!$E$2:$E$4674,"&lt;10000")</f>
        <v>125309</v>
      </c>
      <c r="E36" s="10">
        <f>SUMIFS('Tenant Data'!$F$2:$F$4674,'Tenant Data'!$A$2:$A$4674,"Oak Park Mall",'Tenant Data'!$D$2:$D$4674,$B$3,'Tenant Data'!$E$2:$E$4674,"&lt;10000")</f>
        <v>51082793.560000002</v>
      </c>
      <c r="F36" s="46">
        <f t="shared" si="0"/>
        <v>407.65462624392501</v>
      </c>
    </row>
    <row r="37" spans="1:6" x14ac:dyDescent="0.2">
      <c r="A37" s="9" t="s">
        <v>20</v>
      </c>
      <c r="B37" s="13" t="str">
        <f>'Property Summary'!B32</f>
        <v>Y</v>
      </c>
      <c r="C37" s="13">
        <f>COUNTIFS('Tenant Data'!$A$2:$A$4674,"Oklahoma City Collection",'Tenant Data'!$D$2:$D$4674,$B$3,'Tenant Data'!$F$2:$F$4674,"&gt;0",'Tenant Data'!$E$2:$E$4674,"&lt;10000")</f>
        <v>14</v>
      </c>
      <c r="D37" s="12">
        <f>SUMIFS('Tenant Data'!$E$2:$E$4674,'Tenant Data'!$A$2:$A$4674,"Oklahoma City Collection",'Tenant Data'!$D$2:$D$4674,$B$3,'Tenant Data'!$F$2:$F$4674,"&gt;0",'Tenant Data'!$E$2:$E$4674,"&lt;10000")</f>
        <v>45509</v>
      </c>
      <c r="E37" s="10">
        <f>SUMIFS('Tenant Data'!$F$2:$F$4674,'Tenant Data'!$A$2:$A$4674,"Oklahoma City Collection",'Tenant Data'!$D$2:$D$4674,$B$3,'Tenant Data'!$E$2:$E$4674,"&lt;10000")</f>
        <v>38290229.830303028</v>
      </c>
      <c r="F37" s="46">
        <f t="shared" si="0"/>
        <v>841.37708651701928</v>
      </c>
    </row>
    <row r="38" spans="1:6" x14ac:dyDescent="0.2">
      <c r="A38" s="9" t="s">
        <v>47</v>
      </c>
      <c r="B38" s="13" t="str">
        <f>'Property Summary'!B33</f>
        <v>Y</v>
      </c>
      <c r="C38" s="13">
        <f>COUNTIFS('Tenant Data'!$A$2:$A$4674,"Paddock Mall",'Tenant Data'!$D$2:$D$4674,$B$3,'Tenant Data'!$F$2:$F$4674,"&gt;0",'Tenant Data'!$E$2:$E$4674,"&lt;10000")</f>
        <v>13</v>
      </c>
      <c r="D38" s="12">
        <f>SUMIFS('Tenant Data'!$E$2:$E$4674,'Tenant Data'!$A$2:$A$4674,"Paddock Mall",'Tenant Data'!$D$2:$D$4674,$B$3,'Tenant Data'!$F$2:$F$4674,"&gt;0",'Tenant Data'!$E$2:$E$4674,"&lt;10000")</f>
        <v>46446</v>
      </c>
      <c r="E38" s="10">
        <f>SUMIFS('Tenant Data'!$F$2:$F$4674,'Tenant Data'!$A$2:$A$4674,"Paddock Mall",'Tenant Data'!$D$2:$D$4674,$B$3,'Tenant Data'!$E$2:$E$4674,"&lt;10000")</f>
        <v>17021464.699999999</v>
      </c>
      <c r="F38" s="46">
        <f t="shared" si="0"/>
        <v>366.47859234379706</v>
      </c>
    </row>
    <row r="39" spans="1:6" x14ac:dyDescent="0.2">
      <c r="A39" s="9" t="s">
        <v>62</v>
      </c>
      <c r="B39" s="13" t="str">
        <f>'Property Summary'!B34</f>
        <v>Y</v>
      </c>
      <c r="C39" s="13">
        <f>COUNTIFS('Tenant Data'!$A$2:$A$4674,"Palisades Center",'Tenant Data'!$D$2:$D$4674,$B$3,'Tenant Data'!$F$2:$F$4674,"&gt;0",'Tenant Data'!$E$2:$E$4674,"&lt;10000")</f>
        <v>20</v>
      </c>
      <c r="D39" s="12">
        <f>SUMIFS('Tenant Data'!$E$2:$E$4674,'Tenant Data'!$A$2:$A$4674,"Palisades Center",'Tenant Data'!$D$2:$D$4674,$B$3,'Tenant Data'!$F$2:$F$4674,"&gt;0",'Tenant Data'!$E$2:$E$4674,"&lt;10000")</f>
        <v>79990</v>
      </c>
      <c r="E39" s="10">
        <f>SUMIFS('Tenant Data'!$F$2:$F$4674,'Tenant Data'!$A$2:$A$4674,"Palisades Center",'Tenant Data'!$D$2:$D$4674,$B$3,'Tenant Data'!$E$2:$E$4674,"&lt;10000")</f>
        <v>27053168.920000002</v>
      </c>
      <c r="F39" s="46">
        <f t="shared" ref="F39:F55" si="1">IFERROR(E39/D39,"")</f>
        <v>338.20688736092012</v>
      </c>
    </row>
    <row r="40" spans="1:6" x14ac:dyDescent="0.2">
      <c r="A40" s="9" t="s">
        <v>33</v>
      </c>
      <c r="B40" s="13" t="str">
        <f>'Property Summary'!B35</f>
        <v>Y</v>
      </c>
      <c r="C40" s="13">
        <f>COUNTIFS('Tenant Data'!$A$2:$A$4674,"Pearland Town Center",'Tenant Data'!$D$2:$D$4674,$B$3,'Tenant Data'!$F$2:$F$4674,"&gt;0",'Tenant Data'!$E$2:$E$4674,"&lt;10000")</f>
        <v>14</v>
      </c>
      <c r="D40" s="12">
        <f>SUMIFS('Tenant Data'!$E$2:$E$4674,'Tenant Data'!$A$2:$A$4674,"Pearland Town Center",'Tenant Data'!$D$2:$D$4674,$B$3,'Tenant Data'!$F$2:$F$4674,"&gt;0",'Tenant Data'!$E$2:$E$4674,"&lt;10000")</f>
        <v>58655</v>
      </c>
      <c r="E40" s="10">
        <f>SUMIFS('Tenant Data'!$F$2:$F$4674,'Tenant Data'!$A$2:$A$4674,"Pearland Town Center",'Tenant Data'!$D$2:$D$4674,$B$3,'Tenant Data'!$E$2:$E$4674,"&lt;10000")</f>
        <v>15075756.1</v>
      </c>
      <c r="F40" s="46">
        <f t="shared" si="1"/>
        <v>257.02422811354529</v>
      </c>
    </row>
    <row r="41" spans="1:6" x14ac:dyDescent="0.2">
      <c r="A41" s="9" t="s">
        <v>46</v>
      </c>
      <c r="B41" s="13" t="str">
        <f>'Property Summary'!B36</f>
        <v>Y</v>
      </c>
      <c r="C41" s="13">
        <f>COUNTIFS('Tenant Data'!$A$2:$A$4674,"Providence Place",'Tenant Data'!$D$2:$D$4674,$B$3,'Tenant Data'!$F$2:$F$4674,"&gt;0",'Tenant Data'!$E$2:$E$4674,"&lt;10000")</f>
        <v>22</v>
      </c>
      <c r="D41" s="12">
        <f>SUMIFS('Tenant Data'!$E$2:$E$4674,'Tenant Data'!$A$2:$A$4674,"Providence Place",'Tenant Data'!$D$2:$D$4674,$B$3,'Tenant Data'!$F$2:$F$4674,"&gt;0",'Tenant Data'!$E$2:$E$4674,"&lt;10000")</f>
        <v>111357</v>
      </c>
      <c r="E41" s="10">
        <f>SUMIFS('Tenant Data'!$F$2:$F$4674,'Tenant Data'!$A$2:$A$4674,"Providence Place",'Tenant Data'!$D$2:$D$4674,$B$3,'Tenant Data'!$E$2:$E$4674,"&lt;10000")</f>
        <v>38289804</v>
      </c>
      <c r="F41" s="46">
        <f t="shared" si="1"/>
        <v>343.84730192084913</v>
      </c>
    </row>
    <row r="42" spans="1:6" x14ac:dyDescent="0.2">
      <c r="A42" s="9" t="s">
        <v>30</v>
      </c>
      <c r="B42" s="13" t="str">
        <f>'Property Summary'!B37</f>
        <v>Y</v>
      </c>
      <c r="C42" s="13">
        <f>COUNTIFS('Tenant Data'!$A$2:$A$4674,"Scottsdale Quarter",'Tenant Data'!$D$2:$D$4674,$B$3,'Tenant Data'!$F$2:$F$4674,"&gt;0",'Tenant Data'!$E$2:$E$4674,"&lt;10000")</f>
        <v>24</v>
      </c>
      <c r="D42" s="12">
        <f>SUMIFS('Tenant Data'!$E$2:$E$4674,'Tenant Data'!$A$2:$A$4674,"Scottsdale Quarter",'Tenant Data'!$D$2:$D$4674,$B$3,'Tenant Data'!$F$2:$F$4674,"&gt;0",'Tenant Data'!$E$2:$E$4674,"&lt;10000")</f>
        <v>63533</v>
      </c>
      <c r="E42" s="10">
        <f>SUMIFS('Tenant Data'!$F$2:$F$4674,'Tenant Data'!$A$2:$A$4674,"Scottsdale Quarter",'Tenant Data'!$D$2:$D$4674,$B$3,'Tenant Data'!$E$2:$E$4674,"&lt;10000")</f>
        <v>53773903.533818178</v>
      </c>
      <c r="F42" s="46">
        <f t="shared" si="1"/>
        <v>846.3932685977079</v>
      </c>
    </row>
    <row r="43" spans="1:6" x14ac:dyDescent="0.2">
      <c r="A43" s="9" t="s">
        <v>65</v>
      </c>
      <c r="B43" s="13" t="str">
        <f>'Property Summary'!B38</f>
        <v>Y</v>
      </c>
      <c r="C43" s="13">
        <f>COUNTIFS('Tenant Data'!$A$2:$A$4674,"SoNo Collection",'Tenant Data'!$D$2:$D$4674,$B$3,'Tenant Data'!$F$2:$F$4674,"&gt;0",'Tenant Data'!$E$2:$E$4674,"&lt;10000")</f>
        <v>19</v>
      </c>
      <c r="D43" s="12">
        <f>SUMIFS('Tenant Data'!$E$2:$E$4674,'Tenant Data'!$A$2:$A$4674,"SoNo Collection",'Tenant Data'!$D$2:$D$4674,$B$3,'Tenant Data'!$F$2:$F$4674,"&gt;0",'Tenant Data'!$E$2:$E$4674,"&lt;10000")</f>
        <v>81547</v>
      </c>
      <c r="E43" s="10">
        <f>SUMIFS('Tenant Data'!$F$2:$F$4674,'Tenant Data'!$A$2:$A$4674,"SoNo Collection",'Tenant Data'!$D$2:$D$4674,$B$3,'Tenant Data'!$E$2:$E$4674,"&lt;10000")</f>
        <v>24932503</v>
      </c>
      <c r="F43" s="46">
        <f t="shared" si="1"/>
        <v>305.74396360381132</v>
      </c>
    </row>
    <row r="44" spans="1:6" x14ac:dyDescent="0.2">
      <c r="A44" s="9" t="s">
        <v>34</v>
      </c>
      <c r="B44" s="13" t="str">
        <f>'Property Summary'!B39</f>
        <v>Y</v>
      </c>
      <c r="C44" s="13">
        <f>COUNTIFS('Tenant Data'!$A$2:$A$4674,"SouthPark Mall (OH)",'Tenant Data'!$D$2:$D$4674,$B$3,'Tenant Data'!$F$2:$F$4674,"&gt;0",'Tenant Data'!$E$2:$E$4674,"&lt;10000")</f>
        <v>31</v>
      </c>
      <c r="D44" s="12">
        <f>SUMIFS('Tenant Data'!$E$2:$E$4674,'Tenant Data'!$A$2:$A$4674,"SouthPark Mall (OH)",'Tenant Data'!$D$2:$D$4674,$B$3,'Tenant Data'!$F$2:$F$4674,"&gt;0",'Tenant Data'!$E$2:$E$4674,"&lt;10000")</f>
        <v>117294</v>
      </c>
      <c r="E44" s="10">
        <f>SUMIFS('Tenant Data'!$F$2:$F$4674,'Tenant Data'!$A$2:$A$4674,"SouthPark Mall (OH)",'Tenant Data'!$D$2:$D$4674,$B$3,'Tenant Data'!$E$2:$E$4674,"&lt;10000")</f>
        <v>37609640.660000011</v>
      </c>
      <c r="F44" s="46">
        <f t="shared" si="1"/>
        <v>320.6441988507512</v>
      </c>
    </row>
    <row r="45" spans="1:6" x14ac:dyDescent="0.2">
      <c r="A45" s="9" t="s">
        <v>48</v>
      </c>
      <c r="B45" s="13" t="str">
        <f>'Property Summary'!B40</f>
        <v>Y</v>
      </c>
      <c r="C45" s="13">
        <f>COUNTIFS('Tenant Data'!$A$2:$A$4674,"Southgate Mall",'Tenant Data'!$D$2:$D$4674,$B$3,'Tenant Data'!$F$2:$F$4674,"&gt;0",'Tenant Data'!$E$2:$E$4674,"&lt;10000")</f>
        <v>14</v>
      </c>
      <c r="D45" s="12">
        <f>SUMIFS('Tenant Data'!$E$2:$E$4674,'Tenant Data'!$A$2:$A$4674,"Southgate Mall",'Tenant Data'!$D$2:$D$4674,$B$3,'Tenant Data'!$F$2:$F$4674,"&gt;0",'Tenant Data'!$E$2:$E$4674,"&lt;10000")</f>
        <v>58399</v>
      </c>
      <c r="E45" s="10">
        <f>SUMIFS('Tenant Data'!$F$2:$F$4674,'Tenant Data'!$A$2:$A$4674,"Southgate Mall",'Tenant Data'!$D$2:$D$4674,$B$3,'Tenant Data'!$E$2:$E$4674,"&lt;10000")</f>
        <v>20951931.090000004</v>
      </c>
      <c r="F45" s="46">
        <f t="shared" si="1"/>
        <v>358.77208667956648</v>
      </c>
    </row>
    <row r="46" spans="1:6" x14ac:dyDescent="0.2">
      <c r="A46" s="9" t="s">
        <v>66</v>
      </c>
      <c r="B46" s="13" t="str">
        <f>'Property Summary'!B41</f>
        <v>Y</v>
      </c>
      <c r="C46" s="13">
        <f>COUNTIFS('Tenant Data'!$A$2:$A$4674,"Staten Island Mall",'Tenant Data'!$D$2:$D$4674,$B$3,'Tenant Data'!$F$2:$F$4674,"&gt;0",'Tenant Data'!$E$2:$E$4674,"&lt;10000")</f>
        <v>25</v>
      </c>
      <c r="D46" s="12">
        <f>SUMIFS('Tenant Data'!$E$2:$E$4674,'Tenant Data'!$A$2:$A$4674,"Staten Island Mall",'Tenant Data'!$D$2:$D$4674,$B$3,'Tenant Data'!$F$2:$F$4674,"&gt;0",'Tenant Data'!$E$2:$E$4674,"&lt;10000")</f>
        <v>86550</v>
      </c>
      <c r="E46" s="10">
        <f>SUMIFS('Tenant Data'!$F$2:$F$4674,'Tenant Data'!$A$2:$A$4674,"Staten Island Mall",'Tenant Data'!$D$2:$D$4674,$B$3,'Tenant Data'!$E$2:$E$4674,"&lt;10000")</f>
        <v>27216832.810000002</v>
      </c>
      <c r="F46" s="46">
        <f t="shared" si="1"/>
        <v>314.46369508954365</v>
      </c>
    </row>
    <row r="47" spans="1:6" x14ac:dyDescent="0.2">
      <c r="A47" s="9" t="s">
        <v>39</v>
      </c>
      <c r="B47" s="13" t="str">
        <f>'Property Summary'!B42</f>
        <v>Y</v>
      </c>
      <c r="C47" s="13">
        <f>COUNTIFS('Tenant Data'!$A$2:$A$4674,"The Shops At Evergreen Walk",'Tenant Data'!$D$2:$D$4674,$B$3,'Tenant Data'!$F$2:$F$4674,"&gt;0",'Tenant Data'!$E$2:$E$4674,"&lt;10000")</f>
        <v>9</v>
      </c>
      <c r="D47" s="12">
        <f>SUMIFS('Tenant Data'!$E$2:$E$4674,'Tenant Data'!$A$2:$A$4674,"The Shops At Evergreen Walk",'Tenant Data'!$D$2:$D$4674,$B$3,'Tenant Data'!$F$2:$F$4674,"&gt;0",'Tenant Data'!$E$2:$E$4674,"&lt;10000")</f>
        <v>33353</v>
      </c>
      <c r="E47" s="10">
        <f>SUMIFS('Tenant Data'!$F$2:$F$4674,'Tenant Data'!$A$2:$A$4674,"The Shops At Evergreen Walk",'Tenant Data'!$D$2:$D$4674,$B$3,'Tenant Data'!$E$2:$E$4674,"&lt;10000")</f>
        <v>9978810</v>
      </c>
      <c r="F47" s="46">
        <f t="shared" si="1"/>
        <v>299.18777921026594</v>
      </c>
    </row>
    <row r="48" spans="1:6" x14ac:dyDescent="0.2">
      <c r="A48" s="9" t="s">
        <v>61</v>
      </c>
      <c r="B48" s="13" t="str">
        <f>'Property Summary'!B43</f>
        <v>Y</v>
      </c>
      <c r="C48" s="13">
        <f>COUNTIFS('Tenant Data'!$A$2:$A$4674,"Towson Town Center",'Tenant Data'!$D$2:$D$4674,$B$3,'Tenant Data'!$F$2:$F$4674,"&gt;0",'Tenant Data'!$E$2:$E$4674,"&lt;10000")</f>
        <v>25</v>
      </c>
      <c r="D48" s="12">
        <f>SUMIFS('Tenant Data'!$E$2:$E$4674,'Tenant Data'!$A$2:$A$4674,"Towson Town Center",'Tenant Data'!$D$2:$D$4674,$B$3,'Tenant Data'!$F$2:$F$4674,"&gt;0",'Tenant Data'!$E$2:$E$4674,"&lt;10000")</f>
        <v>98621</v>
      </c>
      <c r="E48" s="10">
        <f>SUMIFS('Tenant Data'!$F$2:$F$4674,'Tenant Data'!$A$2:$A$4674,"Towson Town Center",'Tenant Data'!$D$2:$D$4674,$B$3,'Tenant Data'!$E$2:$E$4674,"&lt;10000")</f>
        <v>37234785.390000008</v>
      </c>
      <c r="F48" s="46">
        <f t="shared" si="1"/>
        <v>377.55432808428236</v>
      </c>
    </row>
    <row r="49" spans="1:6" x14ac:dyDescent="0.2">
      <c r="A49" s="9" t="s">
        <v>67</v>
      </c>
      <c r="B49" s="13" t="str">
        <f>'Property Summary'!B44</f>
        <v>Y</v>
      </c>
      <c r="C49" s="13">
        <f>COUNTIFS('Tenant Data'!$A$2:$A$4674,"Tysons Corner",'Tenant Data'!$D$2:$D$4674,$B$3,'Tenant Data'!$F$2:$F$4674,"&gt;0",'Tenant Data'!$E$2:$E$4674,"&lt;10000")</f>
        <v>51</v>
      </c>
      <c r="D49" s="12">
        <f>SUMIFS('Tenant Data'!$E$2:$E$4674,'Tenant Data'!$A$2:$A$4674,"Tysons Corner",'Tenant Data'!$D$2:$D$4674,$B$3,'Tenant Data'!$F$2:$F$4674,"&gt;0",'Tenant Data'!$E$2:$E$4674,"&lt;10000")</f>
        <v>189607</v>
      </c>
      <c r="E49" s="10">
        <f>SUMIFS('Tenant Data'!$F$2:$F$4674,'Tenant Data'!$A$2:$A$4674,"Tysons Corner",'Tenant Data'!$D$2:$D$4674,$B$3,'Tenant Data'!$E$2:$E$4674,"&lt;10000")</f>
        <v>126957635.35000002</v>
      </c>
      <c r="F49" s="46">
        <f t="shared" si="1"/>
        <v>669.58306048827319</v>
      </c>
    </row>
    <row r="50" spans="1:6" x14ac:dyDescent="0.2">
      <c r="A50" s="9" t="s">
        <v>57</v>
      </c>
      <c r="B50" s="13" t="str">
        <f>'Property Summary'!B45</f>
        <v>Y</v>
      </c>
      <c r="C50" s="13">
        <f>COUNTIFS('Tenant Data'!$A$2:$A$4674,"Walden Galleria",'Tenant Data'!$D$2:$D$4674,$B$3,'Tenant Data'!$F$2:$F$4674,"&gt;0",'Tenant Data'!$E$2:$E$4674,"&lt;10000")</f>
        <v>37</v>
      </c>
      <c r="D50" s="12">
        <f>SUMIFS('Tenant Data'!$E$2:$E$4674,'Tenant Data'!$A$2:$A$4674,"Walden Galleria",'Tenant Data'!$D$2:$D$4674,$B$3,'Tenant Data'!$F$2:$F$4674,"&gt;0",'Tenant Data'!$E$2:$E$4674,"&lt;10000")</f>
        <v>142375</v>
      </c>
      <c r="E50" s="10">
        <f>SUMIFS('Tenant Data'!$F$2:$F$4674,'Tenant Data'!$A$2:$A$4674,"Walden Galleria",'Tenant Data'!$D$2:$D$4674,$B$3,'Tenant Data'!$E$2:$E$4674,"&lt;10000")</f>
        <v>55281507.499999993</v>
      </c>
      <c r="F50" s="46">
        <f t="shared" si="1"/>
        <v>388.28100087796309</v>
      </c>
    </row>
    <row r="51" spans="1:6" x14ac:dyDescent="0.2">
      <c r="A51" s="9" t="s">
        <v>38</v>
      </c>
      <c r="B51" s="13" t="str">
        <f>'Property Summary'!B46</f>
        <v>Y</v>
      </c>
      <c r="C51" s="13">
        <f>COUNTIFS('Tenant Data'!$A$2:$A$4674,"West County Center",'Tenant Data'!$D$2:$D$4674,$B$3,'Tenant Data'!$F$2:$F$4674,"&gt;0",'Tenant Data'!$E$2:$E$4674,"&lt;10000")</f>
        <v>31</v>
      </c>
      <c r="D51" s="12">
        <f>SUMIFS('Tenant Data'!$E$2:$E$4674,'Tenant Data'!$A$2:$A$4674,"West County Center",'Tenant Data'!$D$2:$D$4674,$B$3,'Tenant Data'!$F$2:$F$4674,"&gt;0",'Tenant Data'!$E$2:$E$4674,"&lt;10000")</f>
        <v>119097</v>
      </c>
      <c r="E51" s="10">
        <f>SUMIFS('Tenant Data'!$F$2:$F$4674,'Tenant Data'!$A$2:$A$4674,"West County Center",'Tenant Data'!$D$2:$D$4674,$B$3,'Tenant Data'!$E$2:$E$4674,"&lt;10000")</f>
        <v>65276160.049999997</v>
      </c>
      <c r="F51" s="46">
        <f t="shared" si="1"/>
        <v>548.09239569426597</v>
      </c>
    </row>
    <row r="52" spans="1:6" x14ac:dyDescent="0.2">
      <c r="A52" s="9" t="s">
        <v>31</v>
      </c>
      <c r="B52" s="13" t="str">
        <f>'Property Summary'!B47</f>
        <v>Y</v>
      </c>
      <c r="C52" s="13">
        <f>COUNTIFS('Tenant Data'!$A$2:$A$4674,"West Towne Mall",'Tenant Data'!$D$2:$D$4674,$B$3,'Tenant Data'!$F$2:$F$4674,"&gt;0",'Tenant Data'!$E$2:$E$4674,"&lt;10000")</f>
        <v>22</v>
      </c>
      <c r="D52" s="12">
        <f>SUMIFS('Tenant Data'!$E$2:$E$4674,'Tenant Data'!$A$2:$A$4674,"West Towne Mall",'Tenant Data'!$D$2:$D$4674,$B$3,'Tenant Data'!$F$2:$F$4674,"&gt;0",'Tenant Data'!$E$2:$E$4674,"&lt;10000")</f>
        <v>95775</v>
      </c>
      <c r="E52" s="10">
        <f>SUMIFS('Tenant Data'!$F$2:$F$4674,'Tenant Data'!$A$2:$A$4674,"West Towne Mall",'Tenant Data'!$D$2:$D$4674,$B$3,'Tenant Data'!$E$2:$E$4674,"&lt;10000")</f>
        <v>25565598.680000003</v>
      </c>
      <c r="F52" s="46">
        <f t="shared" si="1"/>
        <v>266.93394601931612</v>
      </c>
    </row>
    <row r="53" spans="1:6" x14ac:dyDescent="0.2">
      <c r="A53" s="9" t="s">
        <v>64</v>
      </c>
      <c r="B53" s="13" t="str">
        <f>'Property Summary'!B48</f>
        <v>Y</v>
      </c>
      <c r="C53" s="13">
        <f>COUNTIFS('Tenant Data'!$A$2:$A$4674,"Westfarms Mall",'Tenant Data'!$D$2:$D$4674,$B$3,'Tenant Data'!$F$2:$F$4674,"&gt;0",'Tenant Data'!$E$2:$E$4674,"&lt;10000")</f>
        <v>39</v>
      </c>
      <c r="D53" s="12">
        <f>SUMIFS('Tenant Data'!$E$2:$E$4674,'Tenant Data'!$A$2:$A$4674,"Westfarms Mall",'Tenant Data'!$D$2:$D$4674,$B$3,'Tenant Data'!$F$2:$F$4674,"&gt;0",'Tenant Data'!$E$2:$E$4674,"&lt;10000")</f>
        <v>154722</v>
      </c>
      <c r="E53" s="10">
        <f>SUMIFS('Tenant Data'!$F$2:$F$4674,'Tenant Data'!$A$2:$A$4674,"Westfarms Mall",'Tenant Data'!$D$2:$D$4674,$B$3,'Tenant Data'!$E$2:$E$4674,"&lt;10000")</f>
        <v>98286453</v>
      </c>
      <c r="F53" s="46">
        <f t="shared" si="1"/>
        <v>635.24549191453059</v>
      </c>
    </row>
    <row r="54" spans="1:6" x14ac:dyDescent="0.2">
      <c r="A54" s="9" t="s">
        <v>29</v>
      </c>
      <c r="B54" s="13" t="str">
        <f>'Property Summary'!B49</f>
        <v>Y</v>
      </c>
      <c r="C54" s="13">
        <f>COUNTIFS('Tenant Data'!$A$2:$A$4674,"Willow Grove Park",'Tenant Data'!$D$2:$D$4674,$B$3,'Tenant Data'!$F$2:$F$4674,"&gt;0",'Tenant Data'!$E$2:$E$4674,"&lt;10000")</f>
        <v>16</v>
      </c>
      <c r="D54" s="12">
        <f>SUMIFS('Tenant Data'!$E$2:$E$4674,'Tenant Data'!$A$2:$A$4674,"Willow Grove Park",'Tenant Data'!$D$2:$D$4674,$B$3,'Tenant Data'!$F$2:$F$4674,"&gt;0",'Tenant Data'!$E$2:$E$4674,"&lt;10000")</f>
        <v>63784</v>
      </c>
      <c r="E54" s="10">
        <f>SUMIFS('Tenant Data'!$F$2:$F$4674,'Tenant Data'!$A$2:$A$4674,"Willow Grove Park",'Tenant Data'!$D$2:$D$4674,$B$3,'Tenant Data'!$E$2:$E$4674,"&lt;10000")</f>
        <v>26078216</v>
      </c>
      <c r="F54" s="46">
        <f t="shared" si="1"/>
        <v>408.85200050169323</v>
      </c>
    </row>
    <row r="55" spans="1:6" x14ac:dyDescent="0.2">
      <c r="A55" s="47" t="s">
        <v>69</v>
      </c>
      <c r="B55" s="13"/>
      <c r="C55" s="13"/>
      <c r="D55" s="12">
        <f>SUMPRODUCT((B7:B54="Y")*(D7:D54&lt;&gt;"")*D7:D54)</f>
        <v>4567966</v>
      </c>
      <c r="E55" s="10">
        <f>SUMPRODUCT((B7:B54="Y")*(E7:E54&lt;&gt;"")*E7:E54)</f>
        <v>1811468007.5277576</v>
      </c>
      <c r="F55" s="46">
        <f t="shared" si="1"/>
        <v>396.55899530070008</v>
      </c>
    </row>
    <row r="57" spans="1:6" ht="16" x14ac:dyDescent="0.2">
      <c r="A57" s="82" t="s">
        <v>149</v>
      </c>
      <c r="B57" s="83"/>
      <c r="C57" s="83"/>
      <c r="D57" s="83"/>
      <c r="E57" s="83"/>
    </row>
    <row r="58" spans="1:6" x14ac:dyDescent="0.2">
      <c r="A58" s="48" t="s">
        <v>150</v>
      </c>
      <c r="B58" s="48" t="s">
        <v>14</v>
      </c>
      <c r="C58" s="48" t="s">
        <v>157</v>
      </c>
    </row>
    <row r="59" spans="1:6" x14ac:dyDescent="0.2">
      <c r="A59" s="49">
        <v>1</v>
      </c>
      <c r="B59" s="13" t="str">
        <f>IFERROR(INDEX($A$7:$A$54,MATCH(LARGE($F$7:$F$54,1),$F$7:$F$54,0)),"")</f>
        <v>Scottsdale Quarter</v>
      </c>
      <c r="C59" s="46">
        <f>IFERROR(LARGE($F$7:$F$54,1),"")</f>
        <v>846.3932685977079</v>
      </c>
    </row>
    <row r="60" spans="1:6" x14ac:dyDescent="0.2">
      <c r="A60" s="49">
        <v>2</v>
      </c>
      <c r="B60" s="13" t="str">
        <f>IFERROR(INDEX($A$7:$A$54,MATCH(LARGE($F$7:$F$54,2),$F$7:$F$54,0)),"")</f>
        <v>Oklahoma City Collection</v>
      </c>
      <c r="C60" s="46">
        <f>IFERROR(LARGE($F$7:$F$54,2),"")</f>
        <v>841.37708651701928</v>
      </c>
    </row>
    <row r="61" spans="1:6" x14ac:dyDescent="0.2">
      <c r="A61" s="49">
        <v>3</v>
      </c>
      <c r="B61" s="13" t="str">
        <f>IFERROR(INDEX($A$7:$A$54,MATCH(LARGE($F$7:$F$54,3),$F$7:$F$54,0)),"")</f>
        <v>Tysons Corner</v>
      </c>
      <c r="C61" s="46">
        <f>IFERROR(LARGE($F$7:$F$54,3),"")</f>
        <v>669.58306048827319</v>
      </c>
    </row>
    <row r="62" spans="1:6" x14ac:dyDescent="0.2">
      <c r="A62" s="49">
        <v>4</v>
      </c>
      <c r="B62" s="13" t="str">
        <f>IFERROR(INDEX($A$7:$A$54,MATCH(LARGE($F$7:$F$54,4),$F$7:$F$54,0)),"")</f>
        <v>Westfarms Mall</v>
      </c>
      <c r="C62" s="46">
        <f>IFERROR(LARGE($F$7:$F$54,4),"")</f>
        <v>635.24549191453059</v>
      </c>
    </row>
    <row r="63" spans="1:6" x14ac:dyDescent="0.2">
      <c r="A63" s="49">
        <v>5</v>
      </c>
      <c r="B63" s="13" t="str">
        <f>IFERROR(INDEX($A$7:$A$54,MATCH(LARGE($F$7:$F$54,5),$F$7:$F$54,0)),"")</f>
        <v>West County Center</v>
      </c>
      <c r="C63" s="46">
        <f>IFERROR(LARGE($F$7:$F$54,5),"")</f>
        <v>548.09239569426597</v>
      </c>
    </row>
    <row r="64" spans="1:6" x14ac:dyDescent="0.2">
      <c r="A64" s="49">
        <v>6</v>
      </c>
      <c r="B64" s="13" t="str">
        <f>IFERROR(INDEX($A$7:$A$54,MATCH(LARGE($F$7:$F$54,6),$F$7:$F$54,0)),"")</f>
        <v>LaCenterra at Cinco Ranch</v>
      </c>
      <c r="C64" s="46">
        <f>IFERROR(LARGE($F$7:$F$54,6),"")</f>
        <v>535.17378820763247</v>
      </c>
    </row>
    <row r="65" spans="1:3" x14ac:dyDescent="0.2">
      <c r="A65" s="49">
        <v>7</v>
      </c>
      <c r="B65" s="13" t="str">
        <f>IFERROR(INDEX($A$7:$A$54,MATCH(LARGE($F$7:$F$54,7),$F$7:$F$54,0)),"")</f>
        <v>Crabtree Valley Mall</v>
      </c>
      <c r="C65" s="46">
        <f>IFERROR(LARGE($F$7:$F$54,7),"")</f>
        <v>533.76428921168599</v>
      </c>
    </row>
    <row r="66" spans="1:3" x14ac:dyDescent="0.2">
      <c r="A66" s="49">
        <v>8</v>
      </c>
      <c r="B66" s="13" t="str">
        <f>IFERROR(INDEX($A$7:$A$54,MATCH(LARGE($F$7:$F$54,8),$F$7:$F$54,0)),"")</f>
        <v>Arden Fair Mall</v>
      </c>
      <c r="C66" s="46">
        <f>IFERROR(LARGE($F$7:$F$54,8),"")</f>
        <v>521.38037630834947</v>
      </c>
    </row>
    <row r="67" spans="1:3" x14ac:dyDescent="0.2">
      <c r="A67" s="49">
        <v>9</v>
      </c>
      <c r="B67" s="13" t="str">
        <f>IFERROR(INDEX($A$7:$A$54,MATCH(LARGE($F$7:$F$54,9),$F$7:$F$54,0)),"")</f>
        <v>Kansas City Collection</v>
      </c>
      <c r="C67" s="46">
        <f>IFERROR(LARGE($F$7:$F$54,9),"")</f>
        <v>513.80396096745301</v>
      </c>
    </row>
    <row r="68" spans="1:3" x14ac:dyDescent="0.2">
      <c r="A68" s="49">
        <v>10</v>
      </c>
      <c r="B68" s="13" t="str">
        <f>IFERROR(INDEX($A$7:$A$54,MATCH(LARGE($F$7:$F$54,10),$F$7:$F$54,0)),"")</f>
        <v>Bridgewater Commons</v>
      </c>
      <c r="C68" s="46">
        <f>IFERROR(LARGE($F$7:$F$54,10),"")</f>
        <v>455.56222247874098</v>
      </c>
    </row>
    <row r="69" spans="1:3" x14ac:dyDescent="0.2">
      <c r="A69" s="49">
        <v>11</v>
      </c>
      <c r="B69" s="13" t="str">
        <f>IFERROR(INDEX($A$7:$A$54,MATCH(LARGE($F$7:$F$54,11),$F$7:$F$54,0)),"")</f>
        <v>Annapolis Town Center</v>
      </c>
      <c r="C69" s="46">
        <f>IFERROR(LARGE($F$7:$F$54,11),"")</f>
        <v>425.44732452200691</v>
      </c>
    </row>
    <row r="70" spans="1:3" x14ac:dyDescent="0.2">
      <c r="A70" s="49">
        <v>12</v>
      </c>
      <c r="B70" s="13" t="str">
        <f>IFERROR(INDEX($A$7:$A$54,MATCH(LARGE($F$7:$F$54,12),$F$7:$F$54,0)),"")</f>
        <v>Bridge Street Towne Centre</v>
      </c>
      <c r="C70" s="46">
        <f>IFERROR(LARGE($F$7:$F$54,12),"")</f>
        <v>424.38397736866273</v>
      </c>
    </row>
    <row r="71" spans="1:3" x14ac:dyDescent="0.2">
      <c r="A71" s="49">
        <v>13</v>
      </c>
      <c r="B71" s="13" t="str">
        <f>IFERROR(INDEX($A$7:$A$54,MATCH(LARGE($F$7:$F$54,13),$F$7:$F$54,0)),"")</f>
        <v>Crossgates Center</v>
      </c>
      <c r="C71" s="46">
        <f>IFERROR(LARGE($F$7:$F$54,13),"")</f>
        <v>414.91146684077245</v>
      </c>
    </row>
    <row r="72" spans="1:3" x14ac:dyDescent="0.2">
      <c r="A72" s="49">
        <v>14</v>
      </c>
      <c r="B72" s="13" t="str">
        <f>IFERROR(INDEX($A$7:$A$54,MATCH(LARGE($F$7:$F$54,14),$F$7:$F$54,0)),"")</f>
        <v>Clackamas Town Center</v>
      </c>
      <c r="C72" s="46">
        <f>IFERROR(LARGE($F$7:$F$54,14),"")</f>
        <v>413.19437420325596</v>
      </c>
    </row>
    <row r="73" spans="1:3" x14ac:dyDescent="0.2">
      <c r="A73" s="49">
        <v>15</v>
      </c>
      <c r="B73" s="13" t="str">
        <f>IFERROR(INDEX($A$7:$A$54,MATCH(LARGE($F$7:$F$54,15),$F$7:$F$54,0)),"")</f>
        <v>Brandon Exchange</v>
      </c>
      <c r="C73" s="46">
        <f>IFERROR(LARGE($F$7:$F$54,15),"")</f>
        <v>409.25977210142958</v>
      </c>
    </row>
    <row r="74" spans="1:3" x14ac:dyDescent="0.2">
      <c r="A74" s="49">
        <v>16</v>
      </c>
      <c r="B74" s="13" t="str">
        <f>IFERROR(INDEX($A$7:$A$54,MATCH(LARGE($F$7:$F$54,16),$F$7:$F$54,0)),"")</f>
        <v>Willow Grove Park</v>
      </c>
      <c r="C74" s="46">
        <f>IFERROR(LARGE($F$7:$F$54,16),"")</f>
        <v>408.85200050169323</v>
      </c>
    </row>
    <row r="75" spans="1:3" x14ac:dyDescent="0.2">
      <c r="A75" s="49">
        <v>17</v>
      </c>
      <c r="B75" s="13" t="str">
        <f>IFERROR(INDEX($A$7:$A$54,MATCH(LARGE($F$7:$F$54,17),$F$7:$F$54,0)),"")</f>
        <v>Oak Park Mall</v>
      </c>
      <c r="C75" s="46">
        <f>IFERROR(LARGE($F$7:$F$54,17),"")</f>
        <v>407.65462624392501</v>
      </c>
    </row>
    <row r="76" spans="1:3" x14ac:dyDescent="0.2">
      <c r="A76" s="49">
        <v>18</v>
      </c>
      <c r="B76" s="13" t="str">
        <f>IFERROR(INDEX($A$7:$A$54,MATCH(LARGE($F$7:$F$54,18),$F$7:$F$54,0)),"")</f>
        <v>Fayette Mall</v>
      </c>
      <c r="C76" s="46">
        <f>IFERROR(LARGE($F$7:$F$54,18),"")</f>
        <v>405.16727523160438</v>
      </c>
    </row>
    <row r="77" spans="1:3" x14ac:dyDescent="0.2">
      <c r="A77" s="49">
        <v>19</v>
      </c>
      <c r="B77" s="13" t="str">
        <f>IFERROR(INDEX($A$7:$A$54,MATCH(LARGE($F$7:$F$54,19),$F$7:$F$54,0)),"")</f>
        <v>Walden Galleria</v>
      </c>
      <c r="C77" s="46">
        <f>IFERROR(LARGE($F$7:$F$54,19),"")</f>
        <v>388.28100087796309</v>
      </c>
    </row>
    <row r="78" spans="1:3" x14ac:dyDescent="0.2">
      <c r="A78" s="49">
        <v>20</v>
      </c>
      <c r="B78" s="13" t="str">
        <f>IFERROR(INDEX($A$7:$A$54,MATCH(LARGE($F$7:$F$54,20),$F$7:$F$54,0)),"")</f>
        <v>CoolSprings Galleria</v>
      </c>
      <c r="C78" s="46">
        <f>IFERROR(LARGE($F$7:$F$54,20),"")</f>
        <v>385.39606461157473</v>
      </c>
    </row>
    <row r="79" spans="1:3" x14ac:dyDescent="0.2">
      <c r="A79" s="49">
        <v>21</v>
      </c>
      <c r="B79" s="13" t="str">
        <f>IFERROR(INDEX($A$7:$A$54,MATCH(LARGE($F$7:$F$54,21),$F$7:$F$54,0)),"")</f>
        <v>Mayfaire Town Center</v>
      </c>
      <c r="C79" s="46">
        <f>IFERROR(LARGE($F$7:$F$54,21),"")</f>
        <v>384.60051871612785</v>
      </c>
    </row>
    <row r="80" spans="1:3" x14ac:dyDescent="0.2">
      <c r="A80" s="49">
        <v>22</v>
      </c>
      <c r="B80" s="13" t="str">
        <f>IFERROR(INDEX($A$7:$A$54,MATCH(LARGE($F$7:$F$54,22),$F$7:$F$54,0)),"")</f>
        <v>Towson Town Center</v>
      </c>
      <c r="C80" s="46">
        <f>IFERROR(LARGE($F$7:$F$54,22),"")</f>
        <v>377.55432808428236</v>
      </c>
    </row>
    <row r="81" spans="1:3" x14ac:dyDescent="0.2">
      <c r="A81" s="49">
        <v>23</v>
      </c>
      <c r="B81" s="13" t="str">
        <f>IFERROR(INDEX($A$7:$A$54,MATCH(LARGE($F$7:$F$54,23),$F$7:$F$54,0)),"")</f>
        <v>Paddock Mall</v>
      </c>
      <c r="C81" s="46">
        <f>IFERROR(LARGE($F$7:$F$54,23),"")</f>
        <v>366.47859234379706</v>
      </c>
    </row>
    <row r="82" spans="1:3" x14ac:dyDescent="0.2">
      <c r="A82" s="49">
        <v>24</v>
      </c>
      <c r="B82" s="13" t="str">
        <f>IFERROR(INDEX($A$7:$A$54,MATCH(LARGE($F$7:$F$54,24),$F$7:$F$54,0)),"")</f>
        <v>Hamilton Place Mall</v>
      </c>
      <c r="C82" s="46">
        <f>IFERROR(LARGE($F$7:$F$54,24),"")</f>
        <v>362.99373047900275</v>
      </c>
    </row>
    <row r="83" spans="1:3" x14ac:dyDescent="0.2">
      <c r="A83" s="49">
        <v>25</v>
      </c>
      <c r="B83" s="13" t="str">
        <f>IFERROR(INDEX($A$7:$A$54,MATCH(LARGE($F$7:$F$54,25),$F$7:$F$54,0)),"")</f>
        <v>Southgate Mall</v>
      </c>
      <c r="C83" s="46">
        <f>IFERROR(LARGE($F$7:$F$54,25),"")</f>
        <v>358.77208667956648</v>
      </c>
    </row>
    <row r="84" spans="1:3" x14ac:dyDescent="0.2">
      <c r="A84" s="49">
        <v>26</v>
      </c>
      <c r="B84" s="13" t="str">
        <f>IFERROR(INDEX($A$7:$A$54,MATCH(LARGE($F$7:$F$54,26),$F$7:$F$54,0)),"")</f>
        <v>Capital City Mall</v>
      </c>
      <c r="C84" s="46">
        <f>IFERROR(LARGE($F$7:$F$54,26),"")</f>
        <v>347.92987488946397</v>
      </c>
    </row>
    <row r="85" spans="1:3" x14ac:dyDescent="0.2">
      <c r="A85" s="49">
        <v>27</v>
      </c>
      <c r="B85" s="13" t="str">
        <f>IFERROR(INDEX($A$7:$A$54,MATCH(LARGE($F$7:$F$54,27),$F$7:$F$54,0)),"")</f>
        <v>Mesa Mall</v>
      </c>
      <c r="C85" s="46">
        <f>IFERROR(LARGE($F$7:$F$54,27),"")</f>
        <v>344.03691615788119</v>
      </c>
    </row>
    <row r="86" spans="1:3" x14ac:dyDescent="0.2">
      <c r="A86" s="49">
        <v>28</v>
      </c>
      <c r="B86" s="13" t="str">
        <f>IFERROR(INDEX($A$7:$A$54,MATCH(LARGE($F$7:$F$54,28),$F$7:$F$54,0)),"")</f>
        <v>Providence Place</v>
      </c>
      <c r="C86" s="46">
        <f>IFERROR(LARGE($F$7:$F$54,28),"")</f>
        <v>343.84730192084913</v>
      </c>
    </row>
    <row r="87" spans="1:3" x14ac:dyDescent="0.2">
      <c r="A87" s="49">
        <v>29</v>
      </c>
      <c r="B87" s="13" t="str">
        <f>IFERROR(INDEX($A$7:$A$54,MATCH(LARGE($F$7:$F$54,29),$F$7:$F$54,0)),"")</f>
        <v>Palisades Center</v>
      </c>
      <c r="C87" s="46">
        <f>IFERROR(LARGE($F$7:$F$54,29),"")</f>
        <v>338.20688736092012</v>
      </c>
    </row>
    <row r="88" spans="1:3" x14ac:dyDescent="0.2">
      <c r="A88" s="49">
        <v>30</v>
      </c>
      <c r="B88" s="13" t="str">
        <f>IFERROR(INDEX($A$7:$A$54,MATCH(LARGE($F$7:$F$54,30),$F$7:$F$54,0)),"")</f>
        <v>Destiny USA</v>
      </c>
      <c r="C88" s="46">
        <f>IFERROR(LARGE($F$7:$F$54,30),"")</f>
        <v>334.3836463883456</v>
      </c>
    </row>
    <row r="89" spans="1:3" x14ac:dyDescent="0.2">
      <c r="A89" s="49">
        <v>31</v>
      </c>
      <c r="B89" s="13" t="str">
        <f>IFERROR(INDEX($A$7:$A$54,MATCH(LARGE($F$7:$F$54,31),$F$7:$F$54,0)),"")</f>
        <v>Cross Creek Mall</v>
      </c>
      <c r="C89" s="46">
        <f>IFERROR(LARGE($F$7:$F$54,31),"")</f>
        <v>327.14022630641853</v>
      </c>
    </row>
    <row r="90" spans="1:3" x14ac:dyDescent="0.2">
      <c r="A90" s="49">
        <v>32</v>
      </c>
      <c r="B90" s="13" t="str">
        <f>IFERROR(INDEX($A$7:$A$54,MATCH(LARGE($F$7:$F$54,32),$F$7:$F$54,0)),"")</f>
        <v>Annapolis Mall</v>
      </c>
      <c r="C90" s="46">
        <f>IFERROR(LARGE($F$7:$F$54,32),"")</f>
        <v>326.7467009447908</v>
      </c>
    </row>
    <row r="91" spans="1:3" x14ac:dyDescent="0.2">
      <c r="A91" s="49">
        <v>33</v>
      </c>
      <c r="B91" s="13" t="str">
        <f>IFERROR(INDEX($A$7:$A$54,MATCH(LARGE($F$7:$F$54,33),$F$7:$F$54,0)),"")</f>
        <v>SouthPark Mall (OH)</v>
      </c>
      <c r="C91" s="46">
        <f>IFERROR(LARGE($F$7:$F$54,33),"")</f>
        <v>320.6441988507512</v>
      </c>
    </row>
    <row r="92" spans="1:3" x14ac:dyDescent="0.2">
      <c r="A92" s="49">
        <v>34</v>
      </c>
      <c r="B92" s="13" t="str">
        <f>IFERROR(INDEX($A$7:$A$54,MATCH(LARGE($F$7:$F$54,34),$F$7:$F$54,0)),"")</f>
        <v>Galleria at Tyler</v>
      </c>
      <c r="C92" s="46">
        <f>IFERROR(LARGE($F$7:$F$54,34),"")</f>
        <v>318.89234959389137</v>
      </c>
    </row>
    <row r="93" spans="1:3" x14ac:dyDescent="0.2">
      <c r="A93" s="49">
        <v>35</v>
      </c>
      <c r="B93" s="13" t="str">
        <f>IFERROR(INDEX($A$7:$A$54,MATCH(LARGE($F$7:$F$54,35),$F$7:$F$54,0)),"")</f>
        <v>Staten Island Mall</v>
      </c>
      <c r="C93" s="46">
        <f>IFERROR(LARGE($F$7:$F$54,35),"")</f>
        <v>314.46369508954365</v>
      </c>
    </row>
    <row r="94" spans="1:3" x14ac:dyDescent="0.2">
      <c r="A94" s="49">
        <v>36</v>
      </c>
      <c r="B94" s="13" t="str">
        <f>IFERROR(INDEX($A$7:$A$54,MATCH(LARGE($F$7:$F$54,36),$F$7:$F$54,0)),"")</f>
        <v>SoNo Collection</v>
      </c>
      <c r="C94" s="46">
        <f>IFERROR(LARGE($F$7:$F$54,36),"")</f>
        <v>305.74396360381132</v>
      </c>
    </row>
    <row r="95" spans="1:3" x14ac:dyDescent="0.2">
      <c r="A95" s="49">
        <v>37</v>
      </c>
      <c r="B95" s="13" t="str">
        <f>IFERROR(INDEX($A$7:$A$54,MATCH(LARGE($F$7:$F$54,37),$F$7:$F$54,0)),"")</f>
        <v>Hanes Mall</v>
      </c>
      <c r="C95" s="46">
        <f>IFERROR(LARGE($F$7:$F$54,37),"")</f>
        <v>301.84479904176538</v>
      </c>
    </row>
    <row r="96" spans="1:3" x14ac:dyDescent="0.2">
      <c r="A96" s="49">
        <v>38</v>
      </c>
      <c r="B96" s="13" t="str">
        <f>IFERROR(INDEX($A$7:$A$54,MATCH(LARGE($F$7:$F$54,38),$F$7:$F$54,0)),"")</f>
        <v>Coastal Grand Mall</v>
      </c>
      <c r="C96" s="46">
        <f>IFERROR(LARGE($F$7:$F$54,38),"")</f>
        <v>301.59057844260809</v>
      </c>
    </row>
    <row r="97" spans="1:3" x14ac:dyDescent="0.2">
      <c r="A97" s="49">
        <v>39</v>
      </c>
      <c r="B97" s="13" t="str">
        <f>IFERROR(INDEX($A$7:$A$54,MATCH(LARGE($F$7:$F$54,39),$F$7:$F$54,0)),"")</f>
        <v>The Shops At Evergreen Walk</v>
      </c>
      <c r="C97" s="46">
        <f>IFERROR(LARGE($F$7:$F$54,39),"")</f>
        <v>299.18777921026594</v>
      </c>
    </row>
    <row r="98" spans="1:3" x14ac:dyDescent="0.2">
      <c r="A98" s="49">
        <v>40</v>
      </c>
      <c r="B98" s="13" t="str">
        <f>IFERROR(INDEX($A$7:$A$54,MATCH(LARGE($F$7:$F$54,40),$F$7:$F$54,0)),"")</f>
        <v>Mall at Prince Georges</v>
      </c>
      <c r="C98" s="46">
        <f>IFERROR(LARGE($F$7:$F$54,40),"")</f>
        <v>298.45757556819365</v>
      </c>
    </row>
    <row r="99" spans="1:3" x14ac:dyDescent="0.2">
      <c r="A99" s="49">
        <v>41</v>
      </c>
      <c r="B99" s="13" t="str">
        <f>IFERROR(INDEX($A$7:$A$54,MATCH(LARGE($F$7:$F$54,41),$F$7:$F$54,0)),"")</f>
        <v>Mall at Partridge Creek</v>
      </c>
      <c r="C99" s="46">
        <f>IFERROR(LARGE($F$7:$F$54,41),"")</f>
        <v>277.1082655183219</v>
      </c>
    </row>
    <row r="100" spans="1:3" x14ac:dyDescent="0.2">
      <c r="A100" s="49">
        <v>42</v>
      </c>
      <c r="B100" s="13" t="str">
        <f>IFERROR(INDEX($A$7:$A$54,MATCH(LARGE($F$7:$F$54,42),$F$7:$F$54,0)),"")</f>
        <v>West Towne Mall</v>
      </c>
      <c r="C100" s="46">
        <f>IFERROR(LARGE($F$7:$F$54,42),"")</f>
        <v>266.93394601931612</v>
      </c>
    </row>
    <row r="101" spans="1:3" x14ac:dyDescent="0.2">
      <c r="A101" s="49">
        <v>43</v>
      </c>
      <c r="B101" s="13" t="str">
        <f>IFERROR(INDEX($A$7:$A$54,MATCH(LARGE($F$7:$F$54,43),$F$7:$F$54,0)),"")</f>
        <v>Mall at Wellington Green</v>
      </c>
      <c r="C101" s="46">
        <f>IFERROR(LARGE($F$7:$F$54,43),"")</f>
        <v>261.22757695181622</v>
      </c>
    </row>
    <row r="102" spans="1:3" x14ac:dyDescent="0.2">
      <c r="A102" s="49">
        <v>44</v>
      </c>
      <c r="B102" s="13" t="str">
        <f>IFERROR(INDEX($A$7:$A$54,MATCH(LARGE($F$7:$F$54,44),$F$7:$F$54,0)),"")</f>
        <v>Mall del Norte</v>
      </c>
      <c r="C102" s="46">
        <f>IFERROR(LARGE($F$7:$F$54,44),"")</f>
        <v>260.03734973986849</v>
      </c>
    </row>
    <row r="103" spans="1:3" x14ac:dyDescent="0.2">
      <c r="A103" s="49">
        <v>45</v>
      </c>
      <c r="B103" s="13" t="str">
        <f>IFERROR(INDEX($A$7:$A$54,MATCH(LARGE($F$7:$F$54,45),$F$7:$F$54,0)),"")</f>
        <v>Pearland Town Center</v>
      </c>
      <c r="C103" s="46">
        <f>IFERROR(LARGE($F$7:$F$54,45),"")</f>
        <v>257.02422811354529</v>
      </c>
    </row>
    <row r="104" spans="1:3" x14ac:dyDescent="0.2">
      <c r="A104" s="49">
        <v>46</v>
      </c>
      <c r="B104" s="13" t="str">
        <f>IFERROR(INDEX($A$7:$A$54,MATCH(LARGE($F$7:$F$54,46),$F$7:$F$54,0)),"")</f>
        <v>Liberty Center</v>
      </c>
      <c r="C104" s="46">
        <f>IFERROR(LARGE($F$7:$F$54,46),"")</f>
        <v>235.43554344758189</v>
      </c>
    </row>
    <row r="105" spans="1:3" x14ac:dyDescent="0.2">
      <c r="A105" s="49">
        <v>47</v>
      </c>
      <c r="B105" s="13" t="str">
        <f>IFERROR(INDEX($A$7:$A$54,MATCH(LARGE($F$7:$F$54,47),$F$7:$F$54,0)),"")</f>
        <v>Belmar</v>
      </c>
      <c r="C105" s="46">
        <f>IFERROR(LARGE($F$7:$F$54,47),"")</f>
        <v>179.49132263906856</v>
      </c>
    </row>
    <row r="106" spans="1:3" x14ac:dyDescent="0.2">
      <c r="A106" s="49">
        <v>48</v>
      </c>
      <c r="B106" s="13" t="str">
        <f>IFERROR(INDEX($A$7:$A$54,MATCH(LARGE($F$7:$F$54,48),$F$7:$F$54,0)),"")</f>
        <v>Briarwood Mall</v>
      </c>
      <c r="C106" s="46">
        <f>IFERROR(LARGE($F$7:$F$54,48),"")</f>
        <v>24.938699414351429</v>
      </c>
    </row>
  </sheetData>
  <mergeCells count="2">
    <mergeCell ref="A1:F1"/>
    <mergeCell ref="A57:E57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_CatList!$A$1:$A$10</xm:f>
          </x14:formula1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D4A7A"/>
  </sheetPr>
  <dimension ref="A1:L4674"/>
  <sheetViews>
    <sheetView topLeftCell="B1" workbookViewId="0">
      <pane ySplit="1" topLeftCell="A85" activePane="bottomLeft" state="frozen"/>
      <selection pane="bottomLeft" activeCell="F128" sqref="F128"/>
    </sheetView>
  </sheetViews>
  <sheetFormatPr baseColWidth="10" defaultColWidth="8.83203125" defaultRowHeight="15" x14ac:dyDescent="0.2"/>
  <cols>
    <col min="1" max="1" width="28" customWidth="1"/>
    <col min="2" max="2" width="30" customWidth="1"/>
    <col min="3" max="3" width="12" customWidth="1"/>
    <col min="4" max="4" width="16" customWidth="1"/>
    <col min="5" max="10" width="14" customWidth="1"/>
    <col min="11" max="11" width="13" hidden="1" customWidth="1"/>
  </cols>
  <sheetData>
    <row r="1" spans="1:12" ht="16" x14ac:dyDescent="0.2">
      <c r="A1" s="33" t="s">
        <v>14</v>
      </c>
      <c r="B1" s="33" t="s">
        <v>158</v>
      </c>
      <c r="C1" s="33" t="s">
        <v>159</v>
      </c>
      <c r="D1" s="33" t="s">
        <v>71</v>
      </c>
      <c r="E1" s="33" t="s">
        <v>160</v>
      </c>
      <c r="F1" s="33" t="s">
        <v>144</v>
      </c>
      <c r="G1" s="33" t="s">
        <v>145</v>
      </c>
      <c r="H1" s="33" t="s">
        <v>161</v>
      </c>
      <c r="I1" s="33" t="s">
        <v>162</v>
      </c>
      <c r="J1" s="33" t="s">
        <v>147</v>
      </c>
      <c r="K1" s="33" t="s">
        <v>163</v>
      </c>
    </row>
    <row r="2" spans="1:12" x14ac:dyDescent="0.2">
      <c r="A2" s="51" t="s">
        <v>55</v>
      </c>
      <c r="B2" s="51" t="s">
        <v>164</v>
      </c>
      <c r="C2" s="51"/>
      <c r="D2" s="51" t="s">
        <v>76</v>
      </c>
      <c r="E2" s="52">
        <v>3123</v>
      </c>
      <c r="F2" s="53">
        <v>1490947</v>
      </c>
      <c r="G2" s="54">
        <v>477.40858149215501</v>
      </c>
      <c r="H2" s="55">
        <v>-6.2126863259659479E-2</v>
      </c>
      <c r="I2" s="54">
        <v>56.38</v>
      </c>
      <c r="J2" s="55">
        <v>0.1180959081711154</v>
      </c>
      <c r="K2" s="51" t="s">
        <v>165</v>
      </c>
      <c r="L2" s="89"/>
    </row>
    <row r="3" spans="1:12" x14ac:dyDescent="0.2">
      <c r="A3" s="51" t="s">
        <v>55</v>
      </c>
      <c r="B3" s="51" t="s">
        <v>166</v>
      </c>
      <c r="C3" s="51"/>
      <c r="D3" s="51" t="s">
        <v>76</v>
      </c>
      <c r="E3" s="52">
        <v>3390</v>
      </c>
      <c r="F3" s="53">
        <v>1411295</v>
      </c>
      <c r="G3" s="54">
        <v>416.311209439528</v>
      </c>
      <c r="H3" s="55">
        <v>0.19593807263929841</v>
      </c>
      <c r="I3" s="54">
        <v>49.957346999999999</v>
      </c>
      <c r="J3" s="55">
        <v>0.1200000044852423</v>
      </c>
      <c r="K3" s="51" t="s">
        <v>167</v>
      </c>
      <c r="L3" s="89"/>
    </row>
    <row r="4" spans="1:12" x14ac:dyDescent="0.2">
      <c r="A4" s="51" t="s">
        <v>55</v>
      </c>
      <c r="B4" s="51" t="s">
        <v>169</v>
      </c>
      <c r="C4" s="51"/>
      <c r="D4" s="51" t="s">
        <v>76</v>
      </c>
      <c r="E4" s="52">
        <v>6541</v>
      </c>
      <c r="F4" s="53">
        <v>2753207</v>
      </c>
      <c r="G4" s="54">
        <v>420.91530347041743</v>
      </c>
      <c r="H4" s="55">
        <v>2.464036540501871E-2</v>
      </c>
      <c r="I4" s="54">
        <v>59.23</v>
      </c>
      <c r="J4" s="55">
        <v>0.1407171454961432</v>
      </c>
      <c r="K4" s="51" t="s">
        <v>170</v>
      </c>
      <c r="L4" s="89"/>
    </row>
    <row r="5" spans="1:12" x14ac:dyDescent="0.2">
      <c r="A5" s="51" t="s">
        <v>55</v>
      </c>
      <c r="B5" s="51" t="s">
        <v>171</v>
      </c>
      <c r="C5" s="51"/>
      <c r="D5" s="51" t="s">
        <v>84</v>
      </c>
      <c r="E5" s="52">
        <v>6012</v>
      </c>
      <c r="F5" s="53">
        <v>0</v>
      </c>
      <c r="G5" s="54"/>
      <c r="H5" s="55"/>
      <c r="I5" s="54">
        <v>95.14</v>
      </c>
      <c r="J5" s="55"/>
      <c r="K5" s="51" t="s">
        <v>172</v>
      </c>
      <c r="L5" s="89"/>
    </row>
    <row r="6" spans="1:12" x14ac:dyDescent="0.2">
      <c r="A6" s="51" t="s">
        <v>55</v>
      </c>
      <c r="B6" s="51" t="s">
        <v>173</v>
      </c>
      <c r="C6" s="51"/>
      <c r="D6" s="51" t="s">
        <v>80</v>
      </c>
      <c r="E6" s="52">
        <v>1575</v>
      </c>
      <c r="F6" s="53">
        <v>1870256</v>
      </c>
      <c r="G6" s="54">
        <v>1187.464126984127</v>
      </c>
      <c r="H6" s="55">
        <v>8.4080647364355776E-2</v>
      </c>
      <c r="I6" s="54">
        <v>216.2</v>
      </c>
      <c r="J6" s="55">
        <v>0.18206865798051169</v>
      </c>
      <c r="K6" s="51" t="s">
        <v>174</v>
      </c>
      <c r="L6" s="89"/>
    </row>
    <row r="7" spans="1:12" x14ac:dyDescent="0.2">
      <c r="A7" s="51" t="s">
        <v>55</v>
      </c>
      <c r="B7" s="51" t="s">
        <v>173</v>
      </c>
      <c r="C7" s="51"/>
      <c r="D7" s="51" t="s">
        <v>80</v>
      </c>
      <c r="E7" s="52">
        <v>1575</v>
      </c>
      <c r="F7" s="53">
        <v>1870256</v>
      </c>
      <c r="G7" s="54">
        <v>1187.464126984127</v>
      </c>
      <c r="H7" s="55">
        <v>-6.6416167743304111E-2</v>
      </c>
      <c r="I7" s="54">
        <v>216.2</v>
      </c>
      <c r="J7" s="55">
        <v>0.18206865798051169</v>
      </c>
      <c r="K7" s="51" t="s">
        <v>174</v>
      </c>
      <c r="L7" s="89"/>
    </row>
    <row r="8" spans="1:12" x14ac:dyDescent="0.2">
      <c r="A8" s="51" t="s">
        <v>55</v>
      </c>
      <c r="B8" s="51" t="s">
        <v>175</v>
      </c>
      <c r="C8" s="51"/>
      <c r="D8" s="51" t="s">
        <v>78</v>
      </c>
      <c r="E8" s="52">
        <v>160</v>
      </c>
      <c r="F8" s="53">
        <v>627251</v>
      </c>
      <c r="G8" s="54">
        <v>3920.3187499999999</v>
      </c>
      <c r="H8" s="55">
        <v>-4.3607865891155763E-2</v>
      </c>
      <c r="I8" s="54">
        <v>392.031769</v>
      </c>
      <c r="J8" s="55">
        <v>9.9999972961382286E-2</v>
      </c>
      <c r="K8" s="51" t="s">
        <v>176</v>
      </c>
      <c r="L8" s="89"/>
    </row>
    <row r="9" spans="1:12" x14ac:dyDescent="0.2">
      <c r="A9" s="51" t="s">
        <v>55</v>
      </c>
      <c r="B9" s="51" t="s">
        <v>177</v>
      </c>
      <c r="C9" s="51"/>
      <c r="D9" s="51" t="s">
        <v>85</v>
      </c>
      <c r="E9" s="52">
        <v>31951</v>
      </c>
      <c r="F9" s="53">
        <v>8824999</v>
      </c>
      <c r="G9" s="54">
        <v>276.20415636443312</v>
      </c>
      <c r="H9" s="55">
        <v>5.2893455120945478E-5</v>
      </c>
      <c r="I9" s="54">
        <v>22.219781999999999</v>
      </c>
      <c r="J9" s="55">
        <v>8.044695015625497E-2</v>
      </c>
      <c r="K9" s="51" t="s">
        <v>178</v>
      </c>
      <c r="L9" s="89"/>
    </row>
    <row r="10" spans="1:12" x14ac:dyDescent="0.2">
      <c r="A10" s="51" t="s">
        <v>55</v>
      </c>
      <c r="B10" s="51" t="s">
        <v>179</v>
      </c>
      <c r="C10" s="51"/>
      <c r="D10" s="51" t="s">
        <v>79</v>
      </c>
      <c r="E10" s="52">
        <v>4050</v>
      </c>
      <c r="F10" s="53">
        <v>3468914</v>
      </c>
      <c r="G10" s="54">
        <v>856.52197530864203</v>
      </c>
      <c r="H10" s="55">
        <v>-1.3321068829090579E-3</v>
      </c>
      <c r="I10" s="54">
        <v>90.47</v>
      </c>
      <c r="J10" s="55">
        <v>0.10562484397134091</v>
      </c>
      <c r="K10" s="51" t="s">
        <v>180</v>
      </c>
      <c r="L10" s="89"/>
    </row>
    <row r="11" spans="1:12" x14ac:dyDescent="0.2">
      <c r="A11" s="51" t="s">
        <v>55</v>
      </c>
      <c r="B11" s="51" t="s">
        <v>181</v>
      </c>
      <c r="C11" s="51"/>
      <c r="D11" s="51" t="s">
        <v>83</v>
      </c>
      <c r="E11" s="52">
        <v>844</v>
      </c>
      <c r="F11" s="53">
        <v>261221.84</v>
      </c>
      <c r="G11" s="54">
        <v>309.5045497630332</v>
      </c>
      <c r="H11" s="55">
        <v>-6.9732027579447062E-2</v>
      </c>
      <c r="I11" s="54">
        <v>110.78</v>
      </c>
      <c r="J11" s="55">
        <v>0.35792688697085973</v>
      </c>
      <c r="K11" s="51" t="s">
        <v>182</v>
      </c>
      <c r="L11" s="89"/>
    </row>
    <row r="12" spans="1:12" x14ac:dyDescent="0.2">
      <c r="A12" s="51" t="s">
        <v>55</v>
      </c>
      <c r="B12" s="51" t="s">
        <v>183</v>
      </c>
      <c r="C12" s="51"/>
      <c r="D12" s="51" t="s">
        <v>80</v>
      </c>
      <c r="E12" s="52">
        <v>609</v>
      </c>
      <c r="F12" s="53">
        <v>217771</v>
      </c>
      <c r="G12" s="54">
        <v>357.58784893267648</v>
      </c>
      <c r="H12" s="55">
        <v>-0.13564254132148429</v>
      </c>
      <c r="I12" s="54">
        <v>109.83</v>
      </c>
      <c r="J12" s="55">
        <v>0.30714130898971859</v>
      </c>
      <c r="K12" s="51" t="s">
        <v>184</v>
      </c>
      <c r="L12" s="89"/>
    </row>
    <row r="13" spans="1:12" x14ac:dyDescent="0.2">
      <c r="A13" s="51" t="s">
        <v>55</v>
      </c>
      <c r="B13" s="51" t="s">
        <v>185</v>
      </c>
      <c r="C13" s="51"/>
      <c r="D13" s="51" t="s">
        <v>81</v>
      </c>
      <c r="E13" s="52">
        <v>1256</v>
      </c>
      <c r="F13" s="53">
        <v>1025675.86</v>
      </c>
      <c r="G13" s="54">
        <v>816.62090764331208</v>
      </c>
      <c r="H13" s="55">
        <v>-5.3244759355248673E-2</v>
      </c>
      <c r="I13" s="54">
        <v>76.09</v>
      </c>
      <c r="J13" s="55">
        <v>9.3176649394868291E-2</v>
      </c>
      <c r="K13" s="51" t="s">
        <v>186</v>
      </c>
      <c r="L13" s="89"/>
    </row>
    <row r="14" spans="1:12" x14ac:dyDescent="0.2">
      <c r="A14" s="51" t="s">
        <v>55</v>
      </c>
      <c r="B14" s="51" t="s">
        <v>187</v>
      </c>
      <c r="C14" s="51"/>
      <c r="D14" s="51" t="s">
        <v>76</v>
      </c>
      <c r="E14" s="52">
        <v>1592</v>
      </c>
      <c r="F14" s="53">
        <v>869307</v>
      </c>
      <c r="G14" s="54">
        <v>546.0471105527638</v>
      </c>
      <c r="H14" s="55">
        <v>-0.16447633744808279</v>
      </c>
      <c r="I14" s="54">
        <v>109.85</v>
      </c>
      <c r="J14" s="55">
        <v>0.20117311835749621</v>
      </c>
      <c r="K14" s="51" t="s">
        <v>188</v>
      </c>
      <c r="L14" s="89"/>
    </row>
    <row r="15" spans="1:12" x14ac:dyDescent="0.2">
      <c r="A15" s="51" t="s">
        <v>55</v>
      </c>
      <c r="B15" s="51" t="s">
        <v>189</v>
      </c>
      <c r="C15" s="51"/>
      <c r="D15" s="51" t="s">
        <v>80</v>
      </c>
      <c r="E15" s="52">
        <v>480</v>
      </c>
      <c r="F15" s="53">
        <v>1015329</v>
      </c>
      <c r="G15" s="54">
        <v>2115.2687500000002</v>
      </c>
      <c r="H15" s="55">
        <v>-4.7097046833536819E-2</v>
      </c>
      <c r="I15" s="54">
        <v>312.89</v>
      </c>
      <c r="J15" s="55">
        <v>0.14791973833112221</v>
      </c>
      <c r="K15" s="51" t="s">
        <v>190</v>
      </c>
      <c r="L15" s="89"/>
    </row>
    <row r="16" spans="1:12" x14ac:dyDescent="0.2">
      <c r="A16" s="51" t="s">
        <v>55</v>
      </c>
      <c r="B16" s="51" t="s">
        <v>191</v>
      </c>
      <c r="C16" s="51"/>
      <c r="D16" s="51" t="s">
        <v>76</v>
      </c>
      <c r="E16" s="52">
        <v>5386</v>
      </c>
      <c r="F16" s="53">
        <v>2742082</v>
      </c>
      <c r="G16" s="54">
        <v>509.11288525807652</v>
      </c>
      <c r="H16" s="55">
        <v>-8.5705551754973353E-2</v>
      </c>
      <c r="I16" s="54">
        <v>102.25</v>
      </c>
      <c r="J16" s="55">
        <v>0.20083954455045469</v>
      </c>
      <c r="K16" s="51" t="s">
        <v>192</v>
      </c>
      <c r="L16" s="89"/>
    </row>
    <row r="17" spans="1:12" x14ac:dyDescent="0.2">
      <c r="A17" s="51" t="s">
        <v>55</v>
      </c>
      <c r="B17" s="51" t="s">
        <v>193</v>
      </c>
      <c r="C17" s="51"/>
      <c r="D17" s="51" t="s">
        <v>82</v>
      </c>
      <c r="E17" s="52">
        <v>3225</v>
      </c>
      <c r="F17" s="53">
        <v>1403055</v>
      </c>
      <c r="G17" s="54">
        <v>435.05581395348838</v>
      </c>
      <c r="H17" s="55">
        <v>-8.0132795008958715E-3</v>
      </c>
      <c r="I17" s="54">
        <v>69.577815000000001</v>
      </c>
      <c r="J17" s="55">
        <v>0.1599284799063472</v>
      </c>
      <c r="K17" s="51" t="s">
        <v>194</v>
      </c>
      <c r="L17" s="89"/>
    </row>
    <row r="18" spans="1:12" x14ac:dyDescent="0.2">
      <c r="A18" s="51" t="s">
        <v>55</v>
      </c>
      <c r="B18" s="51" t="s">
        <v>195</v>
      </c>
      <c r="C18" s="51"/>
      <c r="D18" s="51" t="s">
        <v>80</v>
      </c>
      <c r="E18" s="52">
        <v>768</v>
      </c>
      <c r="F18" s="53">
        <v>652412</v>
      </c>
      <c r="G18" s="54">
        <v>849.49479166666663</v>
      </c>
      <c r="H18" s="55">
        <v>-8.7966108792828374E-2</v>
      </c>
      <c r="I18" s="54">
        <v>136.12</v>
      </c>
      <c r="J18" s="55">
        <v>0.16023641502608779</v>
      </c>
      <c r="K18" s="51" t="s">
        <v>196</v>
      </c>
      <c r="L18" s="89"/>
    </row>
    <row r="19" spans="1:12" x14ac:dyDescent="0.2">
      <c r="A19" s="51" t="s">
        <v>55</v>
      </c>
      <c r="B19" s="51" t="s">
        <v>198</v>
      </c>
      <c r="C19" s="51"/>
      <c r="D19" s="51" t="s">
        <v>86</v>
      </c>
      <c r="E19" s="52">
        <v>70752</v>
      </c>
      <c r="F19" s="53">
        <v>1396999</v>
      </c>
      <c r="G19" s="54">
        <v>19.745010741745819</v>
      </c>
      <c r="H19" s="55">
        <v>-3.9857904567674747E-2</v>
      </c>
      <c r="I19" s="54">
        <v>19.7</v>
      </c>
      <c r="J19" s="55">
        <v>0.99772039922720057</v>
      </c>
      <c r="K19" s="51" t="s">
        <v>199</v>
      </c>
      <c r="L19" s="89"/>
    </row>
    <row r="20" spans="1:12" x14ac:dyDescent="0.2">
      <c r="A20" s="51" t="s">
        <v>55</v>
      </c>
      <c r="B20" s="51" t="s">
        <v>200</v>
      </c>
      <c r="C20" s="51"/>
      <c r="D20" s="51" t="s">
        <v>77</v>
      </c>
      <c r="E20" s="52">
        <v>4399</v>
      </c>
      <c r="F20" s="53">
        <v>4065847</v>
      </c>
      <c r="G20" s="54">
        <v>924.26619686292338</v>
      </c>
      <c r="H20" s="55">
        <v>-6.8705841929706163E-2</v>
      </c>
      <c r="I20" s="54">
        <v>75.239424999999997</v>
      </c>
      <c r="J20" s="55">
        <v>8.1404497162583828E-2</v>
      </c>
      <c r="K20" s="51" t="s">
        <v>201</v>
      </c>
      <c r="L20" s="89"/>
    </row>
    <row r="21" spans="1:12" x14ac:dyDescent="0.2">
      <c r="A21" s="51" t="s">
        <v>55</v>
      </c>
      <c r="B21" s="51" t="s">
        <v>202</v>
      </c>
      <c r="C21" s="51"/>
      <c r="D21" s="51" t="s">
        <v>81</v>
      </c>
      <c r="E21" s="52">
        <v>872</v>
      </c>
      <c r="F21" s="53">
        <v>1384714</v>
      </c>
      <c r="G21" s="54">
        <v>1587.974770642202</v>
      </c>
      <c r="H21" s="55">
        <v>-1.534662157014564E-2</v>
      </c>
      <c r="I21" s="54">
        <v>316.13</v>
      </c>
      <c r="J21" s="55">
        <v>0.19907747014907051</v>
      </c>
      <c r="K21" s="51" t="s">
        <v>203</v>
      </c>
      <c r="L21" s="89"/>
    </row>
    <row r="22" spans="1:12" x14ac:dyDescent="0.2">
      <c r="A22" s="51" t="s">
        <v>55</v>
      </c>
      <c r="B22" s="51" t="s">
        <v>204</v>
      </c>
      <c r="C22" s="51"/>
      <c r="D22" s="51" t="s">
        <v>81</v>
      </c>
      <c r="E22" s="52">
        <v>2778</v>
      </c>
      <c r="F22" s="53">
        <v>3523360</v>
      </c>
      <c r="G22" s="54">
        <v>1268.3081353491721</v>
      </c>
      <c r="H22" s="55">
        <v>-9.6910990706264133E-2</v>
      </c>
      <c r="I22" s="54">
        <v>98.35</v>
      </c>
      <c r="J22" s="55">
        <v>7.7544247536442484E-2</v>
      </c>
      <c r="K22" s="51" t="s">
        <v>205</v>
      </c>
      <c r="L22" s="89"/>
    </row>
    <row r="23" spans="1:12" x14ac:dyDescent="0.2">
      <c r="A23" s="51" t="s">
        <v>55</v>
      </c>
      <c r="B23" s="51" t="s">
        <v>206</v>
      </c>
      <c r="C23" s="51"/>
      <c r="D23" s="51" t="s">
        <v>80</v>
      </c>
      <c r="E23" s="52">
        <v>661</v>
      </c>
      <c r="F23" s="53">
        <v>1195533</v>
      </c>
      <c r="G23" s="54">
        <v>1808.673222390318</v>
      </c>
      <c r="H23" s="55">
        <v>-0.18613776342073851</v>
      </c>
      <c r="I23" s="54">
        <v>270.89</v>
      </c>
      <c r="J23" s="55">
        <v>0.14977277080599199</v>
      </c>
      <c r="K23" s="51" t="s">
        <v>207</v>
      </c>
      <c r="L23" s="89"/>
    </row>
    <row r="24" spans="1:12" x14ac:dyDescent="0.2">
      <c r="A24" s="51" t="s">
        <v>55</v>
      </c>
      <c r="B24" s="51" t="s">
        <v>208</v>
      </c>
      <c r="C24" s="51"/>
      <c r="D24" s="51" t="s">
        <v>78</v>
      </c>
      <c r="E24" s="52">
        <v>937</v>
      </c>
      <c r="F24" s="53">
        <v>790518</v>
      </c>
      <c r="G24" s="54">
        <v>843.66915688367123</v>
      </c>
      <c r="H24" s="55">
        <v>-7.4508151724203942E-2</v>
      </c>
      <c r="I24" s="54">
        <v>250.62</v>
      </c>
      <c r="J24" s="55">
        <v>0.29705957359604718</v>
      </c>
      <c r="K24" s="51" t="s">
        <v>209</v>
      </c>
      <c r="L24" s="89"/>
    </row>
    <row r="25" spans="1:12" x14ac:dyDescent="0.2">
      <c r="A25" s="51" t="s">
        <v>55</v>
      </c>
      <c r="B25" s="51" t="s">
        <v>210</v>
      </c>
      <c r="C25" s="51"/>
      <c r="D25" s="51" t="s">
        <v>82</v>
      </c>
      <c r="E25" s="52">
        <v>2756</v>
      </c>
      <c r="F25" s="53">
        <v>420748</v>
      </c>
      <c r="G25" s="54">
        <v>152.66618287373001</v>
      </c>
      <c r="H25" s="55"/>
      <c r="I25" s="54">
        <v>52.83</v>
      </c>
      <c r="J25" s="55">
        <v>0.34604913154667399</v>
      </c>
      <c r="K25" s="51" t="s">
        <v>211</v>
      </c>
      <c r="L25" s="89"/>
    </row>
    <row r="26" spans="1:12" x14ac:dyDescent="0.2">
      <c r="A26" s="51" t="s">
        <v>55</v>
      </c>
      <c r="B26" s="51" t="s">
        <v>212</v>
      </c>
      <c r="C26" s="51"/>
      <c r="D26" s="51" t="s">
        <v>76</v>
      </c>
      <c r="E26" s="52">
        <v>2035</v>
      </c>
      <c r="F26" s="53">
        <v>2073580</v>
      </c>
      <c r="G26" s="54">
        <v>1018.958230958231</v>
      </c>
      <c r="H26" s="55">
        <v>0.19735299693691041</v>
      </c>
      <c r="I26" s="54">
        <v>122.274978</v>
      </c>
      <c r="J26" s="55">
        <v>0.1199999904657645</v>
      </c>
      <c r="K26" s="51" t="s">
        <v>213</v>
      </c>
      <c r="L26" s="89"/>
    </row>
    <row r="27" spans="1:12" x14ac:dyDescent="0.2">
      <c r="A27" s="51" t="s">
        <v>55</v>
      </c>
      <c r="B27" s="51" t="s">
        <v>214</v>
      </c>
      <c r="C27" s="51"/>
      <c r="D27" s="51" t="s">
        <v>80</v>
      </c>
      <c r="E27" s="52">
        <v>626</v>
      </c>
      <c r="F27" s="53">
        <v>338927</v>
      </c>
      <c r="G27" s="54">
        <v>541.41693290734827</v>
      </c>
      <c r="H27" s="55">
        <v>6.6182102383743655E-2</v>
      </c>
      <c r="I27" s="54">
        <v>109.47</v>
      </c>
      <c r="J27" s="55">
        <v>0.2021916813945186</v>
      </c>
      <c r="K27" s="51" t="s">
        <v>215</v>
      </c>
      <c r="L27" s="89"/>
    </row>
    <row r="28" spans="1:12" x14ac:dyDescent="0.2">
      <c r="A28" s="51" t="s">
        <v>55</v>
      </c>
      <c r="B28" s="51" t="s">
        <v>216</v>
      </c>
      <c r="C28" s="51"/>
      <c r="D28" s="51" t="s">
        <v>84</v>
      </c>
      <c r="E28" s="52">
        <v>882</v>
      </c>
      <c r="F28" s="53">
        <v>0</v>
      </c>
      <c r="G28" s="54"/>
      <c r="H28" s="55"/>
      <c r="I28" s="54">
        <v>58.01</v>
      </c>
      <c r="J28" s="55"/>
      <c r="K28" s="51" t="s">
        <v>217</v>
      </c>
      <c r="L28" s="89"/>
    </row>
    <row r="29" spans="1:12" x14ac:dyDescent="0.2">
      <c r="A29" s="51" t="s">
        <v>55</v>
      </c>
      <c r="B29" s="51" t="s">
        <v>218</v>
      </c>
      <c r="C29" s="51"/>
      <c r="D29" s="51" t="s">
        <v>80</v>
      </c>
      <c r="E29" s="52">
        <v>2442</v>
      </c>
      <c r="F29" s="53">
        <v>2047924</v>
      </c>
      <c r="G29" s="54">
        <v>838.62571662571668</v>
      </c>
      <c r="H29" s="55"/>
      <c r="I29" s="54">
        <v>95.163383999999994</v>
      </c>
      <c r="J29" s="55">
        <v>0.1134753944619039</v>
      </c>
      <c r="K29" s="51" t="s">
        <v>219</v>
      </c>
      <c r="L29" s="89"/>
    </row>
    <row r="30" spans="1:12" x14ac:dyDescent="0.2">
      <c r="A30" s="51" t="s">
        <v>55</v>
      </c>
      <c r="B30" s="51" t="s">
        <v>220</v>
      </c>
      <c r="C30" s="51"/>
      <c r="D30" s="51" t="s">
        <v>85</v>
      </c>
      <c r="E30" s="52">
        <v>36470</v>
      </c>
      <c r="F30" s="53">
        <v>5768502</v>
      </c>
      <c r="G30" s="54">
        <v>158.1711543734576</v>
      </c>
      <c r="H30" s="55">
        <v>-0.12708422190968591</v>
      </c>
      <c r="I30" s="54">
        <v>41.75</v>
      </c>
      <c r="J30" s="55">
        <v>0.2639545760753832</v>
      </c>
      <c r="K30" s="51" t="s">
        <v>221</v>
      </c>
      <c r="L30" s="89"/>
    </row>
    <row r="31" spans="1:12" x14ac:dyDescent="0.2">
      <c r="A31" s="51" t="s">
        <v>55</v>
      </c>
      <c r="B31" s="51" t="s">
        <v>222</v>
      </c>
      <c r="C31" s="51"/>
      <c r="D31" s="51" t="s">
        <v>83</v>
      </c>
      <c r="E31" s="52">
        <v>3360</v>
      </c>
      <c r="F31" s="53">
        <v>568064</v>
      </c>
      <c r="G31" s="54">
        <v>169.06666666666669</v>
      </c>
      <c r="H31" s="55">
        <v>9.3545378041404267E-2</v>
      </c>
      <c r="I31" s="54">
        <v>35.86</v>
      </c>
      <c r="J31" s="55">
        <v>0.21210567823343851</v>
      </c>
      <c r="K31" s="51" t="s">
        <v>223</v>
      </c>
      <c r="L31" s="89"/>
    </row>
    <row r="32" spans="1:12" x14ac:dyDescent="0.2">
      <c r="A32" s="51" t="s">
        <v>55</v>
      </c>
      <c r="B32" s="51" t="s">
        <v>224</v>
      </c>
      <c r="C32" s="51"/>
      <c r="D32" s="51" t="s">
        <v>81</v>
      </c>
      <c r="E32" s="52">
        <v>5800</v>
      </c>
      <c r="F32" s="53">
        <v>1942214</v>
      </c>
      <c r="G32" s="54">
        <v>334.86448275862068</v>
      </c>
      <c r="H32" s="55"/>
      <c r="I32" s="54">
        <v>45.86</v>
      </c>
      <c r="J32" s="55">
        <v>0.13695092301878159</v>
      </c>
      <c r="K32" s="51" t="s">
        <v>225</v>
      </c>
      <c r="L32" s="89"/>
    </row>
    <row r="33" spans="1:12" x14ac:dyDescent="0.2">
      <c r="A33" s="51" t="s">
        <v>55</v>
      </c>
      <c r="B33" s="51" t="s">
        <v>226</v>
      </c>
      <c r="C33" s="51"/>
      <c r="D33" s="51" t="s">
        <v>82</v>
      </c>
      <c r="E33" s="52">
        <v>2762</v>
      </c>
      <c r="F33" s="53">
        <v>1157641.77</v>
      </c>
      <c r="G33" s="54">
        <v>419.13170528602461</v>
      </c>
      <c r="H33" s="55">
        <v>0.4510530800610793</v>
      </c>
      <c r="I33" s="54">
        <v>62.089551</v>
      </c>
      <c r="J33" s="55">
        <v>0.14813852117827431</v>
      </c>
      <c r="K33" s="51" t="s">
        <v>227</v>
      </c>
      <c r="L33" s="89"/>
    </row>
    <row r="34" spans="1:12" x14ac:dyDescent="0.2">
      <c r="A34" s="51" t="s">
        <v>55</v>
      </c>
      <c r="B34" s="51" t="s">
        <v>229</v>
      </c>
      <c r="C34" s="51"/>
      <c r="D34" s="51" t="s">
        <v>83</v>
      </c>
      <c r="E34" s="52">
        <v>1073</v>
      </c>
      <c r="F34" s="53">
        <v>588311</v>
      </c>
      <c r="G34" s="54">
        <v>548.28611369990676</v>
      </c>
      <c r="H34" s="55">
        <v>0.25343647023666782</v>
      </c>
      <c r="I34" s="54">
        <v>90.85</v>
      </c>
      <c r="J34" s="55">
        <v>0.16569815964685339</v>
      </c>
      <c r="K34" s="51" t="s">
        <v>230</v>
      </c>
      <c r="L34" s="89"/>
    </row>
    <row r="35" spans="1:12" x14ac:dyDescent="0.2">
      <c r="A35" s="51" t="s">
        <v>55</v>
      </c>
      <c r="B35" s="51" t="s">
        <v>231</v>
      </c>
      <c r="C35" s="51"/>
      <c r="D35" s="51" t="s">
        <v>76</v>
      </c>
      <c r="E35" s="52">
        <v>4475</v>
      </c>
      <c r="F35" s="53">
        <v>1296650</v>
      </c>
      <c r="G35" s="54">
        <v>289.75418994413411</v>
      </c>
      <c r="H35" s="55">
        <v>-0.2068277505236911</v>
      </c>
      <c r="I35" s="54">
        <v>26.077873</v>
      </c>
      <c r="J35" s="55">
        <v>8.9999985867427607E-2</v>
      </c>
      <c r="K35" s="51" t="s">
        <v>232</v>
      </c>
      <c r="L35" s="89"/>
    </row>
    <row r="36" spans="1:12" x14ac:dyDescent="0.2">
      <c r="A36" s="51" t="s">
        <v>55</v>
      </c>
      <c r="B36" s="51" t="s">
        <v>233</v>
      </c>
      <c r="C36" s="51"/>
      <c r="D36" s="51" t="s">
        <v>77</v>
      </c>
      <c r="E36" s="52">
        <v>3937</v>
      </c>
      <c r="F36" s="53">
        <v>1429111</v>
      </c>
      <c r="G36" s="54">
        <v>362.99491998984001</v>
      </c>
      <c r="H36" s="55">
        <v>4.9828144363443646E-3</v>
      </c>
      <c r="I36" s="54">
        <v>38.1</v>
      </c>
      <c r="J36" s="55">
        <v>0.1049601465526471</v>
      </c>
      <c r="K36" s="51" t="s">
        <v>234</v>
      </c>
      <c r="L36" s="89"/>
    </row>
    <row r="37" spans="1:12" x14ac:dyDescent="0.2">
      <c r="A37" s="51" t="s">
        <v>55</v>
      </c>
      <c r="B37" s="51" t="s">
        <v>235</v>
      </c>
      <c r="C37" s="51"/>
      <c r="D37" s="51" t="s">
        <v>77</v>
      </c>
      <c r="E37" s="52">
        <v>4512</v>
      </c>
      <c r="F37" s="53">
        <v>4401173</v>
      </c>
      <c r="G37" s="54">
        <v>975.4372783687943</v>
      </c>
      <c r="H37" s="55">
        <v>0.153382807250626</v>
      </c>
      <c r="I37" s="54">
        <v>108.168527</v>
      </c>
      <c r="J37" s="55">
        <v>0.1108923447962623</v>
      </c>
      <c r="K37" s="51" t="s">
        <v>236</v>
      </c>
      <c r="L37" s="89"/>
    </row>
    <row r="38" spans="1:12" x14ac:dyDescent="0.2">
      <c r="A38" s="51" t="s">
        <v>55</v>
      </c>
      <c r="B38" s="51" t="s">
        <v>237</v>
      </c>
      <c r="C38" s="51"/>
      <c r="D38" s="51" t="s">
        <v>83</v>
      </c>
      <c r="E38" s="52">
        <v>1444</v>
      </c>
      <c r="F38" s="53">
        <v>373398</v>
      </c>
      <c r="G38" s="54">
        <v>258.58587257617728</v>
      </c>
      <c r="H38" s="55">
        <v>-0.2274176761993893</v>
      </c>
      <c r="I38" s="54">
        <v>122.33</v>
      </c>
      <c r="J38" s="55">
        <v>0.47307302128024248</v>
      </c>
      <c r="K38" s="51" t="s">
        <v>238</v>
      </c>
      <c r="L38" s="89"/>
    </row>
    <row r="39" spans="1:12" x14ac:dyDescent="0.2">
      <c r="A39" s="51" t="s">
        <v>55</v>
      </c>
      <c r="B39" s="51" t="s">
        <v>240</v>
      </c>
      <c r="C39" s="51"/>
      <c r="D39" s="51" t="s">
        <v>82</v>
      </c>
      <c r="E39" s="52">
        <v>5979</v>
      </c>
      <c r="F39" s="53">
        <v>327553</v>
      </c>
      <c r="G39" s="54">
        <v>54.78391035290182</v>
      </c>
      <c r="H39" s="55"/>
      <c r="I39" s="54">
        <v>20.07</v>
      </c>
      <c r="J39" s="55">
        <v>0.36634843826800551</v>
      </c>
      <c r="K39" s="51" t="s">
        <v>241</v>
      </c>
      <c r="L39" s="89"/>
    </row>
    <row r="40" spans="1:12" x14ac:dyDescent="0.2">
      <c r="A40" s="51" t="s">
        <v>55</v>
      </c>
      <c r="B40" s="51" t="s">
        <v>243</v>
      </c>
      <c r="C40" s="51"/>
      <c r="D40" s="51" t="s">
        <v>82</v>
      </c>
      <c r="E40" s="52">
        <v>2230</v>
      </c>
      <c r="F40" s="53">
        <v>1165585</v>
      </c>
      <c r="G40" s="54">
        <v>522.68385650224218</v>
      </c>
      <c r="H40" s="55">
        <v>-7.0653169901452872E-2</v>
      </c>
      <c r="I40" s="54">
        <v>53</v>
      </c>
      <c r="J40" s="55">
        <v>0.101399726317686</v>
      </c>
      <c r="K40" s="51" t="s">
        <v>244</v>
      </c>
      <c r="L40" s="89"/>
    </row>
    <row r="41" spans="1:12" x14ac:dyDescent="0.2">
      <c r="A41" s="51" t="s">
        <v>55</v>
      </c>
      <c r="B41" s="51" t="s">
        <v>245</v>
      </c>
      <c r="C41" s="51"/>
      <c r="D41" s="51" t="s">
        <v>79</v>
      </c>
      <c r="E41" s="52">
        <v>1220</v>
      </c>
      <c r="F41" s="53">
        <v>541991</v>
      </c>
      <c r="G41" s="54">
        <v>444.25491803278692</v>
      </c>
      <c r="H41" s="55">
        <v>-0.13099499555476041</v>
      </c>
      <c r="I41" s="54">
        <v>88.47</v>
      </c>
      <c r="J41" s="55">
        <v>0.1991424211841156</v>
      </c>
      <c r="K41" s="51" t="s">
        <v>246</v>
      </c>
      <c r="L41" s="89"/>
    </row>
    <row r="42" spans="1:12" x14ac:dyDescent="0.2">
      <c r="A42" s="51" t="s">
        <v>55</v>
      </c>
      <c r="B42" s="51" t="s">
        <v>247</v>
      </c>
      <c r="C42" s="51"/>
      <c r="D42" s="51" t="s">
        <v>76</v>
      </c>
      <c r="E42" s="52">
        <v>15726</v>
      </c>
      <c r="F42" s="53">
        <v>3404314</v>
      </c>
      <c r="G42" s="54">
        <v>216.47679002925091</v>
      </c>
      <c r="H42" s="55">
        <v>-0.27792223225241669</v>
      </c>
      <c r="I42" s="54">
        <v>28.81</v>
      </c>
      <c r="J42" s="55">
        <v>0.13308586105747</v>
      </c>
      <c r="K42" s="51" t="s">
        <v>248</v>
      </c>
      <c r="L42" s="89"/>
    </row>
    <row r="43" spans="1:12" x14ac:dyDescent="0.2">
      <c r="A43" s="51" t="s">
        <v>55</v>
      </c>
      <c r="B43" s="51" t="s">
        <v>249</v>
      </c>
      <c r="C43" s="51"/>
      <c r="D43" s="51" t="s">
        <v>82</v>
      </c>
      <c r="E43" s="52">
        <v>3099</v>
      </c>
      <c r="F43" s="53">
        <v>821200</v>
      </c>
      <c r="G43" s="54">
        <v>264.9887060342046</v>
      </c>
      <c r="H43" s="55">
        <v>4.5825296764358753E-3</v>
      </c>
      <c r="I43" s="54">
        <v>36.97</v>
      </c>
      <c r="J43" s="55">
        <v>0.1395153799318071</v>
      </c>
      <c r="K43" s="51" t="s">
        <v>250</v>
      </c>
      <c r="L43" s="89"/>
    </row>
    <row r="44" spans="1:12" x14ac:dyDescent="0.2">
      <c r="A44" s="51" t="s">
        <v>55</v>
      </c>
      <c r="B44" s="51" t="s">
        <v>251</v>
      </c>
      <c r="C44" s="51"/>
      <c r="D44" s="51" t="s">
        <v>77</v>
      </c>
      <c r="E44" s="52">
        <v>2644</v>
      </c>
      <c r="F44" s="53">
        <v>731170</v>
      </c>
      <c r="G44" s="54">
        <v>276.53933434190623</v>
      </c>
      <c r="H44" s="55"/>
      <c r="I44" s="54">
        <v>81.81</v>
      </c>
      <c r="J44" s="55">
        <v>0.29583494946455691</v>
      </c>
      <c r="K44" s="51" t="s">
        <v>252</v>
      </c>
      <c r="L44" s="89"/>
    </row>
    <row r="45" spans="1:12" x14ac:dyDescent="0.2">
      <c r="A45" s="51" t="s">
        <v>55</v>
      </c>
      <c r="B45" s="51" t="s">
        <v>253</v>
      </c>
      <c r="C45" s="51"/>
      <c r="D45" s="51" t="s">
        <v>76</v>
      </c>
      <c r="E45" s="52">
        <v>2329</v>
      </c>
      <c r="F45" s="53">
        <v>433493</v>
      </c>
      <c r="G45" s="54">
        <v>186.12838127951909</v>
      </c>
      <c r="H45" s="55">
        <v>-4.4255010285539013E-2</v>
      </c>
      <c r="I45" s="54">
        <v>52.28</v>
      </c>
      <c r="J45" s="55">
        <v>0.28088139831554382</v>
      </c>
      <c r="K45" s="51" t="s">
        <v>254</v>
      </c>
      <c r="L45" s="89"/>
    </row>
    <row r="46" spans="1:12" x14ac:dyDescent="0.2">
      <c r="A46" s="51" t="s">
        <v>55</v>
      </c>
      <c r="B46" s="51" t="s">
        <v>140</v>
      </c>
      <c r="C46" s="51"/>
      <c r="D46" s="51" t="s">
        <v>83</v>
      </c>
      <c r="E46" s="52">
        <v>7501</v>
      </c>
      <c r="F46" s="53">
        <v>4628027</v>
      </c>
      <c r="G46" s="54">
        <v>616.98800159978668</v>
      </c>
      <c r="H46" s="55">
        <v>0.13356172822924189</v>
      </c>
      <c r="I46" s="54">
        <v>96.837444000000005</v>
      </c>
      <c r="J46" s="55">
        <v>0.15695190789595651</v>
      </c>
      <c r="K46" s="51" t="s">
        <v>255</v>
      </c>
      <c r="L46" s="89"/>
    </row>
    <row r="47" spans="1:12" x14ac:dyDescent="0.2">
      <c r="A47" s="51" t="s">
        <v>55</v>
      </c>
      <c r="B47" s="51" t="s">
        <v>256</v>
      </c>
      <c r="C47" s="51"/>
      <c r="D47" s="51" t="s">
        <v>76</v>
      </c>
      <c r="E47" s="52">
        <v>2063</v>
      </c>
      <c r="F47" s="53">
        <v>1774318</v>
      </c>
      <c r="G47" s="54">
        <v>860.06689287445465</v>
      </c>
      <c r="H47" s="55">
        <v>-9.373961871285813E-2</v>
      </c>
      <c r="I47" s="54">
        <v>123.216262</v>
      </c>
      <c r="J47" s="55">
        <v>0.14326357986899749</v>
      </c>
      <c r="K47" s="51" t="s">
        <v>257</v>
      </c>
      <c r="L47" s="89"/>
    </row>
    <row r="48" spans="1:12" x14ac:dyDescent="0.2">
      <c r="A48" s="51" t="s">
        <v>55</v>
      </c>
      <c r="B48" s="51" t="s">
        <v>258</v>
      </c>
      <c r="C48" s="51"/>
      <c r="D48" s="51" t="s">
        <v>78</v>
      </c>
      <c r="E48" s="52">
        <v>1597</v>
      </c>
      <c r="F48" s="53">
        <v>337571.75</v>
      </c>
      <c r="G48" s="54">
        <v>211.37867877269881</v>
      </c>
      <c r="H48" s="55">
        <v>-0.1062452424141883</v>
      </c>
      <c r="I48" s="54">
        <v>17.617999999999999</v>
      </c>
      <c r="J48" s="55">
        <v>8.334804674858011E-2</v>
      </c>
      <c r="K48" s="51" t="s">
        <v>259</v>
      </c>
      <c r="L48" s="89"/>
    </row>
    <row r="49" spans="1:12" x14ac:dyDescent="0.2">
      <c r="A49" s="51" t="s">
        <v>55</v>
      </c>
      <c r="B49" s="51" t="s">
        <v>260</v>
      </c>
      <c r="C49" s="51"/>
      <c r="D49" s="51" t="s">
        <v>76</v>
      </c>
      <c r="E49" s="52">
        <v>3432</v>
      </c>
      <c r="F49" s="53">
        <v>689786</v>
      </c>
      <c r="G49" s="54">
        <v>200.98659673659671</v>
      </c>
      <c r="H49" s="55">
        <v>5.3763174531774517E-2</v>
      </c>
      <c r="I49" s="54">
        <v>27.99</v>
      </c>
      <c r="J49" s="55">
        <v>0.1392630178055223</v>
      </c>
      <c r="K49" s="51" t="s">
        <v>261</v>
      </c>
      <c r="L49" s="89"/>
    </row>
    <row r="50" spans="1:12" x14ac:dyDescent="0.2">
      <c r="A50" s="51" t="s">
        <v>55</v>
      </c>
      <c r="B50" s="51" t="s">
        <v>263</v>
      </c>
      <c r="C50" s="51"/>
      <c r="D50" s="51" t="s">
        <v>80</v>
      </c>
      <c r="E50" s="52">
        <v>671</v>
      </c>
      <c r="F50" s="53">
        <v>1483403</v>
      </c>
      <c r="G50" s="54">
        <v>2210.734724292101</v>
      </c>
      <c r="H50" s="55">
        <v>-3.093349832755473E-2</v>
      </c>
      <c r="I50" s="54">
        <v>417.92</v>
      </c>
      <c r="J50" s="55">
        <v>0.18904122480539681</v>
      </c>
      <c r="K50" s="51" t="s">
        <v>264</v>
      </c>
      <c r="L50" s="89"/>
    </row>
    <row r="51" spans="1:12" x14ac:dyDescent="0.2">
      <c r="A51" s="51" t="s">
        <v>55</v>
      </c>
      <c r="B51" s="51" t="s">
        <v>265</v>
      </c>
      <c r="C51" s="51"/>
      <c r="D51" s="51" t="s">
        <v>78</v>
      </c>
      <c r="E51" s="52">
        <v>1257</v>
      </c>
      <c r="F51" s="53">
        <v>2472677</v>
      </c>
      <c r="G51" s="54">
        <v>1967.12569610183</v>
      </c>
      <c r="H51" s="55">
        <v>-3.48610449031014E-2</v>
      </c>
      <c r="I51" s="54">
        <v>249.72</v>
      </c>
      <c r="J51" s="55">
        <v>0.12694664123134561</v>
      </c>
      <c r="K51" s="51" t="s">
        <v>266</v>
      </c>
      <c r="L51" s="89"/>
    </row>
    <row r="52" spans="1:12" x14ac:dyDescent="0.2">
      <c r="A52" s="51" t="s">
        <v>55</v>
      </c>
      <c r="B52" s="51" t="s">
        <v>267</v>
      </c>
      <c r="C52" s="51"/>
      <c r="D52" s="51" t="s">
        <v>77</v>
      </c>
      <c r="E52" s="52">
        <v>3286</v>
      </c>
      <c r="F52" s="53">
        <v>3533328</v>
      </c>
      <c r="G52" s="54">
        <v>1075.26719415703</v>
      </c>
      <c r="H52" s="55">
        <v>9.4981463329878293E-2</v>
      </c>
      <c r="I52" s="54">
        <v>170.12</v>
      </c>
      <c r="J52" s="55">
        <v>0.15821183881032269</v>
      </c>
      <c r="K52" s="51" t="s">
        <v>268</v>
      </c>
      <c r="L52" s="89"/>
    </row>
    <row r="53" spans="1:12" x14ac:dyDescent="0.2">
      <c r="A53" s="51" t="s">
        <v>55</v>
      </c>
      <c r="B53" s="51" t="s">
        <v>269</v>
      </c>
      <c r="C53" s="51"/>
      <c r="D53" s="51" t="s">
        <v>76</v>
      </c>
      <c r="E53" s="52">
        <v>1476</v>
      </c>
      <c r="F53" s="53">
        <v>529720</v>
      </c>
      <c r="G53" s="54">
        <v>358.88888888888891</v>
      </c>
      <c r="H53" s="55">
        <v>-0.15195932420668121</v>
      </c>
      <c r="I53" s="54">
        <v>51.25</v>
      </c>
      <c r="J53" s="55">
        <v>0.1428018575851393</v>
      </c>
      <c r="K53" s="51" t="s">
        <v>270</v>
      </c>
      <c r="L53" s="89"/>
    </row>
    <row r="54" spans="1:12" x14ac:dyDescent="0.2">
      <c r="A54" s="51" t="s">
        <v>55</v>
      </c>
      <c r="B54" s="51" t="s">
        <v>271</v>
      </c>
      <c r="C54" s="51"/>
      <c r="D54" s="51" t="s">
        <v>78</v>
      </c>
      <c r="E54" s="52">
        <v>1935</v>
      </c>
      <c r="F54" s="53">
        <v>3020117</v>
      </c>
      <c r="G54" s="54">
        <v>1560.7839793281651</v>
      </c>
      <c r="H54" s="55">
        <v>-7.913801979119188E-2</v>
      </c>
      <c r="I54" s="54">
        <v>196.57</v>
      </c>
      <c r="J54" s="55">
        <v>0.12594311743551659</v>
      </c>
      <c r="K54" s="51" t="s">
        <v>272</v>
      </c>
      <c r="L54" s="89"/>
    </row>
    <row r="55" spans="1:12" x14ac:dyDescent="0.2">
      <c r="A55" s="51" t="s">
        <v>55</v>
      </c>
      <c r="B55" s="51" t="s">
        <v>273</v>
      </c>
      <c r="C55" s="51"/>
      <c r="D55" s="51" t="s">
        <v>80</v>
      </c>
      <c r="E55" s="52">
        <v>598</v>
      </c>
      <c r="F55" s="53">
        <v>890555</v>
      </c>
      <c r="G55" s="54">
        <v>1489.2224080267561</v>
      </c>
      <c r="H55" s="55">
        <v>9.6994051907382167E-2</v>
      </c>
      <c r="I55" s="54">
        <v>331.88</v>
      </c>
      <c r="J55" s="55">
        <v>0.22285455698974241</v>
      </c>
      <c r="K55" s="51" t="s">
        <v>274</v>
      </c>
      <c r="L55" s="89"/>
    </row>
    <row r="56" spans="1:12" x14ac:dyDescent="0.2">
      <c r="A56" s="51" t="s">
        <v>55</v>
      </c>
      <c r="B56" s="51" t="s">
        <v>273</v>
      </c>
      <c r="C56" s="51"/>
      <c r="D56" s="51" t="s">
        <v>80</v>
      </c>
      <c r="E56" s="52">
        <v>598</v>
      </c>
      <c r="F56" s="53">
        <v>890555</v>
      </c>
      <c r="G56" s="54">
        <v>1489.2224080267561</v>
      </c>
      <c r="H56" s="55"/>
      <c r="I56" s="54">
        <v>331.88</v>
      </c>
      <c r="J56" s="55">
        <v>0.22285455698974241</v>
      </c>
      <c r="K56" s="51" t="s">
        <v>274</v>
      </c>
      <c r="L56" s="89"/>
    </row>
    <row r="57" spans="1:12" x14ac:dyDescent="0.2">
      <c r="A57" s="51" t="s">
        <v>55</v>
      </c>
      <c r="B57" s="51" t="s">
        <v>275</v>
      </c>
      <c r="C57" s="51"/>
      <c r="D57" s="51" t="s">
        <v>83</v>
      </c>
      <c r="E57" s="52">
        <v>3940</v>
      </c>
      <c r="F57" s="53">
        <v>1761881</v>
      </c>
      <c r="G57" s="54">
        <v>447.17791878172591</v>
      </c>
      <c r="H57" s="55">
        <v>5.9744520842157513E-2</v>
      </c>
      <c r="I57" s="54">
        <v>59.89</v>
      </c>
      <c r="J57" s="55">
        <v>0.13392879541807881</v>
      </c>
      <c r="K57" s="51" t="s">
        <v>276</v>
      </c>
      <c r="L57" s="89"/>
    </row>
    <row r="58" spans="1:12" x14ac:dyDescent="0.2">
      <c r="A58" s="51" t="s">
        <v>55</v>
      </c>
      <c r="B58" s="51" t="s">
        <v>277</v>
      </c>
      <c r="C58" s="51"/>
      <c r="D58" s="51" t="s">
        <v>76</v>
      </c>
      <c r="E58" s="52">
        <v>750</v>
      </c>
      <c r="F58" s="53">
        <v>774766</v>
      </c>
      <c r="G58" s="54">
        <v>1033.0213333333329</v>
      </c>
      <c r="H58" s="55">
        <v>4.940814830988563E-2</v>
      </c>
      <c r="I58" s="54">
        <v>118.795658</v>
      </c>
      <c r="J58" s="55">
        <v>0.11499826205589821</v>
      </c>
      <c r="K58" s="51" t="s">
        <v>278</v>
      </c>
      <c r="L58" s="89"/>
    </row>
    <row r="59" spans="1:12" x14ac:dyDescent="0.2">
      <c r="A59" s="51" t="s">
        <v>55</v>
      </c>
      <c r="B59" s="51" t="s">
        <v>279</v>
      </c>
      <c r="C59" s="51"/>
      <c r="D59" s="51" t="s">
        <v>76</v>
      </c>
      <c r="E59" s="52">
        <v>5700</v>
      </c>
      <c r="F59" s="53">
        <v>418866</v>
      </c>
      <c r="G59" s="54">
        <v>73.485263157894735</v>
      </c>
      <c r="H59" s="55">
        <v>-0.42777620508602032</v>
      </c>
      <c r="I59" s="54">
        <v>19.71</v>
      </c>
      <c r="J59" s="55">
        <v>0.26821704315938749</v>
      </c>
      <c r="K59" s="51" t="s">
        <v>280</v>
      </c>
      <c r="L59" s="89"/>
    </row>
    <row r="60" spans="1:12" x14ac:dyDescent="0.2">
      <c r="A60" s="51" t="s">
        <v>55</v>
      </c>
      <c r="B60" s="51" t="s">
        <v>281</v>
      </c>
      <c r="C60" s="51"/>
      <c r="D60" s="51" t="s">
        <v>80</v>
      </c>
      <c r="E60" s="52">
        <v>2274</v>
      </c>
      <c r="F60" s="53">
        <v>401767</v>
      </c>
      <c r="G60" s="54">
        <v>176.67854001759011</v>
      </c>
      <c r="H60" s="55">
        <v>-0.20042510814306741</v>
      </c>
      <c r="I60" s="54">
        <v>26.501805000000001</v>
      </c>
      <c r="J60" s="55">
        <v>0.15000013582499311</v>
      </c>
      <c r="K60" s="51" t="s">
        <v>282</v>
      </c>
      <c r="L60" s="89"/>
    </row>
    <row r="61" spans="1:12" x14ac:dyDescent="0.2">
      <c r="A61" s="51" t="s">
        <v>55</v>
      </c>
      <c r="B61" s="51" t="s">
        <v>283</v>
      </c>
      <c r="C61" s="51"/>
      <c r="D61" s="51" t="s">
        <v>78</v>
      </c>
      <c r="E61" s="52">
        <v>1325</v>
      </c>
      <c r="F61" s="53">
        <v>685034</v>
      </c>
      <c r="G61" s="54">
        <v>517.00679245283015</v>
      </c>
      <c r="H61" s="55">
        <v>2.7088968520332279E-2</v>
      </c>
      <c r="I61" s="54">
        <v>78.154200000000003</v>
      </c>
      <c r="J61" s="55">
        <v>0.15116667931810679</v>
      </c>
      <c r="K61" s="51" t="s">
        <v>284</v>
      </c>
      <c r="L61" s="89"/>
    </row>
    <row r="62" spans="1:12" x14ac:dyDescent="0.2">
      <c r="A62" s="51" t="s">
        <v>55</v>
      </c>
      <c r="B62" s="51" t="s">
        <v>285</v>
      </c>
      <c r="C62" s="51"/>
      <c r="D62" s="51" t="s">
        <v>76</v>
      </c>
      <c r="E62" s="52">
        <v>4455</v>
      </c>
      <c r="F62" s="53">
        <v>4227251</v>
      </c>
      <c r="G62" s="54">
        <v>948.87789001122337</v>
      </c>
      <c r="H62" s="55">
        <v>-0.1182327310038257</v>
      </c>
      <c r="I62" s="54">
        <v>61.47</v>
      </c>
      <c r="J62" s="55">
        <v>6.478178135152135E-2</v>
      </c>
      <c r="K62" s="51" t="s">
        <v>286</v>
      </c>
      <c r="L62" s="89"/>
    </row>
    <row r="63" spans="1:12" x14ac:dyDescent="0.2">
      <c r="A63" s="51" t="s">
        <v>55</v>
      </c>
      <c r="B63" s="51" t="s">
        <v>287</v>
      </c>
      <c r="C63" s="51"/>
      <c r="D63" s="51" t="s">
        <v>79</v>
      </c>
      <c r="E63" s="52">
        <v>1083</v>
      </c>
      <c r="F63" s="53">
        <v>1308357</v>
      </c>
      <c r="G63" s="54">
        <v>1208.0858725761771</v>
      </c>
      <c r="H63" s="55">
        <v>-6.0824785643166603E-2</v>
      </c>
      <c r="I63" s="54">
        <v>162.601765</v>
      </c>
      <c r="J63" s="55">
        <v>0.1345945422350322</v>
      </c>
      <c r="K63" s="51" t="s">
        <v>288</v>
      </c>
      <c r="L63" s="89"/>
    </row>
    <row r="64" spans="1:12" x14ac:dyDescent="0.2">
      <c r="A64" s="51" t="s">
        <v>55</v>
      </c>
      <c r="B64" s="51" t="s">
        <v>289</v>
      </c>
      <c r="C64" s="51"/>
      <c r="D64" s="51" t="s">
        <v>79</v>
      </c>
      <c r="E64" s="52">
        <v>1490</v>
      </c>
      <c r="F64" s="53">
        <v>451254</v>
      </c>
      <c r="G64" s="54">
        <v>302.85503355704702</v>
      </c>
      <c r="H64" s="55">
        <v>8.7691494447753551E-2</v>
      </c>
      <c r="I64" s="54">
        <v>154.69</v>
      </c>
      <c r="J64" s="55">
        <v>0.51077242528598088</v>
      </c>
      <c r="K64" s="51" t="s">
        <v>290</v>
      </c>
      <c r="L64" s="89"/>
    </row>
    <row r="65" spans="1:12" x14ac:dyDescent="0.2">
      <c r="A65" s="51" t="s">
        <v>55</v>
      </c>
      <c r="B65" s="51" t="s">
        <v>291</v>
      </c>
      <c r="C65" s="51"/>
      <c r="D65" s="51" t="s">
        <v>76</v>
      </c>
      <c r="E65" s="52">
        <v>2736</v>
      </c>
      <c r="F65" s="53">
        <v>810987</v>
      </c>
      <c r="G65" s="54">
        <v>296.41337719298252</v>
      </c>
      <c r="H65" s="55">
        <v>-8.8867744814414493E-2</v>
      </c>
      <c r="I65" s="54">
        <v>60.3</v>
      </c>
      <c r="J65" s="55">
        <v>0.203432114201584</v>
      </c>
      <c r="K65" s="51" t="s">
        <v>292</v>
      </c>
      <c r="L65" s="89"/>
    </row>
    <row r="66" spans="1:12" x14ac:dyDescent="0.2">
      <c r="A66" s="51" t="s">
        <v>55</v>
      </c>
      <c r="B66" s="51" t="s">
        <v>293</v>
      </c>
      <c r="C66" s="51"/>
      <c r="D66" s="51" t="s">
        <v>85</v>
      </c>
      <c r="E66" s="52">
        <v>3673</v>
      </c>
      <c r="F66" s="53">
        <v>0</v>
      </c>
      <c r="G66" s="54"/>
      <c r="H66" s="55"/>
      <c r="I66" s="54">
        <v>30.85</v>
      </c>
      <c r="J66" s="55"/>
      <c r="K66" s="51" t="s">
        <v>294</v>
      </c>
      <c r="L66" s="89"/>
    </row>
    <row r="67" spans="1:12" x14ac:dyDescent="0.2">
      <c r="A67" s="51" t="s">
        <v>55</v>
      </c>
      <c r="B67" s="51" t="s">
        <v>295</v>
      </c>
      <c r="C67" s="51"/>
      <c r="D67" s="51" t="s">
        <v>76</v>
      </c>
      <c r="E67" s="52">
        <v>5212</v>
      </c>
      <c r="F67" s="53">
        <v>551644</v>
      </c>
      <c r="G67" s="54">
        <v>105.84113584036839</v>
      </c>
      <c r="H67" s="55">
        <v>-5.0680648432050918E-2</v>
      </c>
      <c r="I67" s="54">
        <v>18.75</v>
      </c>
      <c r="J67" s="55">
        <v>0.17715229387068471</v>
      </c>
      <c r="K67" s="51" t="s">
        <v>296</v>
      </c>
      <c r="L67" s="89"/>
    </row>
    <row r="68" spans="1:12" x14ac:dyDescent="0.2">
      <c r="A68" s="51" t="s">
        <v>55</v>
      </c>
      <c r="B68" s="51" t="s">
        <v>297</v>
      </c>
      <c r="C68" s="51"/>
      <c r="D68" s="51" t="s">
        <v>81</v>
      </c>
      <c r="E68" s="52">
        <v>4893</v>
      </c>
      <c r="F68" s="53">
        <v>4752652</v>
      </c>
      <c r="G68" s="54">
        <v>971.31657469854895</v>
      </c>
      <c r="H68" s="55">
        <v>-1.977262777267156E-2</v>
      </c>
      <c r="I68" s="54">
        <v>73.304064999999994</v>
      </c>
      <c r="J68" s="55">
        <v>7.546876776271437E-2</v>
      </c>
      <c r="K68" s="51" t="s">
        <v>298</v>
      </c>
      <c r="L68" s="89"/>
    </row>
    <row r="69" spans="1:12" x14ac:dyDescent="0.2">
      <c r="A69" s="51" t="s">
        <v>55</v>
      </c>
      <c r="B69" s="51" t="s">
        <v>299</v>
      </c>
      <c r="C69" s="51"/>
      <c r="D69" s="51" t="s">
        <v>83</v>
      </c>
      <c r="E69" s="52">
        <v>2526</v>
      </c>
      <c r="F69" s="53">
        <v>262653</v>
      </c>
      <c r="G69" s="54">
        <v>103.979809976247</v>
      </c>
      <c r="H69" s="55">
        <v>-8.8027296392268663E-3</v>
      </c>
      <c r="I69" s="54">
        <v>21.38</v>
      </c>
      <c r="J69" s="55">
        <v>0.20561684047012599</v>
      </c>
      <c r="K69" s="51" t="s">
        <v>300</v>
      </c>
      <c r="L69" s="89"/>
    </row>
    <row r="70" spans="1:12" x14ac:dyDescent="0.2">
      <c r="A70" s="51" t="s">
        <v>55</v>
      </c>
      <c r="B70" s="51" t="s">
        <v>301</v>
      </c>
      <c r="C70" s="51"/>
      <c r="D70" s="51" t="s">
        <v>82</v>
      </c>
      <c r="E70" s="52">
        <v>3435</v>
      </c>
      <c r="F70" s="53">
        <v>1736059</v>
      </c>
      <c r="G70" s="54">
        <v>505.40291120815141</v>
      </c>
      <c r="H70" s="55">
        <v>0.54189521556975828</v>
      </c>
      <c r="I70" s="54">
        <v>75.810445000000001</v>
      </c>
      <c r="J70" s="55">
        <v>0.15000001645969399</v>
      </c>
      <c r="K70" s="51" t="s">
        <v>302</v>
      </c>
      <c r="L70" s="89"/>
    </row>
    <row r="71" spans="1:12" x14ac:dyDescent="0.2">
      <c r="A71" s="51" t="s">
        <v>55</v>
      </c>
      <c r="B71" s="51" t="s">
        <v>303</v>
      </c>
      <c r="C71" s="51"/>
      <c r="D71" s="51" t="s">
        <v>81</v>
      </c>
      <c r="E71" s="52">
        <v>4580</v>
      </c>
      <c r="F71" s="53">
        <v>1411543</v>
      </c>
      <c r="G71" s="54">
        <v>308.19716157205238</v>
      </c>
      <c r="H71" s="55">
        <v>1.9396541920482908E-2</v>
      </c>
      <c r="I71" s="54">
        <v>42.74</v>
      </c>
      <c r="J71" s="55">
        <v>0.13867746147301219</v>
      </c>
      <c r="K71" s="51" t="s">
        <v>304</v>
      </c>
      <c r="L71" s="89"/>
    </row>
    <row r="72" spans="1:12" x14ac:dyDescent="0.2">
      <c r="A72" s="51" t="s">
        <v>55</v>
      </c>
      <c r="B72" s="51" t="s">
        <v>305</v>
      </c>
      <c r="C72" s="51"/>
      <c r="D72" s="51" t="s">
        <v>78</v>
      </c>
      <c r="E72" s="52">
        <v>847</v>
      </c>
      <c r="F72" s="53">
        <v>984150</v>
      </c>
      <c r="G72" s="54">
        <v>1161.924439197167</v>
      </c>
      <c r="H72" s="55">
        <v>-4.1214123075791517E-2</v>
      </c>
      <c r="I72" s="54">
        <v>222.82</v>
      </c>
      <c r="J72" s="55">
        <v>0.1917680638114109</v>
      </c>
      <c r="K72" s="51" t="s">
        <v>306</v>
      </c>
      <c r="L72" s="89"/>
    </row>
    <row r="73" spans="1:12" x14ac:dyDescent="0.2">
      <c r="A73" s="51" t="s">
        <v>55</v>
      </c>
      <c r="B73" s="51" t="s">
        <v>307</v>
      </c>
      <c r="C73" s="51"/>
      <c r="D73" s="51" t="s">
        <v>81</v>
      </c>
      <c r="E73" s="52">
        <v>2900</v>
      </c>
      <c r="F73" s="53">
        <v>0</v>
      </c>
      <c r="G73" s="54"/>
      <c r="H73" s="55"/>
      <c r="I73" s="54">
        <v>91.99</v>
      </c>
      <c r="J73" s="55"/>
      <c r="K73" s="51" t="s">
        <v>308</v>
      </c>
      <c r="L73" s="89"/>
    </row>
    <row r="74" spans="1:12" x14ac:dyDescent="0.2">
      <c r="A74" s="51" t="s">
        <v>55</v>
      </c>
      <c r="B74" s="51" t="s">
        <v>309</v>
      </c>
      <c r="C74" s="51"/>
      <c r="D74" s="51" t="s">
        <v>80</v>
      </c>
      <c r="E74" s="52">
        <v>676</v>
      </c>
      <c r="F74" s="53">
        <v>1061558</v>
      </c>
      <c r="G74" s="54">
        <v>1570.352071005917</v>
      </c>
      <c r="H74" s="55">
        <v>6.8128702652287168E-2</v>
      </c>
      <c r="I74" s="54">
        <v>379.34</v>
      </c>
      <c r="J74" s="55">
        <v>0.24156366397314141</v>
      </c>
      <c r="K74" s="51" t="s">
        <v>310</v>
      </c>
      <c r="L74" s="89"/>
    </row>
    <row r="75" spans="1:12" x14ac:dyDescent="0.2">
      <c r="A75" s="51" t="s">
        <v>55</v>
      </c>
      <c r="B75" s="51" t="s">
        <v>311</v>
      </c>
      <c r="C75" s="51"/>
      <c r="D75" s="51" t="s">
        <v>83</v>
      </c>
      <c r="E75" s="52">
        <v>1405</v>
      </c>
      <c r="F75" s="53">
        <v>213680</v>
      </c>
      <c r="G75" s="54">
        <v>152.08540925266911</v>
      </c>
      <c r="H75" s="55">
        <v>8.306269733874605E-2</v>
      </c>
      <c r="I75" s="54">
        <v>41.24</v>
      </c>
      <c r="J75" s="55">
        <v>0.27116342193934861</v>
      </c>
      <c r="K75" s="51" t="s">
        <v>312</v>
      </c>
      <c r="L75" s="89"/>
    </row>
    <row r="76" spans="1:12" x14ac:dyDescent="0.2">
      <c r="A76" s="51" t="s">
        <v>55</v>
      </c>
      <c r="B76" s="51" t="s">
        <v>313</v>
      </c>
      <c r="C76" s="51"/>
      <c r="D76" s="51" t="s">
        <v>80</v>
      </c>
      <c r="E76" s="52">
        <v>823</v>
      </c>
      <c r="F76" s="53">
        <v>385640</v>
      </c>
      <c r="G76" s="54">
        <v>468.5783718104496</v>
      </c>
      <c r="H76" s="55">
        <v>-5.8440943191080882E-2</v>
      </c>
      <c r="I76" s="54">
        <v>115.19</v>
      </c>
      <c r="J76" s="55">
        <v>0.2458286744113681</v>
      </c>
      <c r="K76" s="51" t="s">
        <v>314</v>
      </c>
      <c r="L76" s="89"/>
    </row>
    <row r="77" spans="1:12" x14ac:dyDescent="0.2">
      <c r="A77" s="51" t="s">
        <v>55</v>
      </c>
      <c r="B77" s="51" t="s">
        <v>315</v>
      </c>
      <c r="C77" s="51"/>
      <c r="D77" s="51" t="s">
        <v>81</v>
      </c>
      <c r="E77" s="52">
        <v>6853</v>
      </c>
      <c r="F77" s="53">
        <v>6123494.8499999996</v>
      </c>
      <c r="G77" s="54">
        <v>893.54951845906896</v>
      </c>
      <c r="H77" s="55">
        <v>2.284150519787758E-2</v>
      </c>
      <c r="I77" s="54">
        <v>57.004644999999996</v>
      </c>
      <c r="J77" s="55">
        <v>6.3795731319182869E-2</v>
      </c>
      <c r="K77" s="51" t="s">
        <v>316</v>
      </c>
      <c r="L77" s="89"/>
    </row>
    <row r="78" spans="1:12" x14ac:dyDescent="0.2">
      <c r="A78" s="51" t="s">
        <v>55</v>
      </c>
      <c r="B78" s="51" t="s">
        <v>317</v>
      </c>
      <c r="C78" s="51"/>
      <c r="D78" s="51" t="s">
        <v>76</v>
      </c>
      <c r="E78" s="52">
        <v>4626</v>
      </c>
      <c r="F78" s="53">
        <v>1546130</v>
      </c>
      <c r="G78" s="54">
        <v>334.22611327280589</v>
      </c>
      <c r="H78" s="55">
        <v>5.8364274247718471E-2</v>
      </c>
      <c r="I78" s="54">
        <v>33.99</v>
      </c>
      <c r="J78" s="55">
        <v>0.1016976192170128</v>
      </c>
      <c r="K78" s="51" t="s">
        <v>318</v>
      </c>
      <c r="L78" s="89"/>
    </row>
    <row r="79" spans="1:12" x14ac:dyDescent="0.2">
      <c r="A79" s="51" t="s">
        <v>55</v>
      </c>
      <c r="B79" s="51" t="s">
        <v>319</v>
      </c>
      <c r="C79" s="51"/>
      <c r="D79" s="51" t="s">
        <v>81</v>
      </c>
      <c r="E79" s="52">
        <v>780</v>
      </c>
      <c r="F79" s="53">
        <v>2520327</v>
      </c>
      <c r="G79" s="54">
        <v>3231.188461538462</v>
      </c>
      <c r="H79" s="55">
        <v>4.5261157768517593E-2</v>
      </c>
      <c r="I79" s="54">
        <v>602.99</v>
      </c>
      <c r="J79" s="55">
        <v>0.18661554631601379</v>
      </c>
      <c r="K79" s="51" t="s">
        <v>320</v>
      </c>
      <c r="L79" s="89"/>
    </row>
    <row r="80" spans="1:12" x14ac:dyDescent="0.2">
      <c r="A80" s="51" t="s">
        <v>55</v>
      </c>
      <c r="B80" s="51" t="s">
        <v>321</v>
      </c>
      <c r="C80" s="51"/>
      <c r="D80" s="51" t="s">
        <v>78</v>
      </c>
      <c r="E80" s="52">
        <v>1300</v>
      </c>
      <c r="F80" s="53">
        <v>1641704</v>
      </c>
      <c r="G80" s="54">
        <v>1262.8492307692311</v>
      </c>
      <c r="H80" s="55">
        <v>0.16895047200994259</v>
      </c>
      <c r="I80" s="54">
        <v>139.72943799999999</v>
      </c>
      <c r="J80" s="55">
        <v>0.1106461758027026</v>
      </c>
      <c r="K80" s="51" t="s">
        <v>322</v>
      </c>
      <c r="L80" s="89"/>
    </row>
    <row r="81" spans="1:12" x14ac:dyDescent="0.2">
      <c r="A81" s="51" t="s">
        <v>55</v>
      </c>
      <c r="B81" s="51" t="s">
        <v>323</v>
      </c>
      <c r="C81" s="51"/>
      <c r="D81" s="51" t="s">
        <v>81</v>
      </c>
      <c r="E81" s="52">
        <v>4550</v>
      </c>
      <c r="F81" s="53">
        <v>2999004</v>
      </c>
      <c r="G81" s="54">
        <v>659.12175824175824</v>
      </c>
      <c r="H81" s="55">
        <v>-8.0002631924424736E-2</v>
      </c>
      <c r="I81" s="54">
        <v>67.3</v>
      </c>
      <c r="J81" s="55">
        <v>0.1021055657144839</v>
      </c>
      <c r="K81" s="51" t="s">
        <v>324</v>
      </c>
      <c r="L81" s="89"/>
    </row>
    <row r="82" spans="1:12" x14ac:dyDescent="0.2">
      <c r="A82" s="51" t="s">
        <v>55</v>
      </c>
      <c r="B82" s="51" t="s">
        <v>325</v>
      </c>
      <c r="C82" s="51"/>
      <c r="D82" s="51" t="s">
        <v>85</v>
      </c>
      <c r="E82" s="52">
        <v>13177</v>
      </c>
      <c r="F82" s="53">
        <v>1837999</v>
      </c>
      <c r="G82" s="54">
        <v>139.48539121196021</v>
      </c>
      <c r="H82" s="55">
        <v>0</v>
      </c>
      <c r="I82" s="54">
        <v>29.34</v>
      </c>
      <c r="J82" s="55">
        <v>0.21034460845734951</v>
      </c>
      <c r="K82" s="51" t="s">
        <v>326</v>
      </c>
      <c r="L82" s="89"/>
    </row>
    <row r="83" spans="1:12" x14ac:dyDescent="0.2">
      <c r="A83" s="51" t="s">
        <v>55</v>
      </c>
      <c r="B83" s="51" t="s">
        <v>327</v>
      </c>
      <c r="C83" s="51"/>
      <c r="D83" s="51" t="s">
        <v>80</v>
      </c>
      <c r="E83" s="52">
        <v>683</v>
      </c>
      <c r="F83" s="53">
        <v>228134</v>
      </c>
      <c r="G83" s="54">
        <v>334.01756954612011</v>
      </c>
      <c r="H83" s="55"/>
      <c r="I83" s="54">
        <v>116.58</v>
      </c>
      <c r="J83" s="55">
        <v>0.3490235563309283</v>
      </c>
      <c r="K83" s="51" t="s">
        <v>328</v>
      </c>
      <c r="L83" s="89"/>
    </row>
    <row r="84" spans="1:12" x14ac:dyDescent="0.2">
      <c r="A84" s="51" t="s">
        <v>55</v>
      </c>
      <c r="B84" s="51" t="s">
        <v>329</v>
      </c>
      <c r="C84" s="51"/>
      <c r="D84" s="51" t="s">
        <v>82</v>
      </c>
      <c r="E84" s="52">
        <v>1405</v>
      </c>
      <c r="F84" s="53">
        <v>4520781</v>
      </c>
      <c r="G84" s="54">
        <v>3217.6377224199291</v>
      </c>
      <c r="H84" s="55"/>
      <c r="I84" s="54">
        <v>254.35063500000001</v>
      </c>
      <c r="J84" s="55">
        <v>7.9048872788794688E-2</v>
      </c>
      <c r="K84" s="51" t="s">
        <v>330</v>
      </c>
      <c r="L84" s="89"/>
    </row>
    <row r="85" spans="1:12" x14ac:dyDescent="0.2">
      <c r="A85" s="51" t="s">
        <v>55</v>
      </c>
      <c r="B85" s="51" t="s">
        <v>331</v>
      </c>
      <c r="C85" s="51"/>
      <c r="D85" s="51" t="s">
        <v>81</v>
      </c>
      <c r="E85" s="52">
        <v>1018</v>
      </c>
      <c r="F85" s="53">
        <v>1323018.93</v>
      </c>
      <c r="G85" s="54">
        <v>1299.625667976424</v>
      </c>
      <c r="H85" s="55">
        <v>5.8638433649532987E-2</v>
      </c>
      <c r="I85" s="54">
        <v>180.43</v>
      </c>
      <c r="J85" s="55">
        <v>0.13883228413065871</v>
      </c>
      <c r="K85" s="51" t="s">
        <v>332</v>
      </c>
      <c r="L85" s="89"/>
    </row>
    <row r="86" spans="1:12" x14ac:dyDescent="0.2">
      <c r="A86" s="51" t="s">
        <v>55</v>
      </c>
      <c r="B86" s="51" t="s">
        <v>333</v>
      </c>
      <c r="C86" s="51"/>
      <c r="D86" s="51" t="s">
        <v>83</v>
      </c>
      <c r="E86" s="52">
        <v>1941</v>
      </c>
      <c r="F86" s="53">
        <v>449873</v>
      </c>
      <c r="G86" s="54">
        <v>231.77382792375059</v>
      </c>
      <c r="H86" s="55">
        <v>1.972462695714149E-3</v>
      </c>
      <c r="I86" s="54">
        <v>61.044345999999997</v>
      </c>
      <c r="J86" s="55">
        <v>0.26337894380414029</v>
      </c>
      <c r="K86" s="51" t="s">
        <v>334</v>
      </c>
      <c r="L86" s="89"/>
    </row>
    <row r="87" spans="1:12" x14ac:dyDescent="0.2">
      <c r="A87" s="51" t="s">
        <v>55</v>
      </c>
      <c r="B87" s="51" t="s">
        <v>335</v>
      </c>
      <c r="C87" s="51"/>
      <c r="D87" s="51" t="s">
        <v>76</v>
      </c>
      <c r="E87" s="52">
        <v>1830</v>
      </c>
      <c r="F87" s="53">
        <v>644382</v>
      </c>
      <c r="G87" s="54">
        <v>352.12131147540981</v>
      </c>
      <c r="H87" s="55">
        <v>-0.1996349060638084</v>
      </c>
      <c r="I87" s="54">
        <v>42.99</v>
      </c>
      <c r="J87" s="55">
        <v>0.12208860582697841</v>
      </c>
      <c r="K87" s="51" t="s">
        <v>336</v>
      </c>
      <c r="L87" s="89"/>
    </row>
    <row r="88" spans="1:12" x14ac:dyDescent="0.2">
      <c r="A88" s="51" t="s">
        <v>55</v>
      </c>
      <c r="B88" s="51" t="s">
        <v>337</v>
      </c>
      <c r="C88" s="51"/>
      <c r="D88" s="51" t="s">
        <v>85</v>
      </c>
      <c r="E88" s="52">
        <v>28993</v>
      </c>
      <c r="F88" s="53">
        <v>0</v>
      </c>
      <c r="G88" s="54"/>
      <c r="H88" s="55"/>
      <c r="I88" s="54">
        <v>36.409999999999997</v>
      </c>
      <c r="J88" s="55"/>
      <c r="K88" s="51" t="s">
        <v>338</v>
      </c>
      <c r="L88" s="89"/>
    </row>
    <row r="89" spans="1:12" x14ac:dyDescent="0.2">
      <c r="A89" s="51" t="s">
        <v>55</v>
      </c>
      <c r="B89" s="51" t="s">
        <v>337</v>
      </c>
      <c r="C89" s="51"/>
      <c r="D89" s="51" t="s">
        <v>85</v>
      </c>
      <c r="E89" s="52">
        <v>16113</v>
      </c>
      <c r="F89" s="53">
        <v>0</v>
      </c>
      <c r="G89" s="54"/>
      <c r="H89" s="55"/>
      <c r="I89" s="54">
        <v>23.5</v>
      </c>
      <c r="J89" s="55"/>
      <c r="K89" s="51" t="s">
        <v>338</v>
      </c>
      <c r="L89" s="89"/>
    </row>
    <row r="90" spans="1:12" x14ac:dyDescent="0.2">
      <c r="A90" s="51" t="s">
        <v>55</v>
      </c>
      <c r="B90" s="51" t="s">
        <v>339</v>
      </c>
      <c r="C90" s="51"/>
      <c r="D90" s="51" t="s">
        <v>80</v>
      </c>
      <c r="E90" s="52">
        <v>603</v>
      </c>
      <c r="F90" s="53">
        <v>1002376</v>
      </c>
      <c r="G90" s="54">
        <v>1662.3150912106139</v>
      </c>
      <c r="H90" s="55">
        <v>-8.9335180786341895E-2</v>
      </c>
      <c r="I90" s="54">
        <v>330.92</v>
      </c>
      <c r="J90" s="55">
        <v>0.19907176548520719</v>
      </c>
      <c r="K90" s="51" t="s">
        <v>340</v>
      </c>
      <c r="L90" s="89"/>
    </row>
    <row r="91" spans="1:12" x14ac:dyDescent="0.2">
      <c r="A91" s="51" t="s">
        <v>55</v>
      </c>
      <c r="B91" s="51" t="s">
        <v>341</v>
      </c>
      <c r="C91" s="51"/>
      <c r="D91" s="51" t="s">
        <v>80</v>
      </c>
      <c r="E91" s="52">
        <v>1055</v>
      </c>
      <c r="F91" s="53">
        <v>1621717</v>
      </c>
      <c r="G91" s="54">
        <v>1537.1725118483409</v>
      </c>
      <c r="H91" s="55">
        <v>-0.20631292408492419</v>
      </c>
      <c r="I91" s="54">
        <v>159.05000000000001</v>
      </c>
      <c r="J91" s="55">
        <v>0.103469193453605</v>
      </c>
      <c r="K91" s="51" t="s">
        <v>342</v>
      </c>
      <c r="L91" s="89"/>
    </row>
    <row r="92" spans="1:12" x14ac:dyDescent="0.2">
      <c r="A92" s="51" t="s">
        <v>55</v>
      </c>
      <c r="B92" s="51" t="s">
        <v>343</v>
      </c>
      <c r="C92" s="51"/>
      <c r="D92" s="51" t="s">
        <v>79</v>
      </c>
      <c r="E92" s="52">
        <v>5295</v>
      </c>
      <c r="F92" s="53">
        <v>8638735</v>
      </c>
      <c r="G92" s="54">
        <v>1631.489140698772</v>
      </c>
      <c r="H92" s="55">
        <v>-4.7327435742858014E-3</v>
      </c>
      <c r="I92" s="54">
        <v>123.11193799999999</v>
      </c>
      <c r="J92" s="55">
        <v>7.5459857457139262E-2</v>
      </c>
      <c r="K92" s="51" t="s">
        <v>344</v>
      </c>
      <c r="L92" s="89"/>
    </row>
    <row r="93" spans="1:12" x14ac:dyDescent="0.2">
      <c r="A93" s="51" t="s">
        <v>55</v>
      </c>
      <c r="B93" s="51" t="s">
        <v>345</v>
      </c>
      <c r="C93" s="51"/>
      <c r="D93" s="51" t="s">
        <v>80</v>
      </c>
      <c r="E93" s="52">
        <v>1000</v>
      </c>
      <c r="F93" s="53">
        <v>444569</v>
      </c>
      <c r="G93" s="54">
        <v>444.56900000000002</v>
      </c>
      <c r="H93" s="55">
        <v>-0.16035031098826841</v>
      </c>
      <c r="I93" s="54">
        <v>70.7</v>
      </c>
      <c r="J93" s="55">
        <v>0.15903043172150999</v>
      </c>
      <c r="K93" s="51" t="s">
        <v>346</v>
      </c>
      <c r="L93" s="89"/>
    </row>
    <row r="94" spans="1:12" x14ac:dyDescent="0.2">
      <c r="A94" s="51" t="s">
        <v>55</v>
      </c>
      <c r="B94" s="51" t="s">
        <v>347</v>
      </c>
      <c r="C94" s="51"/>
      <c r="D94" s="51" t="s">
        <v>77</v>
      </c>
      <c r="E94" s="52">
        <v>1335</v>
      </c>
      <c r="F94" s="53">
        <v>1098995</v>
      </c>
      <c r="G94" s="54">
        <v>823.21722846441946</v>
      </c>
      <c r="H94" s="55"/>
      <c r="I94" s="54">
        <v>83.51</v>
      </c>
      <c r="J94" s="55">
        <v>0.1014434551567569</v>
      </c>
      <c r="K94" s="51" t="s">
        <v>348</v>
      </c>
      <c r="L94" s="89"/>
    </row>
    <row r="95" spans="1:12" x14ac:dyDescent="0.2">
      <c r="A95" s="51" t="s">
        <v>55</v>
      </c>
      <c r="B95" s="51" t="s">
        <v>349</v>
      </c>
      <c r="C95" s="51"/>
      <c r="D95" s="51" t="s">
        <v>80</v>
      </c>
      <c r="E95" s="52">
        <v>2574</v>
      </c>
      <c r="F95" s="53">
        <v>803501</v>
      </c>
      <c r="G95" s="54">
        <v>312.16045066045058</v>
      </c>
      <c r="H95" s="55"/>
      <c r="I95" s="54">
        <v>70.31</v>
      </c>
      <c r="J95" s="55">
        <v>0.22523673274831019</v>
      </c>
      <c r="K95" s="51" t="s">
        <v>350</v>
      </c>
      <c r="L95" s="89"/>
    </row>
    <row r="96" spans="1:12" x14ac:dyDescent="0.2">
      <c r="A96" s="51" t="s">
        <v>55</v>
      </c>
      <c r="B96" s="51" t="s">
        <v>351</v>
      </c>
      <c r="C96" s="51"/>
      <c r="D96" s="51" t="s">
        <v>85</v>
      </c>
      <c r="E96" s="52">
        <v>3470</v>
      </c>
      <c r="F96" s="53">
        <v>1774523</v>
      </c>
      <c r="G96" s="54">
        <v>511.38991354466862</v>
      </c>
      <c r="H96" s="55">
        <v>-5.57589401534445E-2</v>
      </c>
      <c r="I96" s="54">
        <v>96.97</v>
      </c>
      <c r="J96" s="55">
        <v>0.18962047829191281</v>
      </c>
      <c r="K96" s="51" t="s">
        <v>352</v>
      </c>
      <c r="L96" s="89"/>
    </row>
    <row r="97" spans="1:12" x14ac:dyDescent="0.2">
      <c r="A97" s="51" t="s">
        <v>55</v>
      </c>
      <c r="B97" s="51" t="s">
        <v>353</v>
      </c>
      <c r="C97" s="51"/>
      <c r="D97" s="51" t="s">
        <v>76</v>
      </c>
      <c r="E97" s="52">
        <v>2500</v>
      </c>
      <c r="F97" s="53">
        <v>518949</v>
      </c>
      <c r="G97" s="54">
        <v>207.5796</v>
      </c>
      <c r="H97" s="55">
        <v>1.663253986789844E-3</v>
      </c>
      <c r="I97" s="54">
        <v>41.13</v>
      </c>
      <c r="J97" s="55">
        <v>0.19814085777215101</v>
      </c>
      <c r="K97" s="51" t="s">
        <v>354</v>
      </c>
      <c r="L97" s="89"/>
    </row>
    <row r="98" spans="1:12" x14ac:dyDescent="0.2">
      <c r="A98" s="51" t="s">
        <v>55</v>
      </c>
      <c r="B98" s="51" t="s">
        <v>355</v>
      </c>
      <c r="C98" s="51"/>
      <c r="D98" s="51" t="s">
        <v>82</v>
      </c>
      <c r="E98" s="52">
        <v>2143</v>
      </c>
      <c r="F98" s="53">
        <v>1518681</v>
      </c>
      <c r="G98" s="54">
        <v>708.67055529631352</v>
      </c>
      <c r="H98" s="55">
        <v>-0.11039823213092829</v>
      </c>
      <c r="I98" s="54">
        <v>130.21</v>
      </c>
      <c r="J98" s="55">
        <v>0.18373840852687301</v>
      </c>
      <c r="K98" s="51" t="s">
        <v>356</v>
      </c>
      <c r="L98" s="89"/>
    </row>
    <row r="99" spans="1:12" x14ac:dyDescent="0.2">
      <c r="A99" s="51" t="s">
        <v>55</v>
      </c>
      <c r="B99" s="51" t="s">
        <v>357</v>
      </c>
      <c r="C99" s="51"/>
      <c r="D99" s="51" t="s">
        <v>76</v>
      </c>
      <c r="E99" s="52">
        <v>1073</v>
      </c>
      <c r="F99" s="53">
        <v>709287</v>
      </c>
      <c r="G99" s="54">
        <v>661.03168685927312</v>
      </c>
      <c r="H99" s="55">
        <v>-6.021879615882858E-2</v>
      </c>
      <c r="I99" s="54">
        <v>137.97</v>
      </c>
      <c r="J99" s="55">
        <v>0.20871919265403141</v>
      </c>
      <c r="K99" s="51" t="s">
        <v>358</v>
      </c>
      <c r="L99" s="89"/>
    </row>
    <row r="100" spans="1:12" x14ac:dyDescent="0.2">
      <c r="A100" s="51" t="s">
        <v>55</v>
      </c>
      <c r="B100" s="51" t="s">
        <v>359</v>
      </c>
      <c r="C100" s="51"/>
      <c r="D100" s="51" t="s">
        <v>80</v>
      </c>
      <c r="E100" s="52">
        <v>729</v>
      </c>
      <c r="F100" s="53">
        <v>0</v>
      </c>
      <c r="G100" s="54"/>
      <c r="H100" s="55"/>
      <c r="I100" s="54">
        <v>176.34</v>
      </c>
      <c r="J100" s="55"/>
      <c r="K100" s="51" t="s">
        <v>360</v>
      </c>
      <c r="L100" s="89"/>
    </row>
    <row r="101" spans="1:12" x14ac:dyDescent="0.2">
      <c r="A101" s="51" t="s">
        <v>55</v>
      </c>
      <c r="B101" s="51" t="s">
        <v>361</v>
      </c>
      <c r="C101" s="51"/>
      <c r="D101" s="51" t="s">
        <v>80</v>
      </c>
      <c r="E101" s="52">
        <v>713</v>
      </c>
      <c r="F101" s="53">
        <v>559532</v>
      </c>
      <c r="G101" s="54">
        <v>784.75736325385697</v>
      </c>
      <c r="H101" s="55"/>
      <c r="I101" s="54">
        <v>161.69</v>
      </c>
      <c r="J101" s="55">
        <v>0.20603820693007729</v>
      </c>
      <c r="K101" s="51" t="s">
        <v>362</v>
      </c>
      <c r="L101" s="89"/>
    </row>
    <row r="102" spans="1:12" x14ac:dyDescent="0.2">
      <c r="A102" s="51" t="s">
        <v>55</v>
      </c>
      <c r="B102" s="51" t="s">
        <v>363</v>
      </c>
      <c r="C102" s="51"/>
      <c r="D102" s="51" t="s">
        <v>80</v>
      </c>
      <c r="E102" s="52">
        <v>743</v>
      </c>
      <c r="F102" s="53">
        <v>586485</v>
      </c>
      <c r="G102" s="54">
        <v>789.34724091520866</v>
      </c>
      <c r="H102" s="55">
        <v>-1.4275790322907021E-4</v>
      </c>
      <c r="I102" s="54">
        <v>159.04</v>
      </c>
      <c r="J102" s="55">
        <v>0.2014829364774888</v>
      </c>
      <c r="K102" s="51" t="s">
        <v>364</v>
      </c>
      <c r="L102" s="89"/>
    </row>
    <row r="103" spans="1:12" x14ac:dyDescent="0.2">
      <c r="A103" s="51" t="s">
        <v>55</v>
      </c>
      <c r="B103" s="51" t="s">
        <v>365</v>
      </c>
      <c r="C103" s="51"/>
      <c r="D103" s="51" t="s">
        <v>81</v>
      </c>
      <c r="E103" s="52">
        <v>9032</v>
      </c>
      <c r="F103" s="53">
        <v>8800103</v>
      </c>
      <c r="G103" s="54">
        <v>974.32495571302036</v>
      </c>
      <c r="H103" s="55">
        <v>2.5334793633258749E-2</v>
      </c>
      <c r="I103" s="54">
        <v>63.11</v>
      </c>
      <c r="J103" s="55">
        <v>6.4773050951789993E-2</v>
      </c>
      <c r="K103" s="51" t="s">
        <v>366</v>
      </c>
      <c r="L103" s="89"/>
    </row>
    <row r="104" spans="1:12" x14ac:dyDescent="0.2">
      <c r="A104" s="51" t="s">
        <v>55</v>
      </c>
      <c r="B104" s="51" t="s">
        <v>367</v>
      </c>
      <c r="C104" s="51"/>
      <c r="D104" s="51" t="s">
        <v>76</v>
      </c>
      <c r="E104" s="52">
        <v>7259</v>
      </c>
      <c r="F104" s="53">
        <v>1922682</v>
      </c>
      <c r="G104" s="54">
        <v>264.86871469899432</v>
      </c>
      <c r="H104" s="55">
        <v>-5.7656971382862063E-2</v>
      </c>
      <c r="I104" s="54">
        <v>49.3</v>
      </c>
      <c r="J104" s="55">
        <v>0.18612994764604859</v>
      </c>
      <c r="K104" s="51" t="s">
        <v>368</v>
      </c>
      <c r="L104" s="89"/>
    </row>
    <row r="105" spans="1:12" x14ac:dyDescent="0.2">
      <c r="A105" s="51" t="s">
        <v>55</v>
      </c>
      <c r="B105" s="51" t="s">
        <v>369</v>
      </c>
      <c r="C105" s="51"/>
      <c r="D105" s="51" t="s">
        <v>84</v>
      </c>
      <c r="E105" s="52">
        <v>2025</v>
      </c>
      <c r="F105" s="53">
        <v>1039091</v>
      </c>
      <c r="G105" s="54">
        <v>513.13135802469139</v>
      </c>
      <c r="H105" s="55">
        <v>9.3627287115486332E-3</v>
      </c>
      <c r="I105" s="54">
        <v>171.93</v>
      </c>
      <c r="J105" s="55">
        <v>0.33506040375674512</v>
      </c>
      <c r="K105" s="51" t="s">
        <v>370</v>
      </c>
      <c r="L105" s="89"/>
    </row>
    <row r="106" spans="1:12" x14ac:dyDescent="0.2">
      <c r="A106" s="51" t="s">
        <v>55</v>
      </c>
      <c r="B106" s="51" t="s">
        <v>371</v>
      </c>
      <c r="C106" s="51"/>
      <c r="D106" s="51" t="s">
        <v>76</v>
      </c>
      <c r="E106" s="52">
        <v>3812</v>
      </c>
      <c r="F106" s="53">
        <v>1051462</v>
      </c>
      <c r="G106" s="54">
        <v>275.82948583420779</v>
      </c>
      <c r="H106" s="55">
        <v>-7.8366192437620108E-4</v>
      </c>
      <c r="I106" s="54">
        <v>68.209999999999994</v>
      </c>
      <c r="J106" s="55">
        <v>0.2472904584283597</v>
      </c>
      <c r="K106" s="51" t="s">
        <v>372</v>
      </c>
      <c r="L106" s="89"/>
    </row>
    <row r="107" spans="1:12" x14ac:dyDescent="0.2">
      <c r="A107" s="51" t="s">
        <v>55</v>
      </c>
      <c r="B107" s="51" t="s">
        <v>373</v>
      </c>
      <c r="C107" s="51"/>
      <c r="D107" s="51" t="s">
        <v>80</v>
      </c>
      <c r="E107" s="52">
        <v>2200</v>
      </c>
      <c r="F107" s="53">
        <v>1840358</v>
      </c>
      <c r="G107" s="54">
        <v>836.52636363636361</v>
      </c>
      <c r="H107" s="55">
        <v>0.1035045574283827</v>
      </c>
      <c r="I107" s="54">
        <v>68.040000000000006</v>
      </c>
      <c r="J107" s="55">
        <v>8.1336348688679047E-2</v>
      </c>
      <c r="K107" s="51" t="s">
        <v>374</v>
      </c>
      <c r="L107" s="89"/>
    </row>
    <row r="108" spans="1:12" x14ac:dyDescent="0.2">
      <c r="A108" s="51" t="s">
        <v>55</v>
      </c>
      <c r="B108" s="51" t="s">
        <v>376</v>
      </c>
      <c r="C108" s="51"/>
      <c r="D108" s="51" t="s">
        <v>79</v>
      </c>
      <c r="E108" s="52">
        <v>11109</v>
      </c>
      <c r="F108" s="53">
        <v>0</v>
      </c>
      <c r="G108" s="54"/>
      <c r="H108" s="55"/>
      <c r="I108" s="54">
        <v>42.31</v>
      </c>
      <c r="J108" s="55"/>
      <c r="K108" s="51" t="s">
        <v>377</v>
      </c>
      <c r="L108" s="89"/>
    </row>
    <row r="109" spans="1:12" x14ac:dyDescent="0.2">
      <c r="A109" s="51" t="s">
        <v>55</v>
      </c>
      <c r="B109" s="51" t="s">
        <v>378</v>
      </c>
      <c r="C109" s="51"/>
      <c r="D109" s="51" t="s">
        <v>82</v>
      </c>
      <c r="E109" s="52">
        <v>2547</v>
      </c>
      <c r="F109" s="53">
        <v>499136</v>
      </c>
      <c r="G109" s="54">
        <v>195.9701609736945</v>
      </c>
      <c r="H109" s="55">
        <v>-0.15383391594718701</v>
      </c>
      <c r="I109" s="54">
        <v>47.38</v>
      </c>
      <c r="J109" s="55">
        <v>0.2417715011539941</v>
      </c>
      <c r="K109" s="51" t="s">
        <v>379</v>
      </c>
      <c r="L109" s="89"/>
    </row>
    <row r="110" spans="1:12" x14ac:dyDescent="0.2">
      <c r="A110" s="51" t="s">
        <v>55</v>
      </c>
      <c r="B110" s="51" t="s">
        <v>380</v>
      </c>
      <c r="C110" s="51"/>
      <c r="D110" s="51" t="s">
        <v>85</v>
      </c>
      <c r="E110" s="52">
        <v>33597</v>
      </c>
      <c r="F110" s="53">
        <v>0</v>
      </c>
      <c r="G110" s="54"/>
      <c r="H110" s="55"/>
      <c r="I110" s="54">
        <v>19.417297000000001</v>
      </c>
      <c r="J110" s="55">
        <v>0.16</v>
      </c>
      <c r="K110" s="51" t="s">
        <v>381</v>
      </c>
      <c r="L110" s="89"/>
    </row>
    <row r="111" spans="1:12" x14ac:dyDescent="0.2">
      <c r="A111" s="51" t="s">
        <v>55</v>
      </c>
      <c r="B111" s="51" t="s">
        <v>382</v>
      </c>
      <c r="C111" s="51"/>
      <c r="D111" s="51" t="s">
        <v>83</v>
      </c>
      <c r="E111" s="52">
        <v>200</v>
      </c>
      <c r="F111" s="53">
        <v>0</v>
      </c>
      <c r="G111" s="54"/>
      <c r="H111" s="55"/>
      <c r="I111" s="54">
        <v>150</v>
      </c>
      <c r="J111" s="55"/>
      <c r="K111" s="51" t="s">
        <v>383</v>
      </c>
      <c r="L111" s="89"/>
    </row>
    <row r="112" spans="1:12" x14ac:dyDescent="0.2">
      <c r="A112" s="51" t="s">
        <v>55</v>
      </c>
      <c r="B112" s="51" t="s">
        <v>384</v>
      </c>
      <c r="C112" s="51"/>
      <c r="D112" s="51" t="s">
        <v>77</v>
      </c>
      <c r="E112" s="52">
        <v>3000</v>
      </c>
      <c r="F112" s="53">
        <v>1359923</v>
      </c>
      <c r="G112" s="54">
        <v>453.30766666666659</v>
      </c>
      <c r="H112" s="55">
        <v>-0.24659332146679189</v>
      </c>
      <c r="I112" s="54">
        <v>132.68</v>
      </c>
      <c r="J112" s="55">
        <v>0.29269304217959402</v>
      </c>
      <c r="K112" s="51" t="s">
        <v>385</v>
      </c>
      <c r="L112" s="89"/>
    </row>
    <row r="113" spans="1:12" x14ac:dyDescent="0.2">
      <c r="A113" s="51" t="s">
        <v>55</v>
      </c>
      <c r="B113" s="51" t="s">
        <v>386</v>
      </c>
      <c r="C113" s="51"/>
      <c r="D113" s="51" t="s">
        <v>84</v>
      </c>
      <c r="E113" s="52">
        <v>1030</v>
      </c>
      <c r="F113" s="53">
        <v>0</v>
      </c>
      <c r="G113" s="54"/>
      <c r="H113" s="55"/>
      <c r="I113" s="54">
        <v>130.18</v>
      </c>
      <c r="J113" s="55"/>
      <c r="K113" s="51" t="s">
        <v>387</v>
      </c>
      <c r="L113" s="89"/>
    </row>
    <row r="114" spans="1:12" x14ac:dyDescent="0.2">
      <c r="A114" s="51" t="s">
        <v>55</v>
      </c>
      <c r="B114" s="51" t="s">
        <v>388</v>
      </c>
      <c r="C114" s="51"/>
      <c r="D114" s="51" t="s">
        <v>76</v>
      </c>
      <c r="E114" s="52">
        <v>8224</v>
      </c>
      <c r="F114" s="53">
        <v>5490393</v>
      </c>
      <c r="G114" s="54">
        <v>667.60615272373536</v>
      </c>
      <c r="H114" s="55">
        <v>4.5710854197335019E-2</v>
      </c>
      <c r="I114" s="54">
        <v>80.44</v>
      </c>
      <c r="J114" s="55">
        <v>0.1204902017032296</v>
      </c>
      <c r="K114" s="51" t="s">
        <v>389</v>
      </c>
      <c r="L114" s="89"/>
    </row>
    <row r="115" spans="1:12" x14ac:dyDescent="0.2">
      <c r="A115" s="51" t="s">
        <v>55</v>
      </c>
      <c r="B115" s="51" t="s">
        <v>390</v>
      </c>
      <c r="C115" s="51"/>
      <c r="D115" s="51" t="s">
        <v>83</v>
      </c>
      <c r="E115" s="52">
        <v>2675</v>
      </c>
      <c r="F115" s="53">
        <v>1528602</v>
      </c>
      <c r="G115" s="54">
        <v>571.44000000000005</v>
      </c>
      <c r="H115" s="55">
        <v>1.9634212372765691E-2</v>
      </c>
      <c r="I115" s="54">
        <v>69.595374000000007</v>
      </c>
      <c r="J115" s="55">
        <v>0.12178946871062581</v>
      </c>
      <c r="K115" s="51" t="s">
        <v>391</v>
      </c>
      <c r="L115" s="89"/>
    </row>
    <row r="116" spans="1:12" x14ac:dyDescent="0.2">
      <c r="A116" s="51" t="s">
        <v>55</v>
      </c>
      <c r="B116" s="51" t="s">
        <v>392</v>
      </c>
      <c r="C116" s="51"/>
      <c r="D116" s="51" t="s">
        <v>76</v>
      </c>
      <c r="E116" s="52">
        <v>7039</v>
      </c>
      <c r="F116" s="53">
        <v>2061551</v>
      </c>
      <c r="G116" s="54">
        <v>292.87555050433298</v>
      </c>
      <c r="H116" s="55">
        <v>7.5169616257942121E-2</v>
      </c>
      <c r="I116" s="54">
        <v>39.193677999999998</v>
      </c>
      <c r="J116" s="55">
        <v>0.133823659682443</v>
      </c>
      <c r="K116" s="51" t="s">
        <v>393</v>
      </c>
      <c r="L116" s="89"/>
    </row>
    <row r="117" spans="1:12" x14ac:dyDescent="0.2">
      <c r="A117" s="51" t="s">
        <v>55</v>
      </c>
      <c r="B117" s="51" t="s">
        <v>394</v>
      </c>
      <c r="C117" s="51"/>
      <c r="D117" s="51" t="s">
        <v>84</v>
      </c>
      <c r="E117" s="52">
        <v>4726</v>
      </c>
      <c r="F117" s="53">
        <v>0</v>
      </c>
      <c r="G117" s="54"/>
      <c r="H117" s="55"/>
      <c r="I117" s="54">
        <v>79.52</v>
      </c>
      <c r="J117" s="55"/>
      <c r="K117" s="51" t="s">
        <v>395</v>
      </c>
      <c r="L117" s="89"/>
    </row>
    <row r="118" spans="1:12" x14ac:dyDescent="0.2">
      <c r="A118" s="51" t="s">
        <v>55</v>
      </c>
      <c r="B118" s="51" t="s">
        <v>396</v>
      </c>
      <c r="C118" s="51"/>
      <c r="D118" s="51" t="s">
        <v>78</v>
      </c>
      <c r="E118" s="52">
        <v>1880</v>
      </c>
      <c r="F118" s="53">
        <v>1529206</v>
      </c>
      <c r="G118" s="54">
        <v>813.4074468085106</v>
      </c>
      <c r="H118" s="55">
        <v>-0.13789804250516099</v>
      </c>
      <c r="I118" s="54">
        <v>112.19</v>
      </c>
      <c r="J118" s="55">
        <v>0.13792595634597299</v>
      </c>
      <c r="K118" s="51" t="s">
        <v>397</v>
      </c>
      <c r="L118" s="89"/>
    </row>
    <row r="119" spans="1:12" x14ac:dyDescent="0.2">
      <c r="A119" s="51" t="s">
        <v>55</v>
      </c>
      <c r="B119" s="51" t="s">
        <v>398</v>
      </c>
      <c r="C119" s="51"/>
      <c r="D119" s="51" t="s">
        <v>76</v>
      </c>
      <c r="E119" s="52">
        <v>4644</v>
      </c>
      <c r="F119" s="53">
        <v>2750793</v>
      </c>
      <c r="G119" s="54">
        <v>592.33268733850127</v>
      </c>
      <c r="H119" s="55">
        <v>0.1051260827841628</v>
      </c>
      <c r="I119" s="54">
        <v>87.61</v>
      </c>
      <c r="J119" s="55">
        <v>0.1479067454366795</v>
      </c>
      <c r="K119" s="51" t="s">
        <v>399</v>
      </c>
      <c r="L119" s="89"/>
    </row>
    <row r="120" spans="1:12" x14ac:dyDescent="0.2">
      <c r="A120" s="9" t="s">
        <v>60</v>
      </c>
      <c r="B120" s="9" t="s">
        <v>400</v>
      </c>
      <c r="C120" s="9" t="s">
        <v>82</v>
      </c>
      <c r="D120" s="9" t="s">
        <v>80</v>
      </c>
      <c r="E120" s="38">
        <v>1633</v>
      </c>
      <c r="F120" s="39">
        <v>744578</v>
      </c>
      <c r="G120" s="40">
        <v>455.95713410900191</v>
      </c>
      <c r="H120" s="41">
        <v>0.16769877373916289</v>
      </c>
      <c r="I120" s="40">
        <v>97.991426821800374</v>
      </c>
      <c r="J120" s="41">
        <v>0.2149136826497694</v>
      </c>
      <c r="K120" s="9" t="s">
        <v>401</v>
      </c>
      <c r="L120" s="89"/>
    </row>
    <row r="121" spans="1:12" x14ac:dyDescent="0.2">
      <c r="A121" s="9" t="s">
        <v>60</v>
      </c>
      <c r="B121" s="9" t="s">
        <v>168</v>
      </c>
      <c r="C121" s="9"/>
      <c r="D121" s="9" t="s">
        <v>77</v>
      </c>
      <c r="E121" s="38">
        <v>1482</v>
      </c>
      <c r="F121" s="39">
        <v>687009.44</v>
      </c>
      <c r="G121" s="40">
        <v>463.56912280701749</v>
      </c>
      <c r="H121" s="41">
        <v>4.4101664657475587E-2</v>
      </c>
      <c r="I121" s="40">
        <v>74.259109311740886</v>
      </c>
      <c r="J121" s="41">
        <v>0.16018993858366781</v>
      </c>
      <c r="K121" s="9" t="s">
        <v>402</v>
      </c>
      <c r="L121" s="89"/>
    </row>
    <row r="122" spans="1:12" x14ac:dyDescent="0.2">
      <c r="A122" s="9" t="s">
        <v>60</v>
      </c>
      <c r="B122" s="9" t="s">
        <v>403</v>
      </c>
      <c r="C122" s="9"/>
      <c r="D122" s="9" t="s">
        <v>86</v>
      </c>
      <c r="E122" s="38">
        <v>52765</v>
      </c>
      <c r="F122" s="39">
        <v>8921500.0700000003</v>
      </c>
      <c r="G122" s="40">
        <v>169.07988382450489</v>
      </c>
      <c r="H122" s="41">
        <v>1.110574449271865E-2</v>
      </c>
      <c r="I122" s="40">
        <v>37.397972140623523</v>
      </c>
      <c r="J122" s="41">
        <v>0.22118522496407941</v>
      </c>
      <c r="K122" s="9" t="s">
        <v>404</v>
      </c>
      <c r="L122" s="89"/>
    </row>
    <row r="123" spans="1:12" x14ac:dyDescent="0.2">
      <c r="A123" s="9" t="s">
        <v>60</v>
      </c>
      <c r="B123" s="9" t="s">
        <v>169</v>
      </c>
      <c r="C123" s="9"/>
      <c r="D123" s="9" t="s">
        <v>76</v>
      </c>
      <c r="E123" s="38">
        <v>11078</v>
      </c>
      <c r="F123" s="39">
        <v>5546247.5</v>
      </c>
      <c r="G123" s="40">
        <v>500.65422458927611</v>
      </c>
      <c r="H123" s="41">
        <v>-9.4684224725616342E-2</v>
      </c>
      <c r="I123" s="40">
        <v>85.295540711319731</v>
      </c>
      <c r="J123" s="41">
        <v>0.1703681633392668</v>
      </c>
      <c r="K123" s="9" t="s">
        <v>405</v>
      </c>
      <c r="L123" s="89"/>
    </row>
    <row r="124" spans="1:12" x14ac:dyDescent="0.2">
      <c r="A124" s="9" t="s">
        <v>60</v>
      </c>
      <c r="B124" s="9" t="s">
        <v>406</v>
      </c>
      <c r="C124" s="9"/>
      <c r="D124" s="9" t="s">
        <v>76</v>
      </c>
      <c r="E124" s="38">
        <v>5574</v>
      </c>
      <c r="F124" s="39">
        <v>843634.09</v>
      </c>
      <c r="G124" s="40">
        <v>151.35164872622889</v>
      </c>
      <c r="H124" s="41">
        <v>0.39160387865851409</v>
      </c>
      <c r="I124" s="40">
        <v>13.6210979547901</v>
      </c>
      <c r="J124" s="41">
        <v>8.9996363233733251E-2</v>
      </c>
      <c r="K124" s="9" t="s">
        <v>407</v>
      </c>
      <c r="L124" s="89"/>
    </row>
    <row r="125" spans="1:12" x14ac:dyDescent="0.2">
      <c r="A125" s="9" t="s">
        <v>60</v>
      </c>
      <c r="B125" s="9" t="s">
        <v>408</v>
      </c>
      <c r="C125" s="9"/>
      <c r="D125" s="9" t="s">
        <v>76</v>
      </c>
      <c r="E125" s="38">
        <v>5500</v>
      </c>
      <c r="F125" s="39">
        <v>783390.04</v>
      </c>
      <c r="G125" s="40">
        <v>142.43455272727269</v>
      </c>
      <c r="H125" s="41">
        <v>0.3992765160499957</v>
      </c>
      <c r="I125" s="40">
        <v>21.364363636363631</v>
      </c>
      <c r="J125" s="41">
        <v>0.14999424807596479</v>
      </c>
      <c r="K125" s="9" t="s">
        <v>409</v>
      </c>
      <c r="L125" s="89"/>
    </row>
    <row r="126" spans="1:12" x14ac:dyDescent="0.2">
      <c r="A126" s="9" t="s">
        <v>60</v>
      </c>
      <c r="B126" s="9" t="s">
        <v>87</v>
      </c>
      <c r="C126" s="9"/>
      <c r="D126" s="9" t="s">
        <v>87</v>
      </c>
      <c r="E126" s="38">
        <v>7896</v>
      </c>
      <c r="F126" s="39">
        <v>34490358</v>
      </c>
      <c r="G126" s="40">
        <v>4368.0797872340427</v>
      </c>
      <c r="H126" s="41">
        <v>-0.14552987791854941</v>
      </c>
      <c r="I126" s="40">
        <v>72.042553191489361</v>
      </c>
      <c r="J126" s="41">
        <v>1.6492957249095531E-2</v>
      </c>
      <c r="K126" s="9" t="s">
        <v>410</v>
      </c>
      <c r="L126" s="89"/>
    </row>
    <row r="127" spans="1:12" x14ac:dyDescent="0.2">
      <c r="A127" s="9" t="s">
        <v>60</v>
      </c>
      <c r="B127" s="9" t="s">
        <v>411</v>
      </c>
      <c r="C127" s="9"/>
      <c r="D127" s="9" t="s">
        <v>76</v>
      </c>
      <c r="E127" s="38">
        <v>6426</v>
      </c>
      <c r="F127" s="39">
        <v>469640</v>
      </c>
      <c r="G127" s="40">
        <v>73.084344849050737</v>
      </c>
      <c r="H127" s="41">
        <v>-3.8731123563491308E-2</v>
      </c>
      <c r="I127" s="40">
        <v>7.3090569561157794</v>
      </c>
      <c r="J127" s="41">
        <v>0.1000085171620816</v>
      </c>
      <c r="K127" s="9" t="s">
        <v>412</v>
      </c>
      <c r="L127" s="89"/>
    </row>
    <row r="128" spans="1:12" x14ac:dyDescent="0.2">
      <c r="A128" s="9" t="s">
        <v>60</v>
      </c>
      <c r="B128" s="9" t="s">
        <v>171</v>
      </c>
      <c r="C128" s="9"/>
      <c r="D128" s="9" t="s">
        <v>84</v>
      </c>
      <c r="E128" s="38">
        <v>2078</v>
      </c>
      <c r="F128" s="39">
        <v>447770</v>
      </c>
      <c r="G128" s="40">
        <v>215.48123195380171</v>
      </c>
      <c r="H128" s="41">
        <v>-0.26185966436285252</v>
      </c>
      <c r="I128" s="40">
        <v>102.9643888354187</v>
      </c>
      <c r="J128" s="41">
        <v>0.47783460258614913</v>
      </c>
      <c r="K128" s="9" t="s">
        <v>413</v>
      </c>
      <c r="L128" s="89"/>
    </row>
    <row r="129" spans="1:12" x14ac:dyDescent="0.2">
      <c r="A129" s="9" t="s">
        <v>60</v>
      </c>
      <c r="B129" s="9" t="s">
        <v>171</v>
      </c>
      <c r="C129" s="9"/>
      <c r="D129" s="9" t="s">
        <v>84</v>
      </c>
      <c r="E129" s="38">
        <v>1799</v>
      </c>
      <c r="F129" s="39">
        <v>2733500</v>
      </c>
      <c r="G129" s="40">
        <v>1519.4552529182879</v>
      </c>
      <c r="H129" s="41">
        <v>3.7331723232737833E-2</v>
      </c>
      <c r="I129" s="40">
        <v>174.95719844357981</v>
      </c>
      <c r="J129" s="41">
        <v>0.1151446862996159</v>
      </c>
      <c r="K129" s="9" t="s">
        <v>413</v>
      </c>
      <c r="L129" s="89"/>
    </row>
    <row r="130" spans="1:12" x14ac:dyDescent="0.2">
      <c r="A130" s="9" t="s">
        <v>60</v>
      </c>
      <c r="B130" s="9" t="s">
        <v>173</v>
      </c>
      <c r="C130" s="9"/>
      <c r="D130" s="9" t="s">
        <v>80</v>
      </c>
      <c r="E130" s="38">
        <v>456</v>
      </c>
      <c r="F130" s="39">
        <v>744436.27</v>
      </c>
      <c r="G130" s="40">
        <v>1632.5356798245609</v>
      </c>
      <c r="H130" s="41">
        <v>0.34524254907613189</v>
      </c>
      <c r="I130" s="40">
        <v>288.05263157894728</v>
      </c>
      <c r="J130" s="41">
        <v>0.17644492254521671</v>
      </c>
      <c r="K130" s="9" t="s">
        <v>414</v>
      </c>
      <c r="L130" s="89"/>
    </row>
    <row r="131" spans="1:12" x14ac:dyDescent="0.2">
      <c r="A131" s="9" t="s">
        <v>60</v>
      </c>
      <c r="B131" s="9" t="s">
        <v>173</v>
      </c>
      <c r="C131" s="9"/>
      <c r="D131" s="9" t="s">
        <v>80</v>
      </c>
      <c r="E131" s="38">
        <v>188</v>
      </c>
      <c r="F131" s="39">
        <v>987228.43</v>
      </c>
      <c r="G131" s="40">
        <v>5251.2150531914886</v>
      </c>
      <c r="H131" s="41">
        <v>0.24250788811196039</v>
      </c>
      <c r="I131" s="40">
        <v>672.70212765957444</v>
      </c>
      <c r="J131" s="41">
        <v>0.1281040903572844</v>
      </c>
      <c r="K131" s="9" t="s">
        <v>414</v>
      </c>
      <c r="L131" s="89"/>
    </row>
    <row r="132" spans="1:12" x14ac:dyDescent="0.2">
      <c r="A132" s="9" t="s">
        <v>60</v>
      </c>
      <c r="B132" s="9" t="s">
        <v>173</v>
      </c>
      <c r="C132" s="9"/>
      <c r="D132" s="9" t="s">
        <v>80</v>
      </c>
      <c r="E132" s="38">
        <v>100</v>
      </c>
      <c r="F132" s="39">
        <v>543489.68000000005</v>
      </c>
      <c r="G132" s="40">
        <v>5434.8968000000004</v>
      </c>
      <c r="H132" s="41">
        <v>0.32032090442909322</v>
      </c>
      <c r="I132" s="40">
        <v>922.8</v>
      </c>
      <c r="J132" s="41">
        <v>0.16979163247405171</v>
      </c>
      <c r="K132" s="9" t="s">
        <v>414</v>
      </c>
      <c r="L132" s="89"/>
    </row>
    <row r="133" spans="1:12" x14ac:dyDescent="0.2">
      <c r="A133" s="9" t="s">
        <v>60</v>
      </c>
      <c r="B133" s="9" t="s">
        <v>415</v>
      </c>
      <c r="C133" s="9"/>
      <c r="D133" s="9" t="s">
        <v>83</v>
      </c>
      <c r="E133" s="38">
        <v>6</v>
      </c>
      <c r="F133" s="39">
        <v>3166.67</v>
      </c>
      <c r="G133" s="40">
        <v>527.77833333333331</v>
      </c>
      <c r="H133" s="41">
        <v>0.1440677966101695</v>
      </c>
      <c r="I133" s="40">
        <v>4830</v>
      </c>
      <c r="J133" s="41">
        <v>9.1515693141375642E-2</v>
      </c>
      <c r="K133" s="9" t="s">
        <v>416</v>
      </c>
      <c r="L133" s="89"/>
    </row>
    <row r="134" spans="1:12" x14ac:dyDescent="0.2">
      <c r="A134" s="9" t="s">
        <v>60</v>
      </c>
      <c r="B134" s="9" t="s">
        <v>415</v>
      </c>
      <c r="C134" s="9"/>
      <c r="D134" s="9" t="s">
        <v>83</v>
      </c>
      <c r="E134" s="38">
        <v>3200</v>
      </c>
      <c r="F134" s="39">
        <v>0</v>
      </c>
      <c r="G134" s="40"/>
      <c r="H134" s="41"/>
      <c r="I134" s="40">
        <v>37.848750000000003</v>
      </c>
      <c r="J134" s="41"/>
      <c r="K134" s="9" t="s">
        <v>416</v>
      </c>
      <c r="L134" s="89"/>
    </row>
    <row r="135" spans="1:12" x14ac:dyDescent="0.2">
      <c r="A135" s="9" t="s">
        <v>60</v>
      </c>
      <c r="B135" s="9" t="s">
        <v>175</v>
      </c>
      <c r="C135" s="9"/>
      <c r="D135" s="9" t="s">
        <v>78</v>
      </c>
      <c r="E135" s="38">
        <v>163</v>
      </c>
      <c r="F135" s="39">
        <v>442129.52</v>
      </c>
      <c r="G135" s="40">
        <v>2712.451042944786</v>
      </c>
      <c r="H135" s="41">
        <v>-0.20738417374918211</v>
      </c>
      <c r="I135" s="40">
        <v>417.57055214723931</v>
      </c>
      <c r="J135" s="41">
        <v>0.15394583921924049</v>
      </c>
      <c r="K135" s="9" t="s">
        <v>417</v>
      </c>
      <c r="L135" s="89"/>
    </row>
    <row r="136" spans="1:12" x14ac:dyDescent="0.2">
      <c r="A136" s="9" t="s">
        <v>60</v>
      </c>
      <c r="B136" s="9" t="s">
        <v>179</v>
      </c>
      <c r="C136" s="9"/>
      <c r="D136" s="9" t="s">
        <v>79</v>
      </c>
      <c r="E136" s="38">
        <v>3827</v>
      </c>
      <c r="F136" s="39">
        <v>3829386</v>
      </c>
      <c r="G136" s="40">
        <v>1000.623464854978</v>
      </c>
      <c r="H136" s="41">
        <v>-7.0344356439871053E-3</v>
      </c>
      <c r="I136" s="40">
        <v>89.568852887379151</v>
      </c>
      <c r="J136" s="41">
        <v>8.9513044649977835E-2</v>
      </c>
      <c r="K136" s="9" t="s">
        <v>418</v>
      </c>
      <c r="L136" s="89"/>
    </row>
    <row r="137" spans="1:12" x14ac:dyDescent="0.2">
      <c r="A137" s="9" t="s">
        <v>60</v>
      </c>
      <c r="B137" s="9" t="s">
        <v>187</v>
      </c>
      <c r="C137" s="9"/>
      <c r="D137" s="9" t="s">
        <v>76</v>
      </c>
      <c r="E137" s="38">
        <v>1770</v>
      </c>
      <c r="F137" s="39">
        <v>885643.84</v>
      </c>
      <c r="G137" s="40">
        <v>500.36375141242928</v>
      </c>
      <c r="H137" s="41">
        <v>1.3531373815132169E-2</v>
      </c>
      <c r="I137" s="40">
        <v>44.318644067796612</v>
      </c>
      <c r="J137" s="41">
        <v>8.8572851136185848E-2</v>
      </c>
      <c r="K137" s="9" t="s">
        <v>419</v>
      </c>
      <c r="L137" s="89"/>
    </row>
    <row r="138" spans="1:12" x14ac:dyDescent="0.2">
      <c r="A138" s="9" t="s">
        <v>60</v>
      </c>
      <c r="B138" s="9" t="s">
        <v>420</v>
      </c>
      <c r="C138" s="9"/>
      <c r="D138" s="9" t="s">
        <v>78</v>
      </c>
      <c r="E138" s="38">
        <v>1499</v>
      </c>
      <c r="F138" s="39">
        <v>690262.38</v>
      </c>
      <c r="G138" s="40">
        <v>460.48190793862568</v>
      </c>
      <c r="H138" s="41">
        <v>6.9943538624923862E-2</v>
      </c>
      <c r="I138" s="40">
        <v>119.1354236157438</v>
      </c>
      <c r="J138" s="41">
        <v>0.2587190105884084</v>
      </c>
      <c r="K138" s="9" t="s">
        <v>421</v>
      </c>
      <c r="L138" s="89"/>
    </row>
    <row r="139" spans="1:12" x14ac:dyDescent="0.2">
      <c r="A139" s="9" t="s">
        <v>60</v>
      </c>
      <c r="B139" s="9" t="s">
        <v>422</v>
      </c>
      <c r="C139" s="9"/>
      <c r="D139" s="9" t="s">
        <v>83</v>
      </c>
      <c r="E139" s="38">
        <v>1705</v>
      </c>
      <c r="F139" s="39">
        <v>187362</v>
      </c>
      <c r="G139" s="40">
        <v>109.8897360703812</v>
      </c>
      <c r="H139" s="41">
        <v>0.60489822147746808</v>
      </c>
      <c r="I139" s="40">
        <v>34.472727272727283</v>
      </c>
      <c r="J139" s="41">
        <v>0.31370288532359819</v>
      </c>
      <c r="K139" s="9" t="s">
        <v>423</v>
      </c>
      <c r="L139" s="89"/>
    </row>
    <row r="140" spans="1:12" x14ac:dyDescent="0.2">
      <c r="A140" s="9" t="s">
        <v>60</v>
      </c>
      <c r="B140" s="9" t="s">
        <v>422</v>
      </c>
      <c r="C140" s="9"/>
      <c r="D140" s="9" t="s">
        <v>83</v>
      </c>
      <c r="E140" s="38">
        <v>732</v>
      </c>
      <c r="F140" s="39">
        <v>261808</v>
      </c>
      <c r="G140" s="40">
        <v>357.66120218579238</v>
      </c>
      <c r="H140" s="41">
        <v>0.67698106305564809</v>
      </c>
      <c r="I140" s="40">
        <v>121.2295081967213</v>
      </c>
      <c r="J140" s="41">
        <v>0.33895068141538842</v>
      </c>
      <c r="K140" s="9" t="s">
        <v>423</v>
      </c>
      <c r="L140" s="89"/>
    </row>
    <row r="141" spans="1:12" x14ac:dyDescent="0.2">
      <c r="A141" s="9" t="s">
        <v>60</v>
      </c>
      <c r="B141" s="9" t="s">
        <v>191</v>
      </c>
      <c r="C141" s="9"/>
      <c r="D141" s="9" t="s">
        <v>76</v>
      </c>
      <c r="E141" s="38">
        <v>4370</v>
      </c>
      <c r="F141" s="39">
        <v>2166742.52</v>
      </c>
      <c r="G141" s="40">
        <v>495.82208695652167</v>
      </c>
      <c r="H141" s="41">
        <v>0.3049516751785194</v>
      </c>
      <c r="I141" s="40">
        <v>66.38718535469107</v>
      </c>
      <c r="J141" s="41">
        <v>0.13389315865735629</v>
      </c>
      <c r="K141" s="9" t="s">
        <v>424</v>
      </c>
      <c r="L141" s="89"/>
    </row>
    <row r="142" spans="1:12" x14ac:dyDescent="0.2">
      <c r="A142" s="9" t="s">
        <v>60</v>
      </c>
      <c r="B142" s="9" t="s">
        <v>193</v>
      </c>
      <c r="C142" s="9"/>
      <c r="D142" s="9" t="s">
        <v>82</v>
      </c>
      <c r="E142" s="38">
        <v>2300</v>
      </c>
      <c r="F142" s="39">
        <v>878176.71</v>
      </c>
      <c r="G142" s="40">
        <v>381.81596086956517</v>
      </c>
      <c r="H142" s="41">
        <v>0.37675562850031702</v>
      </c>
      <c r="I142" s="40">
        <v>96.333913043478262</v>
      </c>
      <c r="J142" s="41">
        <v>0.25230457318778132</v>
      </c>
      <c r="K142" s="9" t="s">
        <v>425</v>
      </c>
      <c r="L142" s="89"/>
    </row>
    <row r="143" spans="1:12" x14ac:dyDescent="0.2">
      <c r="A143" s="9" t="s">
        <v>60</v>
      </c>
      <c r="B143" s="9" t="s">
        <v>426</v>
      </c>
      <c r="C143" s="9"/>
      <c r="D143" s="9" t="s">
        <v>81</v>
      </c>
      <c r="E143" s="38">
        <v>5432</v>
      </c>
      <c r="F143" s="39">
        <v>4179833.7</v>
      </c>
      <c r="G143" s="40">
        <v>769.48337628865988</v>
      </c>
      <c r="H143" s="41">
        <v>9.5161655782937268E-2</v>
      </c>
      <c r="I143" s="40">
        <v>79.760677466863029</v>
      </c>
      <c r="J143" s="41">
        <v>0.1036548415789843</v>
      </c>
      <c r="K143" s="9" t="s">
        <v>427</v>
      </c>
      <c r="L143" s="89"/>
    </row>
    <row r="144" spans="1:12" x14ac:dyDescent="0.2">
      <c r="A144" s="9" t="s">
        <v>60</v>
      </c>
      <c r="B144" s="9" t="s">
        <v>428</v>
      </c>
      <c r="C144" s="9"/>
      <c r="D144" s="9" t="s">
        <v>84</v>
      </c>
      <c r="E144" s="38">
        <v>150</v>
      </c>
      <c r="F144" s="39">
        <v>247006.93</v>
      </c>
      <c r="G144" s="40">
        <v>1646.712866666667</v>
      </c>
      <c r="H144" s="41">
        <v>0.19238600626955341</v>
      </c>
      <c r="I144" s="40">
        <v>641.44000000000005</v>
      </c>
      <c r="J144" s="41">
        <v>0.38952753268906259</v>
      </c>
      <c r="K144" s="9" t="s">
        <v>429</v>
      </c>
      <c r="L144" s="89"/>
    </row>
    <row r="145" spans="1:12" x14ac:dyDescent="0.2">
      <c r="A145" s="9" t="s">
        <v>60</v>
      </c>
      <c r="B145" s="9" t="s">
        <v>200</v>
      </c>
      <c r="C145" s="9"/>
      <c r="D145" s="9" t="s">
        <v>77</v>
      </c>
      <c r="E145" s="38">
        <v>6324</v>
      </c>
      <c r="F145" s="39">
        <v>2062821.66</v>
      </c>
      <c r="G145" s="40">
        <v>326.18938330170778</v>
      </c>
      <c r="H145" s="41">
        <v>-0.1339866626157413</v>
      </c>
      <c r="I145" s="40">
        <v>84.400379506641372</v>
      </c>
      <c r="J145" s="41">
        <v>0.25874655591894458</v>
      </c>
      <c r="K145" s="9" t="s">
        <v>430</v>
      </c>
      <c r="L145" s="89"/>
    </row>
    <row r="146" spans="1:12" x14ac:dyDescent="0.2">
      <c r="A146" s="9" t="s">
        <v>60</v>
      </c>
      <c r="B146" s="9" t="s">
        <v>202</v>
      </c>
      <c r="C146" s="9"/>
      <c r="D146" s="9" t="s">
        <v>81</v>
      </c>
      <c r="E146" s="38">
        <v>802</v>
      </c>
      <c r="F146" s="39">
        <v>2029431</v>
      </c>
      <c r="G146" s="40">
        <v>2530.4625935162089</v>
      </c>
      <c r="H146" s="41">
        <v>0.14161557809105471</v>
      </c>
      <c r="I146" s="40">
        <v>374.13965087281798</v>
      </c>
      <c r="J146" s="41">
        <v>0.14785425077275349</v>
      </c>
      <c r="K146" s="9" t="s">
        <v>431</v>
      </c>
      <c r="L146" s="89"/>
    </row>
    <row r="147" spans="1:12" x14ac:dyDescent="0.2">
      <c r="A147" s="9" t="s">
        <v>60</v>
      </c>
      <c r="B147" s="9" t="s">
        <v>432</v>
      </c>
      <c r="C147" s="9"/>
      <c r="D147" s="9" t="s">
        <v>81</v>
      </c>
      <c r="E147" s="38">
        <v>1182</v>
      </c>
      <c r="F147" s="39">
        <v>3033183.62</v>
      </c>
      <c r="G147" s="40">
        <v>2566.1451945854478</v>
      </c>
      <c r="H147" s="41">
        <v>0.26702440897395929</v>
      </c>
      <c r="I147" s="40">
        <v>200.62944162436551</v>
      </c>
      <c r="J147" s="41">
        <v>7.8183199472770457E-2</v>
      </c>
      <c r="K147" s="9" t="s">
        <v>433</v>
      </c>
      <c r="L147" s="89"/>
    </row>
    <row r="148" spans="1:12" x14ac:dyDescent="0.2">
      <c r="A148" s="9" t="s">
        <v>60</v>
      </c>
      <c r="B148" s="9" t="s">
        <v>204</v>
      </c>
      <c r="C148" s="9"/>
      <c r="D148" s="9" t="s">
        <v>81</v>
      </c>
      <c r="E148" s="38">
        <v>1969</v>
      </c>
      <c r="F148" s="39">
        <v>4271100.43</v>
      </c>
      <c r="G148" s="40">
        <v>2169.1723869984762</v>
      </c>
      <c r="H148" s="41"/>
      <c r="I148" s="40">
        <v>241.00558659217879</v>
      </c>
      <c r="J148" s="41">
        <v>0.1111048564128472</v>
      </c>
      <c r="K148" s="9" t="s">
        <v>434</v>
      </c>
      <c r="L148" s="89"/>
    </row>
    <row r="149" spans="1:12" x14ac:dyDescent="0.2">
      <c r="A149" s="9" t="s">
        <v>60</v>
      </c>
      <c r="B149" s="9" t="s">
        <v>206</v>
      </c>
      <c r="C149" s="9"/>
      <c r="D149" s="9" t="s">
        <v>80</v>
      </c>
      <c r="E149" s="38">
        <v>353</v>
      </c>
      <c r="F149" s="39">
        <v>583393</v>
      </c>
      <c r="G149" s="40">
        <v>1652.671388101983</v>
      </c>
      <c r="H149" s="41">
        <v>0.27294047865715521</v>
      </c>
      <c r="I149" s="40">
        <v>239.72804532577899</v>
      </c>
      <c r="J149" s="41">
        <v>0.14505487724398469</v>
      </c>
      <c r="K149" s="9" t="s">
        <v>435</v>
      </c>
      <c r="L149" s="89"/>
    </row>
    <row r="150" spans="1:12" x14ac:dyDescent="0.2">
      <c r="A150" s="9" t="s">
        <v>60</v>
      </c>
      <c r="B150" s="9" t="s">
        <v>208</v>
      </c>
      <c r="C150" s="9"/>
      <c r="D150" s="9" t="s">
        <v>78</v>
      </c>
      <c r="E150" s="38">
        <v>2160</v>
      </c>
      <c r="F150" s="39">
        <v>1426671.61</v>
      </c>
      <c r="G150" s="40">
        <v>660.49611574074083</v>
      </c>
      <c r="H150" s="41">
        <v>2.2797362410356889E-2</v>
      </c>
      <c r="I150" s="40">
        <v>127.8111111111111</v>
      </c>
      <c r="J150" s="41">
        <v>0.19350774071967411</v>
      </c>
      <c r="K150" s="9" t="s">
        <v>436</v>
      </c>
      <c r="L150" s="89"/>
    </row>
    <row r="151" spans="1:12" x14ac:dyDescent="0.2">
      <c r="A151" s="9" t="s">
        <v>60</v>
      </c>
      <c r="B151" s="9" t="s">
        <v>437</v>
      </c>
      <c r="C151" s="9"/>
      <c r="D151" s="9" t="s">
        <v>77</v>
      </c>
      <c r="E151" s="38">
        <v>2300</v>
      </c>
      <c r="F151" s="39">
        <v>632461.01</v>
      </c>
      <c r="G151" s="40">
        <v>274.98304782608699</v>
      </c>
      <c r="H151" s="41">
        <v>0.13022646885551811</v>
      </c>
      <c r="I151" s="40">
        <v>164.15478260869571</v>
      </c>
      <c r="J151" s="41">
        <v>0.59696328157841694</v>
      </c>
      <c r="K151" s="9" t="s">
        <v>438</v>
      </c>
      <c r="L151" s="89"/>
    </row>
    <row r="152" spans="1:12" x14ac:dyDescent="0.2">
      <c r="A152" s="9" t="s">
        <v>60</v>
      </c>
      <c r="B152" s="9" t="s">
        <v>439</v>
      </c>
      <c r="C152" s="9"/>
      <c r="D152" s="9" t="s">
        <v>85</v>
      </c>
      <c r="E152" s="38">
        <v>34282</v>
      </c>
      <c r="F152" s="39">
        <v>6808728.1299999999</v>
      </c>
      <c r="G152" s="40">
        <v>198.60941981214631</v>
      </c>
      <c r="H152" s="41">
        <v>0.2333590770584989</v>
      </c>
      <c r="I152" s="40">
        <v>25.042412928067211</v>
      </c>
      <c r="J152" s="41">
        <v>0.12608874720923829</v>
      </c>
      <c r="K152" s="9" t="s">
        <v>440</v>
      </c>
      <c r="L152" s="89"/>
    </row>
    <row r="153" spans="1:12" x14ac:dyDescent="0.2">
      <c r="A153" s="9" t="s">
        <v>60</v>
      </c>
      <c r="B153" s="9" t="s">
        <v>441</v>
      </c>
      <c r="C153" s="9"/>
      <c r="D153" s="9" t="s">
        <v>76</v>
      </c>
      <c r="E153" s="38">
        <v>840</v>
      </c>
      <c r="F153" s="39">
        <v>250310</v>
      </c>
      <c r="G153" s="40">
        <v>297.98809523809518</v>
      </c>
      <c r="H153" s="41">
        <v>0.29105462267165583</v>
      </c>
      <c r="I153" s="40">
        <v>115.2285714285714</v>
      </c>
      <c r="J153" s="41">
        <v>0.38668850625224721</v>
      </c>
      <c r="K153" s="9" t="s">
        <v>442</v>
      </c>
      <c r="L153" s="89"/>
    </row>
    <row r="154" spans="1:12" x14ac:dyDescent="0.2">
      <c r="A154" s="9" t="s">
        <v>60</v>
      </c>
      <c r="B154" s="9" t="s">
        <v>443</v>
      </c>
      <c r="C154" s="9"/>
      <c r="D154" s="9" t="s">
        <v>76</v>
      </c>
      <c r="E154" s="38">
        <v>4279</v>
      </c>
      <c r="F154" s="39">
        <v>2573547.79</v>
      </c>
      <c r="G154" s="40">
        <v>601.43673521850906</v>
      </c>
      <c r="H154" s="41">
        <v>-0.13681964547249509</v>
      </c>
      <c r="I154" s="40">
        <v>66.450105164758128</v>
      </c>
      <c r="J154" s="41">
        <v>0.1104856109938413</v>
      </c>
      <c r="K154" s="9" t="s">
        <v>444</v>
      </c>
      <c r="L154" s="89"/>
    </row>
    <row r="155" spans="1:12" x14ac:dyDescent="0.2">
      <c r="A155" s="9" t="s">
        <v>60</v>
      </c>
      <c r="B155" s="9" t="s">
        <v>445</v>
      </c>
      <c r="C155" s="9"/>
      <c r="D155" s="9" t="s">
        <v>82</v>
      </c>
      <c r="E155" s="38">
        <v>2920</v>
      </c>
      <c r="F155" s="39">
        <v>977145.97</v>
      </c>
      <c r="G155" s="40">
        <v>334.6390308219178</v>
      </c>
      <c r="H155" s="41">
        <v>-4.6268142462722303E-2</v>
      </c>
      <c r="I155" s="40">
        <v>46.175342465753417</v>
      </c>
      <c r="J155" s="41">
        <v>0.1379855253355852</v>
      </c>
      <c r="K155" s="9" t="s">
        <v>446</v>
      </c>
      <c r="L155" s="89"/>
    </row>
    <row r="156" spans="1:12" x14ac:dyDescent="0.2">
      <c r="A156" s="9" t="s">
        <v>60</v>
      </c>
      <c r="B156" s="9" t="s">
        <v>228</v>
      </c>
      <c r="C156" s="9"/>
      <c r="D156" s="9" t="s">
        <v>76</v>
      </c>
      <c r="E156" s="38">
        <v>5009</v>
      </c>
      <c r="F156" s="39">
        <v>1075806.1499999999</v>
      </c>
      <c r="G156" s="40">
        <v>214.77463565581951</v>
      </c>
      <c r="H156" s="41">
        <v>0.52401885140003324</v>
      </c>
      <c r="I156" s="40">
        <v>45.300059892194049</v>
      </c>
      <c r="J156" s="41">
        <v>0.21091903964296921</v>
      </c>
      <c r="K156" s="9" t="s">
        <v>447</v>
      </c>
      <c r="L156" s="89"/>
    </row>
    <row r="157" spans="1:12" x14ac:dyDescent="0.2">
      <c r="A157" s="9" t="s">
        <v>60</v>
      </c>
      <c r="B157" s="9" t="s">
        <v>231</v>
      </c>
      <c r="C157" s="9"/>
      <c r="D157" s="9" t="s">
        <v>76</v>
      </c>
      <c r="E157" s="38">
        <v>5443</v>
      </c>
      <c r="F157" s="39">
        <v>1435346.43</v>
      </c>
      <c r="G157" s="40">
        <v>263.7050211280544</v>
      </c>
      <c r="H157" s="41">
        <v>-3.8102156572377907E-2</v>
      </c>
      <c r="I157" s="40">
        <v>175.98971155612711</v>
      </c>
      <c r="J157" s="41">
        <v>0.66737338107288846</v>
      </c>
      <c r="K157" s="9" t="s">
        <v>448</v>
      </c>
      <c r="L157" s="89"/>
    </row>
    <row r="158" spans="1:12" x14ac:dyDescent="0.2">
      <c r="A158" s="9" t="s">
        <v>60</v>
      </c>
      <c r="B158" s="9" t="s">
        <v>449</v>
      </c>
      <c r="C158" s="9"/>
      <c r="D158" s="9" t="s">
        <v>81</v>
      </c>
      <c r="E158" s="38">
        <v>723</v>
      </c>
      <c r="F158" s="39">
        <v>1415784.41</v>
      </c>
      <c r="G158" s="40">
        <v>1958.2080359612719</v>
      </c>
      <c r="H158" s="41">
        <v>0.39753387836470561</v>
      </c>
      <c r="I158" s="40">
        <v>320.18257261410793</v>
      </c>
      <c r="J158" s="41">
        <v>0.16350794539403071</v>
      </c>
      <c r="K158" s="9" t="s">
        <v>450</v>
      </c>
      <c r="L158" s="89"/>
    </row>
    <row r="159" spans="1:12" x14ac:dyDescent="0.2">
      <c r="A159" s="9" t="s">
        <v>60</v>
      </c>
      <c r="B159" s="9" t="s">
        <v>451</v>
      </c>
      <c r="C159" s="9"/>
      <c r="D159" s="9" t="s">
        <v>83</v>
      </c>
      <c r="E159" s="38">
        <v>1600</v>
      </c>
      <c r="F159" s="39">
        <v>911725.45</v>
      </c>
      <c r="G159" s="40">
        <v>569.82840624999994</v>
      </c>
      <c r="H159" s="41">
        <v>0.13937556193520059</v>
      </c>
      <c r="I159" s="40">
        <v>69.607500000000002</v>
      </c>
      <c r="J159" s="41">
        <v>0.122155194856083</v>
      </c>
      <c r="K159" s="9" t="s">
        <v>452</v>
      </c>
      <c r="L159" s="89"/>
    </row>
    <row r="160" spans="1:12" x14ac:dyDescent="0.2">
      <c r="A160" s="9" t="s">
        <v>60</v>
      </c>
      <c r="B160" s="9" t="s">
        <v>235</v>
      </c>
      <c r="C160" s="9"/>
      <c r="D160" s="9" t="s">
        <v>77</v>
      </c>
      <c r="E160" s="38">
        <v>5529</v>
      </c>
      <c r="F160" s="39">
        <v>3398040.49</v>
      </c>
      <c r="G160" s="40">
        <v>614.58500452161331</v>
      </c>
      <c r="H160" s="41">
        <v>4.5620859545633642E-2</v>
      </c>
      <c r="I160" s="40">
        <v>115.1253391209984</v>
      </c>
      <c r="J160" s="41">
        <v>0.1873220763181665</v>
      </c>
      <c r="K160" s="9" t="s">
        <v>453</v>
      </c>
      <c r="L160" s="89"/>
    </row>
    <row r="161" spans="1:12" x14ac:dyDescent="0.2">
      <c r="A161" s="9" t="s">
        <v>60</v>
      </c>
      <c r="B161" s="9" t="s">
        <v>454</v>
      </c>
      <c r="C161" s="9"/>
      <c r="D161" s="9" t="s">
        <v>76</v>
      </c>
      <c r="E161" s="38">
        <v>30487</v>
      </c>
      <c r="F161" s="39">
        <v>4175452.72</v>
      </c>
      <c r="G161" s="40">
        <v>136.9584649194739</v>
      </c>
      <c r="H161" s="41">
        <v>-0.1075714659207361</v>
      </c>
      <c r="I161" s="40">
        <v>16.435201889329878</v>
      </c>
      <c r="J161" s="41">
        <v>0.1200013587987652</v>
      </c>
      <c r="K161" s="9" t="s">
        <v>455</v>
      </c>
      <c r="L161" s="89"/>
    </row>
    <row r="162" spans="1:12" x14ac:dyDescent="0.2">
      <c r="A162" s="9" t="s">
        <v>60</v>
      </c>
      <c r="B162" s="9" t="s">
        <v>456</v>
      </c>
      <c r="C162" s="9"/>
      <c r="D162" s="9" t="s">
        <v>76</v>
      </c>
      <c r="E162" s="38">
        <v>1499</v>
      </c>
      <c r="F162" s="39">
        <v>672423.07</v>
      </c>
      <c r="G162" s="40">
        <v>448.5811007338225</v>
      </c>
      <c r="H162" s="41">
        <v>-0.21720391861036209</v>
      </c>
      <c r="I162" s="40">
        <v>71.775850567044699</v>
      </c>
      <c r="J162" s="41">
        <v>0.1600064078705688</v>
      </c>
      <c r="K162" s="9" t="s">
        <v>457</v>
      </c>
      <c r="L162" s="89"/>
    </row>
    <row r="163" spans="1:12" x14ac:dyDescent="0.2">
      <c r="A163" s="9" t="s">
        <v>60</v>
      </c>
      <c r="B163" s="9" t="s">
        <v>458</v>
      </c>
      <c r="C163" s="9"/>
      <c r="D163" s="9" t="s">
        <v>76</v>
      </c>
      <c r="E163" s="38">
        <v>2600</v>
      </c>
      <c r="F163" s="39">
        <v>1086771.02</v>
      </c>
      <c r="G163" s="40">
        <v>417.98885384615392</v>
      </c>
      <c r="H163" s="41"/>
      <c r="I163" s="40">
        <v>90.766153846153841</v>
      </c>
      <c r="J163" s="41">
        <v>0.21714969911509049</v>
      </c>
      <c r="K163" s="9" t="s">
        <v>459</v>
      </c>
      <c r="L163" s="89"/>
    </row>
    <row r="164" spans="1:12" x14ac:dyDescent="0.2">
      <c r="A164" s="9" t="s">
        <v>60</v>
      </c>
      <c r="B164" s="9" t="s">
        <v>243</v>
      </c>
      <c r="C164" s="9"/>
      <c r="D164" s="9" t="s">
        <v>82</v>
      </c>
      <c r="E164" s="38">
        <v>1205</v>
      </c>
      <c r="F164" s="39">
        <v>1048751.94</v>
      </c>
      <c r="G164" s="40">
        <v>870.33356016597509</v>
      </c>
      <c r="H164" s="41">
        <v>0.13141061976362611</v>
      </c>
      <c r="I164" s="40">
        <v>105.002489626556</v>
      </c>
      <c r="J164" s="41">
        <v>0.1206462607354033</v>
      </c>
      <c r="K164" s="9" t="s">
        <v>460</v>
      </c>
      <c r="L164" s="89"/>
    </row>
    <row r="165" spans="1:12" x14ac:dyDescent="0.2">
      <c r="A165" s="9" t="s">
        <v>60</v>
      </c>
      <c r="B165" s="9" t="s">
        <v>461</v>
      </c>
      <c r="C165" s="9"/>
      <c r="D165" s="9" t="s">
        <v>76</v>
      </c>
      <c r="E165" s="38">
        <v>4364</v>
      </c>
      <c r="F165" s="39">
        <v>1167960.79</v>
      </c>
      <c r="G165" s="40">
        <v>267.63537809349219</v>
      </c>
      <c r="H165" s="41">
        <v>-0.1811449734553999</v>
      </c>
      <c r="I165" s="40">
        <v>48.525206232813929</v>
      </c>
      <c r="J165" s="41">
        <v>0.18131088116408431</v>
      </c>
      <c r="K165" s="9" t="s">
        <v>462</v>
      </c>
      <c r="L165" s="89"/>
    </row>
    <row r="166" spans="1:12" x14ac:dyDescent="0.2">
      <c r="A166" s="9" t="s">
        <v>60</v>
      </c>
      <c r="B166" s="9" t="s">
        <v>247</v>
      </c>
      <c r="C166" s="9"/>
      <c r="D166" s="9" t="s">
        <v>76</v>
      </c>
      <c r="E166" s="38">
        <v>23103</v>
      </c>
      <c r="F166" s="39">
        <v>4407758.6399999997</v>
      </c>
      <c r="G166" s="40">
        <v>190.78728476821189</v>
      </c>
      <c r="H166" s="41">
        <v>9.7774727463023792E-2</v>
      </c>
      <c r="I166" s="40">
        <v>15.262952863264511</v>
      </c>
      <c r="J166" s="41">
        <v>7.9999843185606018E-2</v>
      </c>
      <c r="K166" s="9" t="s">
        <v>463</v>
      </c>
      <c r="L166" s="89"/>
    </row>
    <row r="167" spans="1:12" x14ac:dyDescent="0.2">
      <c r="A167" s="9" t="s">
        <v>60</v>
      </c>
      <c r="B167" s="9" t="s">
        <v>464</v>
      </c>
      <c r="C167" s="9"/>
      <c r="D167" s="9" t="s">
        <v>80</v>
      </c>
      <c r="E167" s="38">
        <v>200</v>
      </c>
      <c r="F167" s="39">
        <v>0</v>
      </c>
      <c r="G167" s="40"/>
      <c r="H167" s="41"/>
      <c r="I167" s="40">
        <v>265.74</v>
      </c>
      <c r="J167" s="41"/>
      <c r="K167" s="9" t="s">
        <v>465</v>
      </c>
      <c r="L167" s="89"/>
    </row>
    <row r="168" spans="1:12" x14ac:dyDescent="0.2">
      <c r="A168" s="9" t="s">
        <v>60</v>
      </c>
      <c r="B168" s="9" t="s">
        <v>249</v>
      </c>
      <c r="C168" s="9"/>
      <c r="D168" s="9" t="s">
        <v>82</v>
      </c>
      <c r="E168" s="38">
        <v>4273</v>
      </c>
      <c r="F168" s="39">
        <v>978328.74</v>
      </c>
      <c r="G168" s="40">
        <v>228.95594196115141</v>
      </c>
      <c r="H168" s="41">
        <v>3.9909228160100021E-2</v>
      </c>
      <c r="I168" s="40">
        <v>23.7388251813714</v>
      </c>
      <c r="J168" s="41">
        <v>0.10368293994920361</v>
      </c>
      <c r="K168" s="9" t="s">
        <v>466</v>
      </c>
      <c r="L168" s="89"/>
    </row>
    <row r="169" spans="1:12" x14ac:dyDescent="0.2">
      <c r="A169" s="9" t="s">
        <v>60</v>
      </c>
      <c r="B169" s="9" t="s">
        <v>467</v>
      </c>
      <c r="C169" s="9"/>
      <c r="D169" s="9" t="s">
        <v>78</v>
      </c>
      <c r="E169" s="38">
        <v>1790</v>
      </c>
      <c r="F169" s="39">
        <v>2451606.7999999998</v>
      </c>
      <c r="G169" s="40">
        <v>1369.612737430167</v>
      </c>
      <c r="H169" s="41">
        <v>-9.9828805362534703E-2</v>
      </c>
      <c r="I169" s="40">
        <v>161.18212290502791</v>
      </c>
      <c r="J169" s="41">
        <v>0.11768445086708031</v>
      </c>
      <c r="K169" s="9" t="s">
        <v>468</v>
      </c>
      <c r="L169" s="89"/>
    </row>
    <row r="170" spans="1:12" x14ac:dyDescent="0.2">
      <c r="A170" s="9" t="s">
        <v>60</v>
      </c>
      <c r="B170" s="9" t="s">
        <v>469</v>
      </c>
      <c r="C170" s="9"/>
      <c r="D170" s="9" t="s">
        <v>76</v>
      </c>
      <c r="E170" s="38">
        <v>1202</v>
      </c>
      <c r="F170" s="39">
        <v>317928</v>
      </c>
      <c r="G170" s="40">
        <v>264.4991680532446</v>
      </c>
      <c r="H170" s="41">
        <v>0.30900476480045319</v>
      </c>
      <c r="I170" s="40">
        <v>77.470881863560734</v>
      </c>
      <c r="J170" s="41">
        <v>0.29289650486902702</v>
      </c>
      <c r="K170" s="9" t="s">
        <v>470</v>
      </c>
      <c r="L170" s="89"/>
    </row>
    <row r="171" spans="1:12" x14ac:dyDescent="0.2">
      <c r="A171" s="9" t="s">
        <v>60</v>
      </c>
      <c r="B171" s="9" t="s">
        <v>140</v>
      </c>
      <c r="C171" s="9"/>
      <c r="D171" s="9" t="s">
        <v>83</v>
      </c>
      <c r="E171" s="38">
        <v>7572</v>
      </c>
      <c r="F171" s="39">
        <v>1763421.79</v>
      </c>
      <c r="G171" s="40">
        <v>232.8871883254094</v>
      </c>
      <c r="H171" s="41">
        <v>-6.6329778923516658E-2</v>
      </c>
      <c r="I171" s="40">
        <v>30.70839936608558</v>
      </c>
      <c r="J171" s="41">
        <v>0.13185954790770729</v>
      </c>
      <c r="K171" s="9" t="s">
        <v>471</v>
      </c>
      <c r="L171" s="89"/>
    </row>
    <row r="172" spans="1:12" x14ac:dyDescent="0.2">
      <c r="A172" s="9" t="s">
        <v>60</v>
      </c>
      <c r="B172" s="9" t="s">
        <v>256</v>
      </c>
      <c r="C172" s="9"/>
      <c r="D172" s="9" t="s">
        <v>76</v>
      </c>
      <c r="E172" s="38">
        <v>3180</v>
      </c>
      <c r="F172" s="39">
        <v>1215449</v>
      </c>
      <c r="G172" s="40">
        <v>382.21666666666658</v>
      </c>
      <c r="H172" s="41">
        <v>-0.1131277871502054</v>
      </c>
      <c r="I172" s="40">
        <v>18.241509433962261</v>
      </c>
      <c r="J172" s="41">
        <v>4.772557301869515E-2</v>
      </c>
      <c r="K172" s="9" t="s">
        <v>472</v>
      </c>
      <c r="L172" s="89"/>
    </row>
    <row r="173" spans="1:12" x14ac:dyDescent="0.2">
      <c r="A173" s="9" t="s">
        <v>60</v>
      </c>
      <c r="B173" s="9" t="s">
        <v>473</v>
      </c>
      <c r="C173" s="9"/>
      <c r="D173" s="9" t="s">
        <v>86</v>
      </c>
      <c r="E173" s="38">
        <v>125024</v>
      </c>
      <c r="F173" s="39">
        <v>12739000</v>
      </c>
      <c r="G173" s="40">
        <v>101.8924366521628</v>
      </c>
      <c r="H173" s="41">
        <v>7.36945019663433E-3</v>
      </c>
      <c r="I173" s="40">
        <v>0.25003199385717939</v>
      </c>
      <c r="J173" s="41">
        <v>2.4538817803595259E-3</v>
      </c>
      <c r="K173" s="9" t="s">
        <v>474</v>
      </c>
      <c r="L173" s="89"/>
    </row>
    <row r="174" spans="1:12" x14ac:dyDescent="0.2">
      <c r="A174" s="9" t="s">
        <v>60</v>
      </c>
      <c r="B174" s="9" t="s">
        <v>475</v>
      </c>
      <c r="C174" s="9"/>
      <c r="D174" s="9" t="s">
        <v>76</v>
      </c>
      <c r="E174" s="38">
        <v>1465</v>
      </c>
      <c r="F174" s="39">
        <v>485486.71</v>
      </c>
      <c r="G174" s="40">
        <v>331.39024573378839</v>
      </c>
      <c r="H174" s="41">
        <v>0.33868519147476012</v>
      </c>
      <c r="I174" s="40">
        <v>40.742662116040947</v>
      </c>
      <c r="J174" s="41">
        <v>0.12294466309901669</v>
      </c>
      <c r="K174" s="9" t="s">
        <v>476</v>
      </c>
      <c r="L174" s="89"/>
    </row>
    <row r="175" spans="1:12" x14ac:dyDescent="0.2">
      <c r="A175" s="9" t="s">
        <v>60</v>
      </c>
      <c r="B175" s="9" t="s">
        <v>477</v>
      </c>
      <c r="C175" s="9"/>
      <c r="D175" s="9" t="s">
        <v>78</v>
      </c>
      <c r="E175" s="38">
        <v>5996</v>
      </c>
      <c r="F175" s="39">
        <v>4367695</v>
      </c>
      <c r="G175" s="40">
        <v>728.43478985990657</v>
      </c>
      <c r="H175" s="41">
        <v>2.2325737346182439E-2</v>
      </c>
      <c r="I175" s="40">
        <v>57.530353569046028</v>
      </c>
      <c r="J175" s="41">
        <v>7.8978042193880299E-2</v>
      </c>
      <c r="K175" s="9" t="s">
        <v>478</v>
      </c>
      <c r="L175" s="89"/>
    </row>
    <row r="176" spans="1:12" x14ac:dyDescent="0.2">
      <c r="A176" s="9" t="s">
        <v>60</v>
      </c>
      <c r="B176" s="9" t="s">
        <v>479</v>
      </c>
      <c r="C176" s="9"/>
      <c r="D176" s="9" t="s">
        <v>77</v>
      </c>
      <c r="E176" s="38">
        <v>7076</v>
      </c>
      <c r="F176" s="39">
        <v>2081782.01</v>
      </c>
      <c r="G176" s="40">
        <v>294.2032235726399</v>
      </c>
      <c r="H176" s="41">
        <v>1.8530383343138199E-2</v>
      </c>
      <c r="I176" s="40">
        <v>46.361786319954767</v>
      </c>
      <c r="J176" s="41">
        <v>0.1575842227592312</v>
      </c>
      <c r="K176" s="9" t="s">
        <v>480</v>
      </c>
      <c r="L176" s="89"/>
    </row>
    <row r="177" spans="1:12" x14ac:dyDescent="0.2">
      <c r="A177" s="9" t="s">
        <v>60</v>
      </c>
      <c r="B177" s="9" t="s">
        <v>481</v>
      </c>
      <c r="C177" s="9"/>
      <c r="D177" s="9" t="s">
        <v>77</v>
      </c>
      <c r="E177" s="38">
        <v>1700</v>
      </c>
      <c r="F177" s="39">
        <v>677411.6</v>
      </c>
      <c r="G177" s="40">
        <v>398.47741176470589</v>
      </c>
      <c r="H177" s="41">
        <v>-4.061219939026503E-2</v>
      </c>
      <c r="I177" s="40">
        <v>142.28470588235291</v>
      </c>
      <c r="J177" s="41">
        <v>0.35707094475500573</v>
      </c>
      <c r="K177" s="9" t="s">
        <v>482</v>
      </c>
      <c r="L177" s="89"/>
    </row>
    <row r="178" spans="1:12" x14ac:dyDescent="0.2">
      <c r="A178" s="9" t="s">
        <v>60</v>
      </c>
      <c r="B178" s="9" t="s">
        <v>267</v>
      </c>
      <c r="C178" s="9"/>
      <c r="D178" s="9" t="s">
        <v>77</v>
      </c>
      <c r="E178" s="38">
        <v>2869</v>
      </c>
      <c r="F178" s="39">
        <v>1254476.8899999999</v>
      </c>
      <c r="G178" s="40">
        <v>437.25231439525959</v>
      </c>
      <c r="H178" s="41">
        <v>6.7230957990407375E-2</v>
      </c>
      <c r="I178" s="40">
        <v>96.698501219937256</v>
      </c>
      <c r="J178" s="41">
        <v>0.2211503473770649</v>
      </c>
      <c r="K178" s="9" t="s">
        <v>483</v>
      </c>
      <c r="L178" s="89"/>
    </row>
    <row r="179" spans="1:12" x14ac:dyDescent="0.2">
      <c r="A179" s="9" t="s">
        <v>60</v>
      </c>
      <c r="B179" s="9" t="s">
        <v>484</v>
      </c>
      <c r="C179" s="9"/>
      <c r="D179" s="9" t="s">
        <v>77</v>
      </c>
      <c r="E179" s="38">
        <v>1840</v>
      </c>
      <c r="F179" s="39">
        <v>792317.79</v>
      </c>
      <c r="G179" s="40">
        <v>430.60749456521739</v>
      </c>
      <c r="H179" s="41">
        <v>0.27660249845806462</v>
      </c>
      <c r="I179" s="40">
        <v>139.19999999999999</v>
      </c>
      <c r="J179" s="41">
        <v>0.32326422962180362</v>
      </c>
      <c r="K179" s="9" t="s">
        <v>485</v>
      </c>
      <c r="L179" s="89"/>
    </row>
    <row r="180" spans="1:12" x14ac:dyDescent="0.2">
      <c r="A180" s="9" t="s">
        <v>60</v>
      </c>
      <c r="B180" s="9" t="s">
        <v>271</v>
      </c>
      <c r="C180" s="9"/>
      <c r="D180" s="9" t="s">
        <v>78</v>
      </c>
      <c r="E180" s="38">
        <v>2055</v>
      </c>
      <c r="F180" s="39">
        <v>2839103.64</v>
      </c>
      <c r="G180" s="40">
        <v>1381.558948905109</v>
      </c>
      <c r="H180" s="41"/>
      <c r="I180" s="40">
        <v>220.4087591240876</v>
      </c>
      <c r="J180" s="41">
        <v>0.15953626828501399</v>
      </c>
      <c r="K180" s="9" t="s">
        <v>486</v>
      </c>
      <c r="L180" s="89"/>
    </row>
    <row r="181" spans="1:12" x14ac:dyDescent="0.2">
      <c r="A181" s="9" t="s">
        <v>60</v>
      </c>
      <c r="B181" s="9" t="s">
        <v>487</v>
      </c>
      <c r="C181" s="9"/>
      <c r="D181" s="9" t="s">
        <v>77</v>
      </c>
      <c r="E181" s="38">
        <v>3000</v>
      </c>
      <c r="F181" s="39">
        <v>1194877.31</v>
      </c>
      <c r="G181" s="40">
        <v>398.29243666666667</v>
      </c>
      <c r="H181" s="41">
        <v>0.1083186091143562</v>
      </c>
      <c r="I181" s="40">
        <v>91.02</v>
      </c>
      <c r="J181" s="41">
        <v>0.22852555464460189</v>
      </c>
      <c r="K181" s="9" t="s">
        <v>488</v>
      </c>
      <c r="L181" s="89"/>
    </row>
    <row r="182" spans="1:12" x14ac:dyDescent="0.2">
      <c r="A182" s="9" t="s">
        <v>60</v>
      </c>
      <c r="B182" s="9" t="s">
        <v>489</v>
      </c>
      <c r="C182" s="9"/>
      <c r="D182" s="9" t="s">
        <v>82</v>
      </c>
      <c r="E182" s="38">
        <v>2200</v>
      </c>
      <c r="F182" s="39">
        <v>3098117.63</v>
      </c>
      <c r="G182" s="40">
        <v>1408.2352863636361</v>
      </c>
      <c r="H182" s="41">
        <v>0.16432404505253451</v>
      </c>
      <c r="I182" s="40">
        <v>130.65818181818179</v>
      </c>
      <c r="J182" s="41">
        <v>9.2781499713424379E-2</v>
      </c>
      <c r="K182" s="9" t="s">
        <v>490</v>
      </c>
      <c r="L182" s="89"/>
    </row>
    <row r="183" spans="1:12" x14ac:dyDescent="0.2">
      <c r="A183" s="9" t="s">
        <v>60</v>
      </c>
      <c r="B183" s="9" t="s">
        <v>275</v>
      </c>
      <c r="C183" s="9"/>
      <c r="D183" s="9" t="s">
        <v>83</v>
      </c>
      <c r="E183" s="38">
        <v>4183</v>
      </c>
      <c r="F183" s="39">
        <v>3144176.48</v>
      </c>
      <c r="G183" s="40">
        <v>751.65586421228784</v>
      </c>
      <c r="H183" s="41">
        <v>-0.10214342475336941</v>
      </c>
      <c r="I183" s="40">
        <v>148.02773129333011</v>
      </c>
      <c r="J183" s="41">
        <v>0.19693551043928681</v>
      </c>
      <c r="K183" s="9" t="s">
        <v>491</v>
      </c>
      <c r="L183" s="89"/>
    </row>
    <row r="184" spans="1:12" x14ac:dyDescent="0.2">
      <c r="A184" s="9" t="s">
        <v>60</v>
      </c>
      <c r="B184" s="9" t="s">
        <v>277</v>
      </c>
      <c r="C184" s="9"/>
      <c r="D184" s="9" t="s">
        <v>76</v>
      </c>
      <c r="E184" s="38">
        <v>1000</v>
      </c>
      <c r="F184" s="39">
        <v>627003.81999999995</v>
      </c>
      <c r="G184" s="40">
        <v>627.00381999999991</v>
      </c>
      <c r="H184" s="41">
        <v>-5.7224783788527293E-2</v>
      </c>
      <c r="I184" s="40">
        <v>83.171999999999997</v>
      </c>
      <c r="J184" s="41">
        <v>0.1326499095332466</v>
      </c>
      <c r="K184" s="9" t="s">
        <v>492</v>
      </c>
      <c r="L184" s="89"/>
    </row>
    <row r="185" spans="1:12" x14ac:dyDescent="0.2">
      <c r="A185" s="9" t="s">
        <v>60</v>
      </c>
      <c r="B185" s="9" t="s">
        <v>281</v>
      </c>
      <c r="C185" s="9"/>
      <c r="D185" s="9" t="s">
        <v>80</v>
      </c>
      <c r="E185" s="38">
        <v>2282</v>
      </c>
      <c r="F185" s="39">
        <v>874241.5</v>
      </c>
      <c r="G185" s="40">
        <v>383.10319894829098</v>
      </c>
      <c r="H185" s="41">
        <v>-9.3421015082451209E-2</v>
      </c>
      <c r="I185" s="40">
        <v>45.970201577563543</v>
      </c>
      <c r="J185" s="41">
        <v>0.1199943036334926</v>
      </c>
      <c r="K185" s="9" t="s">
        <v>493</v>
      </c>
      <c r="L185" s="89"/>
    </row>
    <row r="186" spans="1:12" x14ac:dyDescent="0.2">
      <c r="A186" s="9" t="s">
        <v>60</v>
      </c>
      <c r="B186" s="9" t="s">
        <v>494</v>
      </c>
      <c r="C186" s="9"/>
      <c r="D186" s="9" t="s">
        <v>85</v>
      </c>
      <c r="E186" s="38">
        <v>1887</v>
      </c>
      <c r="F186" s="39">
        <v>3263447.94</v>
      </c>
      <c r="G186" s="40">
        <v>1729.437170111288</v>
      </c>
      <c r="H186" s="41">
        <v>-9.7261409875147392E-2</v>
      </c>
      <c r="I186" s="40">
        <v>229.85691573926869</v>
      </c>
      <c r="J186" s="41">
        <v>0.13290850902925699</v>
      </c>
      <c r="K186" s="9" t="s">
        <v>495</v>
      </c>
      <c r="L186" s="89"/>
    </row>
    <row r="187" spans="1:12" x14ac:dyDescent="0.2">
      <c r="A187" s="9" t="s">
        <v>60</v>
      </c>
      <c r="B187" s="9" t="s">
        <v>283</v>
      </c>
      <c r="C187" s="9"/>
      <c r="D187" s="9" t="s">
        <v>78</v>
      </c>
      <c r="E187" s="38">
        <v>1160</v>
      </c>
      <c r="F187" s="39">
        <v>368697.45</v>
      </c>
      <c r="G187" s="40">
        <v>317.84262931034482</v>
      </c>
      <c r="H187" s="41"/>
      <c r="I187" s="40">
        <v>92.4</v>
      </c>
      <c r="J187" s="41">
        <v>0.29070990320112061</v>
      </c>
      <c r="K187" s="9" t="s">
        <v>496</v>
      </c>
      <c r="L187" s="89"/>
    </row>
    <row r="188" spans="1:12" x14ac:dyDescent="0.2">
      <c r="A188" s="9" t="s">
        <v>60</v>
      </c>
      <c r="B188" s="9" t="s">
        <v>497</v>
      </c>
      <c r="C188" s="9"/>
      <c r="D188" s="9" t="s">
        <v>76</v>
      </c>
      <c r="E188" s="38">
        <v>4635</v>
      </c>
      <c r="F188" s="39">
        <v>910660.07</v>
      </c>
      <c r="G188" s="40">
        <v>196.47466450916929</v>
      </c>
      <c r="H188" s="41">
        <v>0.1042337271260176</v>
      </c>
      <c r="I188" s="40">
        <v>24.163106796116509</v>
      </c>
      <c r="J188" s="41">
        <v>0.12298332131768989</v>
      </c>
      <c r="K188" s="9" t="s">
        <v>498</v>
      </c>
      <c r="L188" s="89"/>
    </row>
    <row r="189" spans="1:12" x14ac:dyDescent="0.2">
      <c r="A189" s="9" t="s">
        <v>60</v>
      </c>
      <c r="B189" s="9" t="s">
        <v>285</v>
      </c>
      <c r="C189" s="9"/>
      <c r="D189" s="9" t="s">
        <v>76</v>
      </c>
      <c r="E189" s="38">
        <v>1463</v>
      </c>
      <c r="F189" s="39">
        <v>4980266.09</v>
      </c>
      <c r="G189" s="40">
        <v>3404.1463362952841</v>
      </c>
      <c r="H189" s="41">
        <v>0.2206818305801001</v>
      </c>
      <c r="I189" s="40">
        <v>186.91455912508539</v>
      </c>
      <c r="J189" s="41">
        <v>5.4907909549065881E-2</v>
      </c>
      <c r="K189" s="9" t="s">
        <v>499</v>
      </c>
      <c r="L189" s="89"/>
    </row>
    <row r="190" spans="1:12" x14ac:dyDescent="0.2">
      <c r="A190" s="9" t="s">
        <v>60</v>
      </c>
      <c r="B190" s="9" t="s">
        <v>287</v>
      </c>
      <c r="C190" s="9"/>
      <c r="D190" s="9" t="s">
        <v>79</v>
      </c>
      <c r="E190" s="38">
        <v>707</v>
      </c>
      <c r="F190" s="39">
        <v>1040680.92</v>
      </c>
      <c r="G190" s="40">
        <v>1471.967355021216</v>
      </c>
      <c r="H190" s="41">
        <v>-6.5391284183942577E-2</v>
      </c>
      <c r="I190" s="40">
        <v>184.73550212164071</v>
      </c>
      <c r="J190" s="41">
        <v>0.12550244507221289</v>
      </c>
      <c r="K190" s="9" t="s">
        <v>500</v>
      </c>
      <c r="L190" s="89"/>
    </row>
    <row r="191" spans="1:12" x14ac:dyDescent="0.2">
      <c r="A191" s="9" t="s">
        <v>60</v>
      </c>
      <c r="B191" s="9" t="s">
        <v>289</v>
      </c>
      <c r="C191" s="9"/>
      <c r="D191" s="9" t="s">
        <v>79</v>
      </c>
      <c r="E191" s="38">
        <v>1200</v>
      </c>
      <c r="F191" s="39">
        <v>816059.01</v>
      </c>
      <c r="G191" s="40">
        <v>680.04917499999999</v>
      </c>
      <c r="H191" s="41">
        <v>0.1395512933942277</v>
      </c>
      <c r="I191" s="40">
        <v>201.4</v>
      </c>
      <c r="J191" s="41">
        <v>0.29615505378710288</v>
      </c>
      <c r="K191" s="9" t="s">
        <v>501</v>
      </c>
      <c r="L191" s="89"/>
    </row>
    <row r="192" spans="1:12" x14ac:dyDescent="0.2">
      <c r="A192" s="9" t="s">
        <v>60</v>
      </c>
      <c r="B192" s="9" t="s">
        <v>502</v>
      </c>
      <c r="C192" s="9"/>
      <c r="D192" s="9" t="s">
        <v>86</v>
      </c>
      <c r="E192" s="38">
        <v>198500</v>
      </c>
      <c r="F192" s="39">
        <v>33435157</v>
      </c>
      <c r="G192" s="40">
        <v>168.43907808564231</v>
      </c>
      <c r="H192" s="41">
        <v>1.1948964826531809E-2</v>
      </c>
      <c r="I192" s="40">
        <v>0.14998488664987411</v>
      </c>
      <c r="J192" s="41">
        <v>8.9043996413715057E-4</v>
      </c>
      <c r="K192" s="9" t="s">
        <v>503</v>
      </c>
      <c r="L192" s="89"/>
    </row>
    <row r="193" spans="1:12" x14ac:dyDescent="0.2">
      <c r="A193" s="9" t="s">
        <v>60</v>
      </c>
      <c r="B193" s="9" t="s">
        <v>504</v>
      </c>
      <c r="C193" s="9"/>
      <c r="D193" s="9" t="s">
        <v>81</v>
      </c>
      <c r="E193" s="38">
        <v>10765</v>
      </c>
      <c r="F193" s="39">
        <v>5698894.3399999999</v>
      </c>
      <c r="G193" s="40">
        <v>529.39102090106826</v>
      </c>
      <c r="H193" s="41">
        <v>0.27278434464286028</v>
      </c>
      <c r="I193" s="40">
        <v>26.264003715745471</v>
      </c>
      <c r="J193" s="41">
        <v>4.961172871999589E-2</v>
      </c>
      <c r="K193" s="9" t="s">
        <v>505</v>
      </c>
      <c r="L193" s="89"/>
    </row>
    <row r="194" spans="1:12" x14ac:dyDescent="0.2">
      <c r="A194" s="9" t="s">
        <v>60</v>
      </c>
      <c r="B194" s="9" t="s">
        <v>506</v>
      </c>
      <c r="C194" s="9"/>
      <c r="D194" s="9" t="s">
        <v>85</v>
      </c>
      <c r="E194" s="38">
        <v>3500</v>
      </c>
      <c r="F194" s="39">
        <v>716323</v>
      </c>
      <c r="G194" s="40">
        <v>204.66371428571429</v>
      </c>
      <c r="H194" s="41">
        <v>0.48726457052590699</v>
      </c>
      <c r="I194" s="40">
        <v>45.390857142857143</v>
      </c>
      <c r="J194" s="41">
        <v>0.2217826315782126</v>
      </c>
      <c r="K194" s="9" t="s">
        <v>507</v>
      </c>
      <c r="L194" s="89"/>
    </row>
    <row r="195" spans="1:12" x14ac:dyDescent="0.2">
      <c r="A195" s="9" t="s">
        <v>60</v>
      </c>
      <c r="B195" s="9" t="s">
        <v>508</v>
      </c>
      <c r="C195" s="9"/>
      <c r="D195" s="9" t="s">
        <v>76</v>
      </c>
      <c r="E195" s="38">
        <v>2200</v>
      </c>
      <c r="F195" s="39">
        <v>861320.87</v>
      </c>
      <c r="G195" s="40">
        <v>391.50948636363643</v>
      </c>
      <c r="H195" s="41">
        <v>0.12769449902659499</v>
      </c>
      <c r="I195" s="40">
        <v>31.32</v>
      </c>
      <c r="J195" s="41">
        <v>7.9998061581858571E-2</v>
      </c>
      <c r="K195" s="9" t="s">
        <v>509</v>
      </c>
      <c r="L195" s="89"/>
    </row>
    <row r="196" spans="1:12" x14ac:dyDescent="0.2">
      <c r="A196" s="9" t="s">
        <v>60</v>
      </c>
      <c r="B196" s="9" t="s">
        <v>510</v>
      </c>
      <c r="C196" s="9"/>
      <c r="D196" s="9" t="s">
        <v>81</v>
      </c>
      <c r="E196" s="38">
        <v>7202</v>
      </c>
      <c r="F196" s="39">
        <v>0</v>
      </c>
      <c r="G196" s="40"/>
      <c r="H196" s="41"/>
      <c r="I196" s="40">
        <v>45.130797000833113</v>
      </c>
      <c r="J196" s="41"/>
      <c r="K196" s="9" t="s">
        <v>511</v>
      </c>
      <c r="L196" s="89"/>
    </row>
    <row r="197" spans="1:12" x14ac:dyDescent="0.2">
      <c r="A197" s="9" t="s">
        <v>60</v>
      </c>
      <c r="B197" s="9" t="s">
        <v>307</v>
      </c>
      <c r="C197" s="9"/>
      <c r="D197" s="9" t="s">
        <v>81</v>
      </c>
      <c r="E197" s="38">
        <v>2500</v>
      </c>
      <c r="F197" s="39">
        <v>1672970.17</v>
      </c>
      <c r="G197" s="40">
        <v>669.18806799999993</v>
      </c>
      <c r="H197" s="41">
        <v>0.12644191447471051</v>
      </c>
      <c r="I197" s="40">
        <v>116.5536</v>
      </c>
      <c r="J197" s="41">
        <v>0.17417166499746969</v>
      </c>
      <c r="K197" s="9" t="s">
        <v>512</v>
      </c>
      <c r="L197" s="89"/>
    </row>
    <row r="198" spans="1:12" x14ac:dyDescent="0.2">
      <c r="A198" s="9" t="s">
        <v>60</v>
      </c>
      <c r="B198" s="9" t="s">
        <v>317</v>
      </c>
      <c r="C198" s="9"/>
      <c r="D198" s="9" t="s">
        <v>76</v>
      </c>
      <c r="E198" s="38">
        <v>4259</v>
      </c>
      <c r="F198" s="39">
        <v>0</v>
      </c>
      <c r="G198" s="40"/>
      <c r="H198" s="41"/>
      <c r="I198" s="40">
        <v>41.091335994364883</v>
      </c>
      <c r="J198" s="41"/>
      <c r="K198" s="9" t="s">
        <v>513</v>
      </c>
      <c r="L198" s="89"/>
    </row>
    <row r="199" spans="1:12" x14ac:dyDescent="0.2">
      <c r="A199" s="9" t="s">
        <v>60</v>
      </c>
      <c r="B199" s="9" t="s">
        <v>321</v>
      </c>
      <c r="C199" s="9"/>
      <c r="D199" s="9" t="s">
        <v>78</v>
      </c>
      <c r="E199" s="38">
        <v>827</v>
      </c>
      <c r="F199" s="39">
        <v>2107415</v>
      </c>
      <c r="G199" s="40">
        <v>2548.264812575575</v>
      </c>
      <c r="H199" s="41"/>
      <c r="I199" s="40">
        <v>309.03990326481261</v>
      </c>
      <c r="J199" s="41">
        <v>0.12127464215638591</v>
      </c>
      <c r="K199" s="9" t="s">
        <v>514</v>
      </c>
      <c r="L199" s="89"/>
    </row>
    <row r="200" spans="1:12" x14ac:dyDescent="0.2">
      <c r="A200" s="9" t="s">
        <v>60</v>
      </c>
      <c r="B200" s="9" t="s">
        <v>515</v>
      </c>
      <c r="C200" s="9"/>
      <c r="D200" s="9" t="s">
        <v>76</v>
      </c>
      <c r="E200" s="38">
        <v>4000</v>
      </c>
      <c r="F200" s="39">
        <v>349180.9</v>
      </c>
      <c r="G200" s="40">
        <v>87.295225000000002</v>
      </c>
      <c r="H200" s="41"/>
      <c r="I200" s="40">
        <v>24.998999999999999</v>
      </c>
      <c r="J200" s="41">
        <v>0.28637305190518719</v>
      </c>
      <c r="K200" s="9" t="s">
        <v>516</v>
      </c>
      <c r="L200" s="89"/>
    </row>
    <row r="201" spans="1:12" x14ac:dyDescent="0.2">
      <c r="A201" s="9" t="s">
        <v>60</v>
      </c>
      <c r="B201" s="9" t="s">
        <v>331</v>
      </c>
      <c r="C201" s="9"/>
      <c r="D201" s="9" t="s">
        <v>81</v>
      </c>
      <c r="E201" s="38">
        <v>817</v>
      </c>
      <c r="F201" s="39">
        <v>1151907</v>
      </c>
      <c r="G201" s="40">
        <v>1409.922888616891</v>
      </c>
      <c r="H201" s="41">
        <v>0.1317606822345759</v>
      </c>
      <c r="I201" s="40">
        <v>160.86168910648709</v>
      </c>
      <c r="J201" s="41">
        <v>0.11409254392932761</v>
      </c>
      <c r="K201" s="9" t="s">
        <v>517</v>
      </c>
      <c r="L201" s="89"/>
    </row>
    <row r="202" spans="1:12" x14ac:dyDescent="0.2">
      <c r="A202" s="9" t="s">
        <v>60</v>
      </c>
      <c r="B202" s="9" t="s">
        <v>518</v>
      </c>
      <c r="C202" s="9"/>
      <c r="D202" s="9" t="s">
        <v>80</v>
      </c>
      <c r="E202" s="38">
        <v>2351</v>
      </c>
      <c r="F202" s="39">
        <v>1116634.22</v>
      </c>
      <c r="G202" s="40">
        <v>474.96138664398131</v>
      </c>
      <c r="H202" s="41">
        <v>0.17863039017005991</v>
      </c>
      <c r="I202" s="40">
        <v>93.641854529987242</v>
      </c>
      <c r="J202" s="41">
        <v>0.197156773504577</v>
      </c>
      <c r="K202" s="9" t="s">
        <v>519</v>
      </c>
      <c r="L202" s="89"/>
    </row>
    <row r="203" spans="1:12" x14ac:dyDescent="0.2">
      <c r="A203" s="9" t="s">
        <v>60</v>
      </c>
      <c r="B203" s="9" t="s">
        <v>520</v>
      </c>
      <c r="C203" s="9"/>
      <c r="D203" s="9" t="s">
        <v>77</v>
      </c>
      <c r="E203" s="38">
        <v>7091</v>
      </c>
      <c r="F203" s="39">
        <v>1027311.01</v>
      </c>
      <c r="G203" s="40">
        <v>144.8753363418418</v>
      </c>
      <c r="H203" s="41">
        <v>4.5874300041072687E-2</v>
      </c>
      <c r="I203" s="40">
        <v>14.48596812861374</v>
      </c>
      <c r="J203" s="41">
        <v>9.9989194119510114E-2</v>
      </c>
      <c r="K203" s="9" t="s">
        <v>521</v>
      </c>
      <c r="L203" s="89"/>
    </row>
    <row r="204" spans="1:12" x14ac:dyDescent="0.2">
      <c r="A204" s="9" t="s">
        <v>60</v>
      </c>
      <c r="B204" s="9" t="s">
        <v>522</v>
      </c>
      <c r="C204" s="9"/>
      <c r="D204" s="9" t="s">
        <v>85</v>
      </c>
      <c r="E204" s="38">
        <v>14621</v>
      </c>
      <c r="F204" s="39">
        <v>312100</v>
      </c>
      <c r="G204" s="40">
        <v>21.346009164899801</v>
      </c>
      <c r="H204" s="41">
        <v>2.2608125819134989E-2</v>
      </c>
      <c r="I204" s="40">
        <v>24.000820737295669</v>
      </c>
      <c r="J204" s="41">
        <v>1.124370394104454E-2</v>
      </c>
      <c r="K204" s="9" t="s">
        <v>523</v>
      </c>
      <c r="L204" s="89"/>
    </row>
    <row r="205" spans="1:12" x14ac:dyDescent="0.2">
      <c r="A205" s="9" t="s">
        <v>60</v>
      </c>
      <c r="B205" s="9" t="s">
        <v>524</v>
      </c>
      <c r="C205" s="9"/>
      <c r="D205" s="9" t="s">
        <v>81</v>
      </c>
      <c r="E205" s="38">
        <v>8470</v>
      </c>
      <c r="F205" s="39">
        <v>1973314.55</v>
      </c>
      <c r="G205" s="40">
        <v>232.97692443919721</v>
      </c>
      <c r="H205" s="41">
        <v>0.31182832838202812</v>
      </c>
      <c r="I205" s="40">
        <v>40.362219598583238</v>
      </c>
      <c r="J205" s="41">
        <v>0.1732455679709046</v>
      </c>
      <c r="K205" s="9" t="s">
        <v>525</v>
      </c>
      <c r="L205" s="89"/>
    </row>
    <row r="206" spans="1:12" x14ac:dyDescent="0.2">
      <c r="A206" s="9" t="s">
        <v>60</v>
      </c>
      <c r="B206" s="9" t="s">
        <v>339</v>
      </c>
      <c r="C206" s="9"/>
      <c r="D206" s="9" t="s">
        <v>80</v>
      </c>
      <c r="E206" s="38">
        <v>2845</v>
      </c>
      <c r="F206" s="39">
        <v>1291080</v>
      </c>
      <c r="G206" s="40">
        <v>453.80667838312831</v>
      </c>
      <c r="H206" s="41">
        <v>0.21061483881584669</v>
      </c>
      <c r="I206" s="40">
        <v>64.939191564147634</v>
      </c>
      <c r="J206" s="41">
        <v>0.14309880100381081</v>
      </c>
      <c r="K206" s="9" t="s">
        <v>526</v>
      </c>
      <c r="L206" s="89"/>
    </row>
    <row r="207" spans="1:12" x14ac:dyDescent="0.2">
      <c r="A207" s="9" t="s">
        <v>60</v>
      </c>
      <c r="B207" s="9" t="s">
        <v>527</v>
      </c>
      <c r="C207" s="9"/>
      <c r="D207" s="9" t="s">
        <v>86</v>
      </c>
      <c r="E207" s="38">
        <v>139033</v>
      </c>
      <c r="F207" s="39">
        <v>0</v>
      </c>
      <c r="G207" s="40"/>
      <c r="H207" s="41"/>
      <c r="I207" s="40">
        <v>2.351700675379226</v>
      </c>
      <c r="J207" s="41"/>
      <c r="K207" s="9" t="s">
        <v>528</v>
      </c>
      <c r="L207" s="89"/>
    </row>
    <row r="208" spans="1:12" x14ac:dyDescent="0.2">
      <c r="A208" s="9" t="s">
        <v>60</v>
      </c>
      <c r="B208" s="9" t="s">
        <v>343</v>
      </c>
      <c r="C208" s="9"/>
      <c r="D208" s="9" t="s">
        <v>79</v>
      </c>
      <c r="E208" s="38">
        <v>5533</v>
      </c>
      <c r="F208" s="39">
        <v>5330813.8</v>
      </c>
      <c r="G208" s="40">
        <v>963.4581239833725</v>
      </c>
      <c r="H208" s="41">
        <v>0.1700806001859283</v>
      </c>
      <c r="I208" s="40">
        <v>113.98807157057649</v>
      </c>
      <c r="J208" s="41">
        <v>0.11831139178036949</v>
      </c>
      <c r="K208" s="9" t="s">
        <v>529</v>
      </c>
      <c r="L208" s="89"/>
    </row>
    <row r="209" spans="1:12" x14ac:dyDescent="0.2">
      <c r="A209" s="9" t="s">
        <v>60</v>
      </c>
      <c r="B209" s="9" t="s">
        <v>530</v>
      </c>
      <c r="C209" s="9"/>
      <c r="D209" s="9" t="s">
        <v>77</v>
      </c>
      <c r="E209" s="38">
        <v>3700</v>
      </c>
      <c r="F209" s="39">
        <v>494039.61</v>
      </c>
      <c r="G209" s="40">
        <v>133.5242189189189</v>
      </c>
      <c r="H209" s="41">
        <v>-0.179708895802179</v>
      </c>
      <c r="I209" s="40">
        <v>53.052972972972967</v>
      </c>
      <c r="J209" s="41">
        <v>0.39732846522164489</v>
      </c>
      <c r="K209" s="9" t="s">
        <v>531</v>
      </c>
      <c r="L209" s="89"/>
    </row>
    <row r="210" spans="1:12" x14ac:dyDescent="0.2">
      <c r="A210" s="9" t="s">
        <v>60</v>
      </c>
      <c r="B210" s="9" t="s">
        <v>351</v>
      </c>
      <c r="C210" s="9"/>
      <c r="D210" s="9" t="s">
        <v>85</v>
      </c>
      <c r="E210" s="38">
        <v>3200</v>
      </c>
      <c r="F210" s="39">
        <v>2683630.7400000002</v>
      </c>
      <c r="G210" s="40">
        <v>838.63460625000005</v>
      </c>
      <c r="H210" s="41">
        <v>-0.23565396597339619</v>
      </c>
      <c r="I210" s="40">
        <v>105.69374999999999</v>
      </c>
      <c r="J210" s="41">
        <v>0.1260307519059049</v>
      </c>
      <c r="K210" s="9" t="s">
        <v>532</v>
      </c>
      <c r="L210" s="89"/>
    </row>
    <row r="211" spans="1:12" x14ac:dyDescent="0.2">
      <c r="A211" s="9" t="s">
        <v>60</v>
      </c>
      <c r="B211" s="9" t="s">
        <v>533</v>
      </c>
      <c r="C211" s="9"/>
      <c r="D211" s="9" t="s">
        <v>76</v>
      </c>
      <c r="E211" s="38">
        <v>4360</v>
      </c>
      <c r="F211" s="39">
        <v>1077992</v>
      </c>
      <c r="G211" s="40">
        <v>247.245871559633</v>
      </c>
      <c r="H211" s="41">
        <v>0.27888592349616098</v>
      </c>
      <c r="I211" s="40">
        <v>81.514678899082568</v>
      </c>
      <c r="J211" s="41">
        <v>0.32969075837297501</v>
      </c>
      <c r="K211" s="9" t="s">
        <v>534</v>
      </c>
      <c r="L211" s="89"/>
    </row>
    <row r="212" spans="1:12" x14ac:dyDescent="0.2">
      <c r="A212" s="9" t="s">
        <v>60</v>
      </c>
      <c r="B212" s="9" t="s">
        <v>535</v>
      </c>
      <c r="C212" s="9"/>
      <c r="D212" s="9" t="s">
        <v>83</v>
      </c>
      <c r="E212" s="38">
        <v>5999</v>
      </c>
      <c r="F212" s="39">
        <v>411300</v>
      </c>
      <c r="G212" s="40">
        <v>68.56142690448408</v>
      </c>
      <c r="H212" s="41"/>
      <c r="I212" s="40">
        <v>26.010335055842638</v>
      </c>
      <c r="J212" s="41">
        <v>0.37937272064186722</v>
      </c>
      <c r="K212" s="9" t="s">
        <v>536</v>
      </c>
      <c r="L212" s="89"/>
    </row>
    <row r="213" spans="1:12" x14ac:dyDescent="0.2">
      <c r="A213" s="9" t="s">
        <v>60</v>
      </c>
      <c r="B213" s="9" t="s">
        <v>355</v>
      </c>
      <c r="C213" s="9"/>
      <c r="D213" s="9" t="s">
        <v>82</v>
      </c>
      <c r="E213" s="38">
        <v>2614</v>
      </c>
      <c r="F213" s="39">
        <v>1426699.4</v>
      </c>
      <c r="G213" s="40">
        <v>545.79166029074213</v>
      </c>
      <c r="H213" s="41">
        <v>-1.9711951838629449E-2</v>
      </c>
      <c r="I213" s="40">
        <v>79.666411629686309</v>
      </c>
      <c r="J213" s="41">
        <v>0.14596487529187999</v>
      </c>
      <c r="K213" s="9" t="s">
        <v>537</v>
      </c>
      <c r="L213" s="89"/>
    </row>
    <row r="214" spans="1:12" x14ac:dyDescent="0.2">
      <c r="A214" s="9" t="s">
        <v>60</v>
      </c>
      <c r="B214" s="9" t="s">
        <v>538</v>
      </c>
      <c r="C214" s="9"/>
      <c r="D214" s="9" t="s">
        <v>80</v>
      </c>
      <c r="E214" s="38">
        <v>580</v>
      </c>
      <c r="F214" s="39">
        <v>1137500.46</v>
      </c>
      <c r="G214" s="40">
        <v>1961.2076896551721</v>
      </c>
      <c r="H214" s="41">
        <v>0.17894402620738961</v>
      </c>
      <c r="I214" s="40">
        <v>246.7448275862069</v>
      </c>
      <c r="J214" s="41">
        <v>0.1258126963746459</v>
      </c>
      <c r="K214" s="9" t="s">
        <v>539</v>
      </c>
      <c r="L214" s="89"/>
    </row>
    <row r="215" spans="1:12" x14ac:dyDescent="0.2">
      <c r="A215" s="9" t="s">
        <v>60</v>
      </c>
      <c r="B215" s="9" t="s">
        <v>540</v>
      </c>
      <c r="C215" s="9"/>
      <c r="D215" s="9" t="s">
        <v>81</v>
      </c>
      <c r="E215" s="38">
        <v>7800</v>
      </c>
      <c r="F215" s="39">
        <v>5435861</v>
      </c>
      <c r="G215" s="40">
        <v>696.90525641025636</v>
      </c>
      <c r="H215" s="41">
        <v>9.9278756184016423E-2</v>
      </c>
      <c r="I215" s="40">
        <v>69.475384615384613</v>
      </c>
      <c r="J215" s="41">
        <v>9.969129085530333E-2</v>
      </c>
      <c r="K215" s="9" t="s">
        <v>541</v>
      </c>
      <c r="L215" s="89"/>
    </row>
    <row r="216" spans="1:12" x14ac:dyDescent="0.2">
      <c r="A216" s="9" t="s">
        <v>60</v>
      </c>
      <c r="B216" s="9" t="s">
        <v>357</v>
      </c>
      <c r="C216" s="9"/>
      <c r="D216" s="9" t="s">
        <v>76</v>
      </c>
      <c r="E216" s="38">
        <v>794</v>
      </c>
      <c r="F216" s="39">
        <v>604474.92000000004</v>
      </c>
      <c r="G216" s="40">
        <v>761.30342569269521</v>
      </c>
      <c r="H216" s="41"/>
      <c r="I216" s="40">
        <v>150.4987405541562</v>
      </c>
      <c r="J216" s="41">
        <v>0.1976856211007067</v>
      </c>
      <c r="K216" s="9" t="s">
        <v>542</v>
      </c>
      <c r="L216" s="89"/>
    </row>
    <row r="217" spans="1:12" x14ac:dyDescent="0.2">
      <c r="A217" s="9" t="s">
        <v>60</v>
      </c>
      <c r="B217" s="9" t="s">
        <v>357</v>
      </c>
      <c r="C217" s="9"/>
      <c r="D217" s="9" t="s">
        <v>76</v>
      </c>
      <c r="E217" s="38">
        <v>925</v>
      </c>
      <c r="F217" s="39">
        <v>442632.06</v>
      </c>
      <c r="G217" s="40">
        <v>478.52114594594588</v>
      </c>
      <c r="H217" s="41">
        <v>0.15922817522666041</v>
      </c>
      <c r="I217" s="40">
        <v>121.0508108108108</v>
      </c>
      <c r="J217" s="41">
        <v>0.25296857168457249</v>
      </c>
      <c r="K217" s="9" t="s">
        <v>542</v>
      </c>
      <c r="L217" s="89"/>
    </row>
    <row r="218" spans="1:12" x14ac:dyDescent="0.2">
      <c r="A218" s="9" t="s">
        <v>60</v>
      </c>
      <c r="B218" s="9" t="s">
        <v>543</v>
      </c>
      <c r="C218" s="9"/>
      <c r="D218" s="9" t="s">
        <v>76</v>
      </c>
      <c r="E218" s="38">
        <v>120</v>
      </c>
      <c r="F218" s="39">
        <v>95169.5</v>
      </c>
      <c r="G218" s="40">
        <v>793.07916666666665</v>
      </c>
      <c r="H218" s="41">
        <v>1.138925555148085E-2</v>
      </c>
      <c r="I218" s="40">
        <v>347.8</v>
      </c>
      <c r="J218" s="41">
        <v>0.43854386121604078</v>
      </c>
      <c r="K218" s="9" t="s">
        <v>544</v>
      </c>
      <c r="L218" s="89"/>
    </row>
    <row r="219" spans="1:12" x14ac:dyDescent="0.2">
      <c r="A219" s="9" t="s">
        <v>60</v>
      </c>
      <c r="B219" s="9" t="s">
        <v>545</v>
      </c>
      <c r="C219" s="9"/>
      <c r="D219" s="9" t="s">
        <v>76</v>
      </c>
      <c r="E219" s="38">
        <v>6615</v>
      </c>
      <c r="F219" s="39">
        <v>1948640.61</v>
      </c>
      <c r="G219" s="40">
        <v>294.57907936507939</v>
      </c>
      <c r="H219" s="41"/>
      <c r="I219" s="40">
        <v>45.739682539682541</v>
      </c>
      <c r="J219" s="41">
        <v>0.15527132014353329</v>
      </c>
      <c r="K219" s="9" t="s">
        <v>546</v>
      </c>
      <c r="L219" s="89"/>
    </row>
    <row r="220" spans="1:12" x14ac:dyDescent="0.2">
      <c r="A220" s="9" t="s">
        <v>60</v>
      </c>
      <c r="B220" s="9" t="s">
        <v>547</v>
      </c>
      <c r="C220" s="9"/>
      <c r="D220" s="9" t="s">
        <v>79</v>
      </c>
      <c r="E220" s="38">
        <v>1004</v>
      </c>
      <c r="F220" s="39">
        <v>392985</v>
      </c>
      <c r="G220" s="40">
        <v>391.41932270916328</v>
      </c>
      <c r="H220" s="41">
        <v>-6.6750150994699442E-2</v>
      </c>
      <c r="I220" s="40">
        <v>177.87250996015939</v>
      </c>
      <c r="J220" s="41">
        <v>0.45442955838009091</v>
      </c>
      <c r="K220" s="9" t="s">
        <v>548</v>
      </c>
      <c r="L220" s="89"/>
    </row>
    <row r="221" spans="1:12" x14ac:dyDescent="0.2">
      <c r="A221" s="9" t="s">
        <v>60</v>
      </c>
      <c r="B221" s="9" t="s">
        <v>365</v>
      </c>
      <c r="C221" s="9"/>
      <c r="D221" s="9" t="s">
        <v>81</v>
      </c>
      <c r="E221" s="38">
        <v>8347</v>
      </c>
      <c r="F221" s="39">
        <v>12088446.890000001</v>
      </c>
      <c r="G221" s="40">
        <v>1448.2385156343601</v>
      </c>
      <c r="H221" s="41">
        <v>4.9238229132378269E-2</v>
      </c>
      <c r="I221" s="40">
        <v>87.397148676171085</v>
      </c>
      <c r="J221" s="41">
        <v>6.0347206439188811E-2</v>
      </c>
      <c r="K221" s="9" t="s">
        <v>549</v>
      </c>
      <c r="L221" s="89"/>
    </row>
    <row r="222" spans="1:12" x14ac:dyDescent="0.2">
      <c r="A222" s="9" t="s">
        <v>60</v>
      </c>
      <c r="B222" s="9" t="s">
        <v>550</v>
      </c>
      <c r="C222" s="9"/>
      <c r="D222" s="9" t="s">
        <v>76</v>
      </c>
      <c r="E222" s="38">
        <v>4042</v>
      </c>
      <c r="F222" s="39">
        <v>1054705.4099999999</v>
      </c>
      <c r="G222" s="40">
        <v>260.93651904997517</v>
      </c>
      <c r="H222" s="41"/>
      <c r="I222" s="40">
        <v>37.775358733300337</v>
      </c>
      <c r="J222" s="41">
        <v>0.14476838608422421</v>
      </c>
      <c r="K222" s="9" t="s">
        <v>551</v>
      </c>
      <c r="L222" s="89"/>
    </row>
    <row r="223" spans="1:12" x14ac:dyDescent="0.2">
      <c r="A223" s="9" t="s">
        <v>60</v>
      </c>
      <c r="B223" s="9" t="s">
        <v>552</v>
      </c>
      <c r="C223" s="9"/>
      <c r="D223" s="9" t="s">
        <v>85</v>
      </c>
      <c r="E223" s="38">
        <v>20005</v>
      </c>
      <c r="F223" s="39">
        <v>10526896</v>
      </c>
      <c r="G223" s="40">
        <v>526.2132466883279</v>
      </c>
      <c r="H223" s="41">
        <v>0.74357014262920806</v>
      </c>
      <c r="I223" s="40">
        <v>28.053786553361661</v>
      </c>
      <c r="J223" s="41">
        <v>5.3312581410512649E-2</v>
      </c>
      <c r="K223" s="9" t="s">
        <v>553</v>
      </c>
      <c r="L223" s="89"/>
    </row>
    <row r="224" spans="1:12" x14ac:dyDescent="0.2">
      <c r="A224" s="9" t="s">
        <v>60</v>
      </c>
      <c r="B224" s="9" t="s">
        <v>554</v>
      </c>
      <c r="C224" s="9"/>
      <c r="D224" s="9" t="s">
        <v>76</v>
      </c>
      <c r="E224" s="38">
        <v>4868</v>
      </c>
      <c r="F224" s="39">
        <v>1422216.57</v>
      </c>
      <c r="G224" s="40">
        <v>292.15623870172561</v>
      </c>
      <c r="H224" s="41">
        <v>9.5794247990895739E-2</v>
      </c>
      <c r="I224" s="40">
        <v>68.198849630238286</v>
      </c>
      <c r="J224" s="41">
        <v>0.23343280271302139</v>
      </c>
      <c r="K224" s="9" t="s">
        <v>555</v>
      </c>
      <c r="L224" s="89"/>
    </row>
    <row r="225" spans="1:12" x14ac:dyDescent="0.2">
      <c r="A225" s="9" t="s">
        <v>60</v>
      </c>
      <c r="B225" s="9" t="s">
        <v>556</v>
      </c>
      <c r="C225" s="9"/>
      <c r="D225" s="9" t="s">
        <v>81</v>
      </c>
      <c r="E225" s="38">
        <v>3119</v>
      </c>
      <c r="F225" s="39">
        <v>0</v>
      </c>
      <c r="G225" s="40"/>
      <c r="H225" s="41"/>
      <c r="I225" s="40">
        <v>61.208079512664312</v>
      </c>
      <c r="J225" s="41"/>
      <c r="K225" s="9" t="s">
        <v>557</v>
      </c>
      <c r="L225" s="89"/>
    </row>
    <row r="226" spans="1:12" x14ac:dyDescent="0.2">
      <c r="A226" s="9" t="s">
        <v>60</v>
      </c>
      <c r="B226" s="9" t="s">
        <v>367</v>
      </c>
      <c r="C226" s="9"/>
      <c r="D226" s="9" t="s">
        <v>76</v>
      </c>
      <c r="E226" s="38">
        <v>5406</v>
      </c>
      <c r="F226" s="39">
        <v>1308958.6299999999</v>
      </c>
      <c r="G226" s="40">
        <v>242.13071217166109</v>
      </c>
      <c r="H226" s="41">
        <v>-0.17393816273598561</v>
      </c>
      <c r="I226" s="40">
        <v>38.845726970033297</v>
      </c>
      <c r="J226" s="41">
        <v>0.16043287785191501</v>
      </c>
      <c r="K226" s="9" t="s">
        <v>558</v>
      </c>
      <c r="L226" s="89"/>
    </row>
    <row r="227" spans="1:12" x14ac:dyDescent="0.2">
      <c r="A227" s="9" t="s">
        <v>60</v>
      </c>
      <c r="B227" s="9" t="s">
        <v>369</v>
      </c>
      <c r="C227" s="9"/>
      <c r="D227" s="9" t="s">
        <v>84</v>
      </c>
      <c r="E227" s="38">
        <v>1460</v>
      </c>
      <c r="F227" s="39">
        <v>2633516.15</v>
      </c>
      <c r="G227" s="40">
        <v>1803.778184931507</v>
      </c>
      <c r="H227" s="41">
        <v>-1.5150864834576901E-2</v>
      </c>
      <c r="I227" s="40">
        <v>216.55068493150691</v>
      </c>
      <c r="J227" s="41">
        <v>0.1200539438499361</v>
      </c>
      <c r="K227" s="9" t="s">
        <v>559</v>
      </c>
      <c r="L227" s="89"/>
    </row>
    <row r="228" spans="1:12" x14ac:dyDescent="0.2">
      <c r="A228" s="9" t="s">
        <v>60</v>
      </c>
      <c r="B228" s="9" t="s">
        <v>371</v>
      </c>
      <c r="C228" s="9"/>
      <c r="D228" s="9" t="s">
        <v>76</v>
      </c>
      <c r="E228" s="38">
        <v>2419</v>
      </c>
      <c r="F228" s="39">
        <v>528596.47</v>
      </c>
      <c r="G228" s="40">
        <v>218.5185903265812</v>
      </c>
      <c r="H228" s="41">
        <v>-4.8119559299338407E-2</v>
      </c>
      <c r="I228" s="40">
        <v>30.99958660603555</v>
      </c>
      <c r="J228" s="41">
        <v>0.14186246835889771</v>
      </c>
      <c r="K228" s="9" t="s">
        <v>560</v>
      </c>
      <c r="L228" s="89"/>
    </row>
    <row r="229" spans="1:12" x14ac:dyDescent="0.2">
      <c r="A229" s="9" t="s">
        <v>60</v>
      </c>
      <c r="B229" s="9" t="s">
        <v>561</v>
      </c>
      <c r="C229" s="9"/>
      <c r="D229" s="9" t="s">
        <v>76</v>
      </c>
      <c r="E229" s="38">
        <v>1350</v>
      </c>
      <c r="F229" s="39">
        <v>963185.65</v>
      </c>
      <c r="G229" s="40">
        <v>713.47085185185188</v>
      </c>
      <c r="H229" s="41">
        <v>0.35976719185691208</v>
      </c>
      <c r="I229" s="40">
        <v>132.80000000000001</v>
      </c>
      <c r="J229" s="41">
        <v>0.18613234115354599</v>
      </c>
      <c r="K229" s="9" t="s">
        <v>562</v>
      </c>
      <c r="L229" s="89"/>
    </row>
    <row r="230" spans="1:12" x14ac:dyDescent="0.2">
      <c r="A230" s="9" t="s">
        <v>60</v>
      </c>
      <c r="B230" s="9" t="s">
        <v>563</v>
      </c>
      <c r="C230" s="9"/>
      <c r="D230" s="9" t="s">
        <v>76</v>
      </c>
      <c r="E230" s="38">
        <v>4669</v>
      </c>
      <c r="F230" s="39">
        <v>1788110.99</v>
      </c>
      <c r="G230" s="40">
        <v>382.97515313771692</v>
      </c>
      <c r="H230" s="41">
        <v>-0.13054808875106591</v>
      </c>
      <c r="I230" s="40">
        <v>46.953951595630762</v>
      </c>
      <c r="J230" s="41">
        <v>0.1226031276727403</v>
      </c>
      <c r="K230" s="9" t="s">
        <v>564</v>
      </c>
      <c r="L230" s="89"/>
    </row>
    <row r="231" spans="1:12" x14ac:dyDescent="0.2">
      <c r="A231" s="9" t="s">
        <v>60</v>
      </c>
      <c r="B231" s="9" t="s">
        <v>565</v>
      </c>
      <c r="C231" s="9"/>
      <c r="D231" s="9" t="s">
        <v>76</v>
      </c>
      <c r="E231" s="38">
        <v>9241</v>
      </c>
      <c r="F231" s="39">
        <v>2074499.78</v>
      </c>
      <c r="G231" s="40">
        <v>224.48866789308519</v>
      </c>
      <c r="H231" s="41">
        <v>0.64327943992182746</v>
      </c>
      <c r="I231" s="40">
        <v>56.32896872632832</v>
      </c>
      <c r="J231" s="41">
        <v>0.25092121243801718</v>
      </c>
      <c r="K231" s="9" t="s">
        <v>566</v>
      </c>
      <c r="L231" s="89"/>
    </row>
    <row r="232" spans="1:12" x14ac:dyDescent="0.2">
      <c r="A232" s="9" t="s">
        <v>60</v>
      </c>
      <c r="B232" s="9" t="s">
        <v>384</v>
      </c>
      <c r="C232" s="9"/>
      <c r="D232" s="9" t="s">
        <v>77</v>
      </c>
      <c r="E232" s="38">
        <v>3300</v>
      </c>
      <c r="F232" s="39">
        <v>1610253.78</v>
      </c>
      <c r="G232" s="40">
        <v>487.95569090909089</v>
      </c>
      <c r="H232" s="41">
        <v>-0.17090594308386289</v>
      </c>
      <c r="I232" s="40">
        <v>90.549090909090907</v>
      </c>
      <c r="J232" s="41">
        <v>0.18556826489797151</v>
      </c>
      <c r="K232" s="9" t="s">
        <v>567</v>
      </c>
      <c r="L232" s="89"/>
    </row>
    <row r="233" spans="1:12" x14ac:dyDescent="0.2">
      <c r="A233" s="9" t="s">
        <v>60</v>
      </c>
      <c r="B233" s="9" t="s">
        <v>568</v>
      </c>
      <c r="C233" s="9"/>
      <c r="D233" s="9" t="s">
        <v>76</v>
      </c>
      <c r="E233" s="38">
        <v>1800</v>
      </c>
      <c r="F233" s="39">
        <v>283963.61</v>
      </c>
      <c r="G233" s="40">
        <v>157.7575611111111</v>
      </c>
      <c r="H233" s="41">
        <v>-1.4343216758376021E-2</v>
      </c>
      <c r="I233" s="40">
        <v>24.153333333333329</v>
      </c>
      <c r="J233" s="41">
        <v>0.15310412485599831</v>
      </c>
      <c r="K233" s="9" t="s">
        <v>569</v>
      </c>
      <c r="L233" s="89"/>
    </row>
    <row r="234" spans="1:12" x14ac:dyDescent="0.2">
      <c r="A234" s="9" t="s">
        <v>60</v>
      </c>
      <c r="B234" s="9" t="s">
        <v>388</v>
      </c>
      <c r="C234" s="9"/>
      <c r="D234" s="9" t="s">
        <v>76</v>
      </c>
      <c r="E234" s="38">
        <v>11540</v>
      </c>
      <c r="F234" s="39">
        <v>4714781</v>
      </c>
      <c r="G234" s="40">
        <v>408.55987868284228</v>
      </c>
      <c r="H234" s="41">
        <v>-9.571725059698033E-2</v>
      </c>
      <c r="I234" s="40">
        <v>87.525129982668972</v>
      </c>
      <c r="J234" s="41">
        <v>0.21422840212514641</v>
      </c>
      <c r="K234" s="9" t="s">
        <v>570</v>
      </c>
      <c r="L234" s="89"/>
    </row>
    <row r="235" spans="1:12" x14ac:dyDescent="0.2">
      <c r="A235" s="9" t="s">
        <v>60</v>
      </c>
      <c r="B235" s="9" t="s">
        <v>571</v>
      </c>
      <c r="C235" s="9"/>
      <c r="D235" s="9" t="s">
        <v>76</v>
      </c>
      <c r="E235" s="38">
        <v>3526</v>
      </c>
      <c r="F235" s="39">
        <v>1554227.12</v>
      </c>
      <c r="G235" s="40">
        <v>440.79044809982992</v>
      </c>
      <c r="H235" s="41">
        <v>0.31740422190362938</v>
      </c>
      <c r="I235" s="40">
        <v>88.23709585933068</v>
      </c>
      <c r="J235" s="41">
        <v>0.20017923763934831</v>
      </c>
      <c r="K235" s="9" t="s">
        <v>572</v>
      </c>
      <c r="L235" s="89"/>
    </row>
    <row r="236" spans="1:12" x14ac:dyDescent="0.2">
      <c r="A236" s="9" t="s">
        <v>60</v>
      </c>
      <c r="B236" s="9" t="s">
        <v>392</v>
      </c>
      <c r="C236" s="9"/>
      <c r="D236" s="9" t="s">
        <v>76</v>
      </c>
      <c r="E236" s="38">
        <v>3706</v>
      </c>
      <c r="F236" s="39">
        <v>1332829.24</v>
      </c>
      <c r="G236" s="40">
        <v>359.64091743119258</v>
      </c>
      <c r="H236" s="41">
        <v>3.4385093897467613E-2</v>
      </c>
      <c r="I236" s="40">
        <v>62.742579600647602</v>
      </c>
      <c r="J236" s="41">
        <v>0.17445895769813691</v>
      </c>
      <c r="K236" s="9" t="s">
        <v>573</v>
      </c>
      <c r="L236" s="89"/>
    </row>
    <row r="237" spans="1:12" x14ac:dyDescent="0.2">
      <c r="A237" s="9" t="s">
        <v>60</v>
      </c>
      <c r="B237" s="9" t="s">
        <v>574</v>
      </c>
      <c r="C237" s="9"/>
      <c r="D237" s="9" t="s">
        <v>82</v>
      </c>
      <c r="E237" s="38">
        <v>1499</v>
      </c>
      <c r="F237" s="39">
        <v>731120</v>
      </c>
      <c r="G237" s="40">
        <v>487.7384923282188</v>
      </c>
      <c r="H237" s="41">
        <v>8.2224308518764055E-2</v>
      </c>
      <c r="I237" s="40">
        <v>90.812541694462979</v>
      </c>
      <c r="J237" s="41">
        <v>0.18619104934894409</v>
      </c>
      <c r="K237" s="9" t="s">
        <v>575</v>
      </c>
      <c r="L237" s="89"/>
    </row>
    <row r="238" spans="1:12" x14ac:dyDescent="0.2">
      <c r="A238" s="9" t="s">
        <v>60</v>
      </c>
      <c r="B238" s="9" t="s">
        <v>576</v>
      </c>
      <c r="C238" s="9"/>
      <c r="D238" s="9" t="s">
        <v>84</v>
      </c>
      <c r="E238" s="38">
        <v>150</v>
      </c>
      <c r="F238" s="39">
        <v>224045.13</v>
      </c>
      <c r="G238" s="40">
        <v>1493.6342</v>
      </c>
      <c r="H238" s="41">
        <v>-6.9320494162332214E-2</v>
      </c>
      <c r="I238" s="40">
        <v>295.52</v>
      </c>
      <c r="J238" s="41">
        <v>0.19785299506398549</v>
      </c>
      <c r="K238" s="9" t="s">
        <v>577</v>
      </c>
      <c r="L238" s="89"/>
    </row>
    <row r="239" spans="1:12" x14ac:dyDescent="0.2">
      <c r="A239" s="9" t="s">
        <v>60</v>
      </c>
      <c r="B239" s="9" t="s">
        <v>396</v>
      </c>
      <c r="C239" s="9"/>
      <c r="D239" s="9" t="s">
        <v>78</v>
      </c>
      <c r="E239" s="38">
        <v>2480</v>
      </c>
      <c r="F239" s="39">
        <v>1541807.79</v>
      </c>
      <c r="G239" s="40">
        <v>621.69668951612903</v>
      </c>
      <c r="H239" s="41">
        <v>-0.24141194100931221</v>
      </c>
      <c r="I239" s="40">
        <v>115.3596774193548</v>
      </c>
      <c r="J239" s="41">
        <v>0.18555620347462379</v>
      </c>
      <c r="K239" s="9" t="s">
        <v>578</v>
      </c>
      <c r="L239" s="89"/>
    </row>
    <row r="240" spans="1:12" x14ac:dyDescent="0.2">
      <c r="A240" s="9" t="s">
        <v>60</v>
      </c>
      <c r="B240" s="9" t="s">
        <v>579</v>
      </c>
      <c r="C240" s="9"/>
      <c r="D240" s="9" t="s">
        <v>76</v>
      </c>
      <c r="E240" s="38">
        <v>22255</v>
      </c>
      <c r="F240" s="39">
        <v>8958312.3699999992</v>
      </c>
      <c r="G240" s="40">
        <v>402.53032442147833</v>
      </c>
      <c r="H240" s="41">
        <v>6.2873908718637184E-2</v>
      </c>
      <c r="I240" s="40">
        <v>53.909683217254553</v>
      </c>
      <c r="J240" s="41">
        <v>0.1339270110760829</v>
      </c>
      <c r="K240" s="9" t="s">
        <v>580</v>
      </c>
      <c r="L240" s="89"/>
    </row>
    <row r="241" spans="1:12" x14ac:dyDescent="0.2">
      <c r="A241" s="9" t="s">
        <v>60</v>
      </c>
      <c r="B241" s="9" t="s">
        <v>398</v>
      </c>
      <c r="C241" s="9"/>
      <c r="D241" s="9" t="s">
        <v>76</v>
      </c>
      <c r="E241" s="38">
        <v>3812</v>
      </c>
      <c r="F241" s="39">
        <v>1032101.6</v>
      </c>
      <c r="G241" s="40">
        <v>270.75068205666321</v>
      </c>
      <c r="H241" s="41">
        <v>-0.29785025387422698</v>
      </c>
      <c r="I241" s="40">
        <v>56.266526757607558</v>
      </c>
      <c r="J241" s="41">
        <v>0.20781674982385459</v>
      </c>
      <c r="K241" s="9" t="s">
        <v>581</v>
      </c>
      <c r="L241" s="89"/>
    </row>
    <row r="242" spans="1:12" x14ac:dyDescent="0.2">
      <c r="A242" s="9" t="s">
        <v>41</v>
      </c>
      <c r="B242" s="9" t="s">
        <v>582</v>
      </c>
      <c r="C242" s="9"/>
      <c r="D242" s="9" t="s">
        <v>76</v>
      </c>
      <c r="E242" s="38">
        <v>10489</v>
      </c>
      <c r="F242" s="39">
        <v>4409645</v>
      </c>
      <c r="G242" s="40">
        <v>420.40661645533419</v>
      </c>
      <c r="H242" s="41">
        <v>0.13026030630121621</v>
      </c>
      <c r="I242" s="40">
        <v>63.874249213461717</v>
      </c>
      <c r="J242" s="41">
        <v>0.1519344527734092</v>
      </c>
      <c r="K242" s="9" t="s">
        <v>583</v>
      </c>
      <c r="L242" s="89"/>
    </row>
    <row r="243" spans="1:12" x14ac:dyDescent="0.2">
      <c r="A243" s="9" t="s">
        <v>41</v>
      </c>
      <c r="B243" s="9" t="s">
        <v>584</v>
      </c>
      <c r="C243" s="9"/>
      <c r="D243" s="9" t="s">
        <v>80</v>
      </c>
      <c r="E243" s="38">
        <v>3349</v>
      </c>
      <c r="F243" s="39">
        <v>888050</v>
      </c>
      <c r="G243" s="40">
        <v>265.16870707673928</v>
      </c>
      <c r="H243" s="41">
        <v>-1.9316524253054579E-2</v>
      </c>
      <c r="I243" s="40">
        <v>26.516870707673931</v>
      </c>
      <c r="J243" s="41">
        <v>0.1</v>
      </c>
      <c r="K243" s="9" t="s">
        <v>585</v>
      </c>
      <c r="L243" s="89"/>
    </row>
    <row r="244" spans="1:12" x14ac:dyDescent="0.2">
      <c r="A244" s="9" t="s">
        <v>41</v>
      </c>
      <c r="B244" s="9" t="s">
        <v>586</v>
      </c>
      <c r="C244" s="9"/>
      <c r="D244" s="9" t="s">
        <v>83</v>
      </c>
      <c r="E244" s="38">
        <v>4998</v>
      </c>
      <c r="F244" s="39">
        <v>2204176</v>
      </c>
      <c r="G244" s="40">
        <v>441.01160464185682</v>
      </c>
      <c r="H244" s="41">
        <v>-9.4746581549556702E-2</v>
      </c>
      <c r="I244" s="40">
        <v>62.293317326930783</v>
      </c>
      <c r="J244" s="41">
        <v>0.1412509708843577</v>
      </c>
      <c r="K244" s="9" t="s">
        <v>587</v>
      </c>
      <c r="L244" s="89"/>
    </row>
    <row r="245" spans="1:12" x14ac:dyDescent="0.2">
      <c r="A245" s="9" t="s">
        <v>41</v>
      </c>
      <c r="B245" s="9" t="s">
        <v>588</v>
      </c>
      <c r="C245" s="9"/>
      <c r="D245" s="9" t="s">
        <v>80</v>
      </c>
      <c r="E245" s="38">
        <v>4000</v>
      </c>
      <c r="F245" s="39">
        <v>2561117</v>
      </c>
      <c r="G245" s="40">
        <v>640.27925000000005</v>
      </c>
      <c r="H245" s="41">
        <v>-8.3359521761882646E-2</v>
      </c>
      <c r="I245" s="40">
        <v>66.425250000000005</v>
      </c>
      <c r="J245" s="41">
        <v>0.1037441866185731</v>
      </c>
      <c r="K245" s="9" t="s">
        <v>589</v>
      </c>
      <c r="L245" s="89"/>
    </row>
    <row r="246" spans="1:12" x14ac:dyDescent="0.2">
      <c r="A246" s="9" t="s">
        <v>41</v>
      </c>
      <c r="B246" s="9" t="s">
        <v>590</v>
      </c>
      <c r="C246" s="9"/>
      <c r="D246" s="9" t="s">
        <v>81</v>
      </c>
      <c r="E246" s="38">
        <v>9773</v>
      </c>
      <c r="F246" s="39">
        <v>7094869</v>
      </c>
      <c r="G246" s="40">
        <v>725.96633582318634</v>
      </c>
      <c r="H246" s="41">
        <v>-5.6623012952844873E-2</v>
      </c>
      <c r="I246" s="40">
        <v>44</v>
      </c>
      <c r="J246" s="41">
        <v>6.0608871002410331E-2</v>
      </c>
      <c r="K246" s="9" t="s">
        <v>591</v>
      </c>
      <c r="L246" s="89"/>
    </row>
    <row r="247" spans="1:12" x14ac:dyDescent="0.2">
      <c r="A247" s="9" t="s">
        <v>41</v>
      </c>
      <c r="B247" s="9" t="s">
        <v>592</v>
      </c>
      <c r="C247" s="9"/>
      <c r="D247" s="9" t="s">
        <v>82</v>
      </c>
      <c r="E247" s="38">
        <v>8578</v>
      </c>
      <c r="F247" s="39">
        <v>4721482</v>
      </c>
      <c r="G247" s="40">
        <v>550.41757985544416</v>
      </c>
      <c r="H247" s="41">
        <v>0.15857387935404271</v>
      </c>
      <c r="I247" s="40">
        <v>53.93331778969457</v>
      </c>
      <c r="J247" s="41">
        <v>9.7986183151815467E-2</v>
      </c>
      <c r="K247" s="9" t="s">
        <v>593</v>
      </c>
      <c r="L247" s="89"/>
    </row>
    <row r="248" spans="1:12" x14ac:dyDescent="0.2">
      <c r="A248" s="9" t="s">
        <v>41</v>
      </c>
      <c r="B248" s="9" t="s">
        <v>594</v>
      </c>
      <c r="C248" s="9"/>
      <c r="D248" s="9" t="s">
        <v>81</v>
      </c>
      <c r="E248" s="38">
        <v>8009</v>
      </c>
      <c r="F248" s="39">
        <v>3609567</v>
      </c>
      <c r="G248" s="40">
        <v>450.68885004370082</v>
      </c>
      <c r="H248" s="41"/>
      <c r="I248" s="40">
        <v>66.202647022100138</v>
      </c>
      <c r="J248" s="41">
        <v>0.14689213415348709</v>
      </c>
      <c r="K248" s="9" t="s">
        <v>595</v>
      </c>
      <c r="L248" s="89"/>
    </row>
    <row r="249" spans="1:12" x14ac:dyDescent="0.2">
      <c r="A249" s="9" t="s">
        <v>41</v>
      </c>
      <c r="B249" s="9" t="s">
        <v>260</v>
      </c>
      <c r="C249" s="9"/>
      <c r="D249" s="9" t="s">
        <v>76</v>
      </c>
      <c r="E249" s="38">
        <v>3293</v>
      </c>
      <c r="F249" s="39">
        <v>1611475</v>
      </c>
      <c r="G249" s="40">
        <v>489.36380200425151</v>
      </c>
      <c r="H249" s="41">
        <v>8.4973051977710795E-2</v>
      </c>
      <c r="I249" s="40">
        <v>24.468266018827819</v>
      </c>
      <c r="J249" s="41">
        <v>5.0000155137374137E-2</v>
      </c>
      <c r="K249" s="9" t="s">
        <v>596</v>
      </c>
      <c r="L249" s="89"/>
    </row>
    <row r="250" spans="1:12" x14ac:dyDescent="0.2">
      <c r="A250" s="9" t="s">
        <v>41</v>
      </c>
      <c r="B250" s="9" t="s">
        <v>597</v>
      </c>
      <c r="C250" s="9"/>
      <c r="D250" s="9" t="s">
        <v>78</v>
      </c>
      <c r="E250" s="38">
        <v>1360</v>
      </c>
      <c r="F250" s="39">
        <v>351944</v>
      </c>
      <c r="G250" s="40">
        <v>258.7823529411765</v>
      </c>
      <c r="H250" s="41"/>
      <c r="I250" s="40">
        <v>81.492647058823536</v>
      </c>
      <c r="J250" s="41">
        <v>0.31490805355397461</v>
      </c>
      <c r="K250" s="9" t="s">
        <v>598</v>
      </c>
      <c r="L250" s="89"/>
    </row>
    <row r="251" spans="1:12" x14ac:dyDescent="0.2">
      <c r="A251" s="9" t="s">
        <v>41</v>
      </c>
      <c r="B251" s="9" t="s">
        <v>599</v>
      </c>
      <c r="C251" s="9"/>
      <c r="D251" s="9" t="s">
        <v>86</v>
      </c>
      <c r="E251" s="38">
        <v>88535</v>
      </c>
      <c r="F251" s="39">
        <v>4733670</v>
      </c>
      <c r="G251" s="40">
        <v>53.466651606709213</v>
      </c>
      <c r="H251" s="41">
        <v>0.34868877162223327</v>
      </c>
      <c r="I251" s="40">
        <v>18.360004517987239</v>
      </c>
      <c r="J251" s="41">
        <v>0.34339170242116579</v>
      </c>
      <c r="K251" s="9" t="s">
        <v>600</v>
      </c>
      <c r="L251" s="89"/>
    </row>
    <row r="252" spans="1:12" x14ac:dyDescent="0.2">
      <c r="A252" s="9" t="s">
        <v>41</v>
      </c>
      <c r="B252" s="9" t="s">
        <v>601</v>
      </c>
      <c r="C252" s="9"/>
      <c r="D252" s="9" t="s">
        <v>81</v>
      </c>
      <c r="E252" s="38">
        <v>3921</v>
      </c>
      <c r="F252" s="39">
        <v>1688192</v>
      </c>
      <c r="G252" s="40">
        <v>430.551389951543</v>
      </c>
      <c r="H252" s="41">
        <v>-9.1104342969153429E-2</v>
      </c>
      <c r="I252" s="40">
        <v>52.237694465697523</v>
      </c>
      <c r="J252" s="41">
        <v>0.12132743195086811</v>
      </c>
      <c r="K252" s="9" t="s">
        <v>602</v>
      </c>
      <c r="L252" s="89"/>
    </row>
    <row r="253" spans="1:12" x14ac:dyDescent="0.2">
      <c r="A253" s="9" t="s">
        <v>41</v>
      </c>
      <c r="B253" s="9" t="s">
        <v>603</v>
      </c>
      <c r="C253" s="9"/>
      <c r="D253" s="9" t="s">
        <v>81</v>
      </c>
      <c r="E253" s="38">
        <v>7144</v>
      </c>
      <c r="F253" s="39">
        <v>3887710</v>
      </c>
      <c r="G253" s="40">
        <v>544.19232922732363</v>
      </c>
      <c r="H253" s="41">
        <v>6.7620416743955974E-3</v>
      </c>
      <c r="I253" s="40">
        <v>27.955907054871219</v>
      </c>
      <c r="J253" s="41">
        <v>5.1371372864745572E-2</v>
      </c>
      <c r="K253" s="9" t="s">
        <v>604</v>
      </c>
      <c r="L253" s="89"/>
    </row>
    <row r="254" spans="1:12" x14ac:dyDescent="0.2">
      <c r="A254" s="9" t="s">
        <v>41</v>
      </c>
      <c r="B254" s="9" t="s">
        <v>605</v>
      </c>
      <c r="C254" s="9"/>
      <c r="D254" s="9" t="s">
        <v>82</v>
      </c>
      <c r="E254" s="38">
        <v>2950</v>
      </c>
      <c r="F254" s="39">
        <v>523450</v>
      </c>
      <c r="G254" s="40">
        <v>177.4406779661017</v>
      </c>
      <c r="H254" s="41">
        <v>6.3328154240577347E-2</v>
      </c>
      <c r="I254" s="40">
        <v>21.292881355932199</v>
      </c>
      <c r="J254" s="41">
        <v>0.12</v>
      </c>
      <c r="K254" s="9" t="s">
        <v>606</v>
      </c>
      <c r="L254" s="89"/>
    </row>
    <row r="255" spans="1:12" x14ac:dyDescent="0.2">
      <c r="A255" s="9" t="s">
        <v>41</v>
      </c>
      <c r="B255" s="9" t="s">
        <v>607</v>
      </c>
      <c r="C255" s="9"/>
      <c r="D255" s="9" t="s">
        <v>85</v>
      </c>
      <c r="E255" s="38">
        <v>16266</v>
      </c>
      <c r="F255" s="39">
        <v>9034808</v>
      </c>
      <c r="G255" s="40">
        <v>555.44128857740077</v>
      </c>
      <c r="H255" s="41">
        <v>9.2999737217527051E-2</v>
      </c>
      <c r="I255" s="40">
        <v>53.066949465142017</v>
      </c>
      <c r="J255" s="41">
        <v>9.5540159790888743E-2</v>
      </c>
      <c r="K255" s="9" t="s">
        <v>608</v>
      </c>
      <c r="L255" s="89"/>
    </row>
    <row r="256" spans="1:12" x14ac:dyDescent="0.2">
      <c r="A256" s="9" t="s">
        <v>41</v>
      </c>
      <c r="B256" s="9" t="s">
        <v>609</v>
      </c>
      <c r="C256" s="9"/>
      <c r="D256" s="9" t="s">
        <v>82</v>
      </c>
      <c r="E256" s="38">
        <v>8165</v>
      </c>
      <c r="F256" s="39">
        <v>8464666</v>
      </c>
      <c r="G256" s="40">
        <v>1036.7012859767301</v>
      </c>
      <c r="H256" s="41">
        <v>-4.6542496373208828E-2</v>
      </c>
      <c r="I256" s="40">
        <v>49.28658909981629</v>
      </c>
      <c r="J256" s="41">
        <v>4.7541745888142542E-2</v>
      </c>
      <c r="K256" s="9" t="s">
        <v>610</v>
      </c>
      <c r="L256" s="89"/>
    </row>
    <row r="257" spans="1:12" x14ac:dyDescent="0.2">
      <c r="A257" s="9" t="s">
        <v>41</v>
      </c>
      <c r="B257" s="9" t="s">
        <v>611</v>
      </c>
      <c r="C257" s="9"/>
      <c r="D257" s="9" t="s">
        <v>78</v>
      </c>
      <c r="E257" s="38">
        <v>856</v>
      </c>
      <c r="F257" s="39">
        <v>877451</v>
      </c>
      <c r="G257" s="40">
        <v>1025.059579439252</v>
      </c>
      <c r="H257" s="41"/>
      <c r="I257" s="40">
        <v>87.16705607476635</v>
      </c>
      <c r="J257" s="41">
        <v>8.5036087485227091E-2</v>
      </c>
      <c r="K257" s="9" t="s">
        <v>612</v>
      </c>
      <c r="L257" s="89"/>
    </row>
    <row r="258" spans="1:12" x14ac:dyDescent="0.2">
      <c r="A258" s="9" t="s">
        <v>41</v>
      </c>
      <c r="B258" s="9" t="s">
        <v>613</v>
      </c>
      <c r="C258" s="9"/>
      <c r="D258" s="9" t="s">
        <v>83</v>
      </c>
      <c r="E258" s="38">
        <v>2000</v>
      </c>
      <c r="F258" s="39">
        <v>129686</v>
      </c>
      <c r="G258" s="40">
        <v>64.843000000000004</v>
      </c>
      <c r="H258" s="41">
        <v>9.4912831762809333E-2</v>
      </c>
      <c r="I258" s="40">
        <v>19.589500000000001</v>
      </c>
      <c r="J258" s="41">
        <v>0.3021066267754422</v>
      </c>
      <c r="K258" s="9" t="s">
        <v>614</v>
      </c>
      <c r="L258" s="89"/>
    </row>
    <row r="259" spans="1:12" x14ac:dyDescent="0.2">
      <c r="A259" s="9" t="s">
        <v>41</v>
      </c>
      <c r="B259" s="9" t="s">
        <v>343</v>
      </c>
      <c r="C259" s="9"/>
      <c r="D259" s="9" t="s">
        <v>79</v>
      </c>
      <c r="E259" s="38">
        <v>5072</v>
      </c>
      <c r="F259" s="39">
        <v>3569663</v>
      </c>
      <c r="G259" s="40">
        <v>703.79791009463725</v>
      </c>
      <c r="H259" s="41"/>
      <c r="I259" s="40">
        <v>52.784897476340703</v>
      </c>
      <c r="J259" s="41">
        <v>7.5000077038084548E-2</v>
      </c>
      <c r="K259" s="9" t="s">
        <v>615</v>
      </c>
      <c r="L259" s="89"/>
    </row>
    <row r="260" spans="1:12" x14ac:dyDescent="0.2">
      <c r="A260" s="9" t="s">
        <v>41</v>
      </c>
      <c r="B260" s="9" t="s">
        <v>616</v>
      </c>
      <c r="C260" s="9"/>
      <c r="D260" s="9" t="s">
        <v>83</v>
      </c>
      <c r="E260" s="38">
        <v>2037</v>
      </c>
      <c r="F260" s="39">
        <v>80000</v>
      </c>
      <c r="G260" s="40">
        <v>39.273441335297008</v>
      </c>
      <c r="H260" s="41"/>
      <c r="I260" s="40">
        <v>70.792832596956302</v>
      </c>
      <c r="J260" s="41">
        <v>1.8025625E-2</v>
      </c>
      <c r="K260" s="9" t="s">
        <v>617</v>
      </c>
      <c r="L260" s="89"/>
    </row>
    <row r="261" spans="1:12" x14ac:dyDescent="0.2">
      <c r="A261" s="9" t="s">
        <v>41</v>
      </c>
      <c r="B261" s="9" t="s">
        <v>618</v>
      </c>
      <c r="C261" s="9"/>
      <c r="D261" s="9" t="s">
        <v>78</v>
      </c>
      <c r="E261" s="38">
        <v>8541</v>
      </c>
      <c r="F261" s="39">
        <v>5341167</v>
      </c>
      <c r="G261" s="40">
        <v>625.35616438356169</v>
      </c>
      <c r="H261" s="41">
        <v>0.12517271403828489</v>
      </c>
      <c r="I261" s="40">
        <v>51.396909027046007</v>
      </c>
      <c r="J261" s="41">
        <v>8.2188218417435746E-2</v>
      </c>
      <c r="K261" s="9" t="s">
        <v>619</v>
      </c>
      <c r="L261" s="89"/>
    </row>
    <row r="262" spans="1:12" x14ac:dyDescent="0.2">
      <c r="A262" s="9" t="s">
        <v>41</v>
      </c>
      <c r="B262" s="9" t="s">
        <v>620</v>
      </c>
      <c r="C262" s="9"/>
      <c r="D262" s="9" t="s">
        <v>76</v>
      </c>
      <c r="E262" s="38">
        <v>4500</v>
      </c>
      <c r="F262" s="39">
        <v>1704036</v>
      </c>
      <c r="G262" s="40">
        <v>378.67466666666672</v>
      </c>
      <c r="H262" s="41">
        <v>4.199730965703527E-2</v>
      </c>
      <c r="I262" s="40">
        <v>50.105111111111107</v>
      </c>
      <c r="J262" s="41">
        <v>0.13231704025032329</v>
      </c>
      <c r="K262" s="9" t="s">
        <v>621</v>
      </c>
      <c r="L262" s="89"/>
    </row>
    <row r="263" spans="1:12" x14ac:dyDescent="0.2">
      <c r="A263" s="9" t="s">
        <v>41</v>
      </c>
      <c r="B263" s="9" t="s">
        <v>622</v>
      </c>
      <c r="C263" s="9"/>
      <c r="D263" s="9" t="s">
        <v>85</v>
      </c>
      <c r="E263" s="38">
        <v>11881</v>
      </c>
      <c r="F263" s="39">
        <v>1312042</v>
      </c>
      <c r="G263" s="40">
        <v>110.4319501725444</v>
      </c>
      <c r="H263" s="41">
        <v>0.40727375358364809</v>
      </c>
      <c r="I263" s="40">
        <v>36.087871391297028</v>
      </c>
      <c r="J263" s="41">
        <v>0.32678831927636459</v>
      </c>
      <c r="K263" s="9" t="s">
        <v>623</v>
      </c>
      <c r="L263" s="89"/>
    </row>
    <row r="264" spans="1:12" x14ac:dyDescent="0.2">
      <c r="A264" s="9" t="s">
        <v>41</v>
      </c>
      <c r="B264" s="9" t="s">
        <v>624</v>
      </c>
      <c r="C264" s="9"/>
      <c r="D264" s="9" t="s">
        <v>80</v>
      </c>
      <c r="E264" s="38">
        <v>8005</v>
      </c>
      <c r="F264" s="39">
        <v>675491</v>
      </c>
      <c r="G264" s="40">
        <v>84.383635227982509</v>
      </c>
      <c r="H264" s="41"/>
      <c r="I264" s="40">
        <v>47.736914428482201</v>
      </c>
      <c r="J264" s="41">
        <v>0.56571294066094147</v>
      </c>
      <c r="K264" s="9" t="s">
        <v>625</v>
      </c>
      <c r="L264" s="89"/>
    </row>
    <row r="265" spans="1:12" x14ac:dyDescent="0.2">
      <c r="A265" s="9" t="s">
        <v>41</v>
      </c>
      <c r="B265" s="9" t="s">
        <v>626</v>
      </c>
      <c r="C265" s="9"/>
      <c r="D265" s="9" t="s">
        <v>83</v>
      </c>
      <c r="E265" s="38">
        <v>2546</v>
      </c>
      <c r="F265" s="39">
        <v>1376428</v>
      </c>
      <c r="G265" s="40">
        <v>540.62372348782401</v>
      </c>
      <c r="H265" s="41">
        <v>-8.7963682408126853E-2</v>
      </c>
      <c r="I265" s="40">
        <v>56.563236449332287</v>
      </c>
      <c r="J265" s="41">
        <v>0.1046258867154693</v>
      </c>
      <c r="K265" s="9" t="s">
        <v>627</v>
      </c>
    </row>
    <row r="266" spans="1:12" x14ac:dyDescent="0.2">
      <c r="A266" s="9" t="s">
        <v>41</v>
      </c>
      <c r="B266" s="9" t="s">
        <v>628</v>
      </c>
      <c r="C266" s="9"/>
      <c r="D266" s="9" t="s">
        <v>82</v>
      </c>
      <c r="E266" s="38">
        <v>1650</v>
      </c>
      <c r="F266" s="39">
        <v>541460</v>
      </c>
      <c r="G266" s="40">
        <v>328.15757575757578</v>
      </c>
      <c r="H266" s="41"/>
      <c r="I266" s="40">
        <v>71.402424242424246</v>
      </c>
      <c r="J266" s="41">
        <v>0.21758578657703251</v>
      </c>
      <c r="K266" s="9" t="s">
        <v>629</v>
      </c>
    </row>
    <row r="267" spans="1:12" x14ac:dyDescent="0.2">
      <c r="A267" s="9" t="s">
        <v>41</v>
      </c>
      <c r="B267" s="9" t="s">
        <v>630</v>
      </c>
      <c r="C267" s="9"/>
      <c r="D267" s="9" t="s">
        <v>80</v>
      </c>
      <c r="E267" s="38">
        <v>1883</v>
      </c>
      <c r="F267" s="39">
        <v>453186</v>
      </c>
      <c r="G267" s="40">
        <v>240.672331386086</v>
      </c>
      <c r="H267" s="41"/>
      <c r="I267" s="40">
        <v>62.442379182156131</v>
      </c>
      <c r="J267" s="41">
        <v>0.25944976234923411</v>
      </c>
      <c r="K267" s="9" t="s">
        <v>631</v>
      </c>
    </row>
    <row r="268" spans="1:12" x14ac:dyDescent="0.2">
      <c r="A268" s="9" t="s">
        <v>41</v>
      </c>
      <c r="B268" s="9" t="s">
        <v>632</v>
      </c>
      <c r="C268" s="9"/>
      <c r="D268" s="9" t="s">
        <v>81</v>
      </c>
      <c r="E268" s="38">
        <v>6675</v>
      </c>
      <c r="F268" s="39">
        <v>4163661</v>
      </c>
      <c r="G268" s="40">
        <v>623.76943820224722</v>
      </c>
      <c r="H268" s="41">
        <v>-3.9275059959805583E-2</v>
      </c>
      <c r="I268" s="40">
        <v>43.069363295880152</v>
      </c>
      <c r="J268" s="41">
        <v>6.9046927691759727E-2</v>
      </c>
      <c r="K268" s="9" t="s">
        <v>633</v>
      </c>
    </row>
    <row r="269" spans="1:12" x14ac:dyDescent="0.2">
      <c r="A269" s="9" t="s">
        <v>41</v>
      </c>
      <c r="B269" s="9" t="s">
        <v>634</v>
      </c>
      <c r="C269" s="9"/>
      <c r="D269" s="9" t="s">
        <v>81</v>
      </c>
      <c r="E269" s="38">
        <v>7000</v>
      </c>
      <c r="F269" s="39">
        <v>3788964</v>
      </c>
      <c r="G269" s="40">
        <v>541.28057142857142</v>
      </c>
      <c r="H269" s="41">
        <v>-7.634888900867462E-2</v>
      </c>
      <c r="I269" s="40">
        <v>46.58942857142857</v>
      </c>
      <c r="J269" s="41">
        <v>8.6072604543088821E-2</v>
      </c>
      <c r="K269" s="9" t="s">
        <v>635</v>
      </c>
    </row>
    <row r="270" spans="1:12" x14ac:dyDescent="0.2">
      <c r="A270" s="9" t="s">
        <v>41</v>
      </c>
      <c r="B270" s="9" t="s">
        <v>636</v>
      </c>
      <c r="C270" s="9"/>
      <c r="D270" s="9" t="s">
        <v>81</v>
      </c>
      <c r="E270" s="38">
        <v>5006</v>
      </c>
      <c r="F270" s="39">
        <v>642150</v>
      </c>
      <c r="G270" s="40">
        <v>128.27606871753889</v>
      </c>
      <c r="H270" s="41"/>
      <c r="I270" s="40">
        <v>54.192568917299241</v>
      </c>
      <c r="J270" s="41">
        <v>0.42246827065327408</v>
      </c>
      <c r="K270" s="9" t="s">
        <v>637</v>
      </c>
    </row>
    <row r="271" spans="1:12" x14ac:dyDescent="0.2">
      <c r="A271" s="9" t="s">
        <v>41</v>
      </c>
      <c r="B271" s="9" t="s">
        <v>638</v>
      </c>
      <c r="C271" s="9"/>
      <c r="D271" s="9" t="s">
        <v>85</v>
      </c>
      <c r="E271" s="38">
        <v>10000</v>
      </c>
      <c r="F271" s="39">
        <v>393898</v>
      </c>
      <c r="G271" s="40">
        <v>39.389800000000001</v>
      </c>
      <c r="H271" s="41">
        <v>-0.4948981329095965</v>
      </c>
      <c r="I271" s="40">
        <v>17.012799999999999</v>
      </c>
      <c r="J271" s="41">
        <v>0.43190876825980329</v>
      </c>
      <c r="K271" s="9" t="s">
        <v>639</v>
      </c>
    </row>
    <row r="272" spans="1:12" x14ac:dyDescent="0.2">
      <c r="A272" s="9" t="s">
        <v>41</v>
      </c>
      <c r="B272" s="9" t="s">
        <v>640</v>
      </c>
      <c r="C272" s="9"/>
      <c r="D272" s="9" t="s">
        <v>83</v>
      </c>
      <c r="E272" s="38">
        <v>1937</v>
      </c>
      <c r="F272" s="39">
        <v>2086755</v>
      </c>
      <c r="G272" s="40">
        <v>1077.3128549303051</v>
      </c>
      <c r="H272" s="41">
        <v>7.8621612579458013E-3</v>
      </c>
      <c r="I272" s="40">
        <v>61.872483221476507</v>
      </c>
      <c r="J272" s="41">
        <v>5.7432233300028043E-2</v>
      </c>
      <c r="K272" s="9" t="s">
        <v>641</v>
      </c>
    </row>
    <row r="273" spans="1:11" x14ac:dyDescent="0.2">
      <c r="A273" s="9" t="s">
        <v>41</v>
      </c>
      <c r="B273" s="9" t="s">
        <v>642</v>
      </c>
      <c r="C273" s="9"/>
      <c r="D273" s="9" t="s">
        <v>86</v>
      </c>
      <c r="E273" s="38">
        <v>70795</v>
      </c>
      <c r="F273" s="39">
        <v>83645538</v>
      </c>
      <c r="G273" s="40">
        <v>1181.5175930503569</v>
      </c>
      <c r="H273" s="41">
        <v>0</v>
      </c>
      <c r="I273" s="40">
        <v>49.253337100077687</v>
      </c>
      <c r="J273" s="41">
        <v>4.1686503349407593E-2</v>
      </c>
      <c r="K273" s="9" t="s">
        <v>643</v>
      </c>
    </row>
    <row r="274" spans="1:11" x14ac:dyDescent="0.2">
      <c r="A274" s="9" t="s">
        <v>41</v>
      </c>
      <c r="B274" s="9" t="s">
        <v>644</v>
      </c>
      <c r="C274" s="9"/>
      <c r="D274" s="9" t="s">
        <v>82</v>
      </c>
      <c r="E274" s="38">
        <v>5500</v>
      </c>
      <c r="F274" s="39">
        <v>3261774</v>
      </c>
      <c r="G274" s="40">
        <v>593.04981818181818</v>
      </c>
      <c r="H274" s="41">
        <v>2.9552557302853309E-2</v>
      </c>
      <c r="I274" s="40">
        <v>32.832727272727283</v>
      </c>
      <c r="J274" s="41">
        <v>5.5362511320526817E-2</v>
      </c>
      <c r="K274" s="9" t="s">
        <v>645</v>
      </c>
    </row>
    <row r="275" spans="1:11" x14ac:dyDescent="0.2">
      <c r="A275" s="9" t="s">
        <v>41</v>
      </c>
      <c r="B275" s="9" t="s">
        <v>646</v>
      </c>
      <c r="C275" s="9"/>
      <c r="D275" s="9" t="s">
        <v>81</v>
      </c>
      <c r="E275" s="38">
        <v>4498</v>
      </c>
      <c r="F275" s="39">
        <v>2586510</v>
      </c>
      <c r="G275" s="40">
        <v>575.03557136505117</v>
      </c>
      <c r="H275" s="41">
        <v>-8.5051195397337881E-2</v>
      </c>
      <c r="I275" s="40">
        <v>33.210093374833257</v>
      </c>
      <c r="J275" s="41">
        <v>5.7753111335351499E-2</v>
      </c>
      <c r="K275" s="9" t="s">
        <v>647</v>
      </c>
    </row>
    <row r="276" spans="1:11" x14ac:dyDescent="0.2">
      <c r="A276" s="9" t="s">
        <v>54</v>
      </c>
      <c r="B276" s="9" t="s">
        <v>648</v>
      </c>
      <c r="C276" s="9"/>
      <c r="D276" s="9" t="s">
        <v>80</v>
      </c>
      <c r="E276" s="38">
        <v>3554</v>
      </c>
      <c r="F276" s="39">
        <v>2634408</v>
      </c>
      <c r="G276" s="40">
        <v>741.25154755205403</v>
      </c>
      <c r="H276" s="41">
        <v>0.16793299615491741</v>
      </c>
      <c r="I276" s="40">
        <v>64.089499155880688</v>
      </c>
      <c r="J276" s="41">
        <v>8.6461201150315359E-2</v>
      </c>
      <c r="K276" s="9" t="s">
        <v>649</v>
      </c>
    </row>
    <row r="277" spans="1:11" x14ac:dyDescent="0.2">
      <c r="A277" s="9" t="s">
        <v>54</v>
      </c>
      <c r="B277" s="9" t="s">
        <v>650</v>
      </c>
      <c r="C277" s="9"/>
      <c r="D277" s="9" t="s">
        <v>76</v>
      </c>
      <c r="E277" s="38">
        <v>4786</v>
      </c>
      <c r="F277" s="39">
        <v>2531541</v>
      </c>
      <c r="G277" s="40">
        <v>528.94713748432935</v>
      </c>
      <c r="H277" s="41">
        <v>7.369336238366804E-2</v>
      </c>
      <c r="I277" s="40">
        <v>48.308157124947762</v>
      </c>
      <c r="J277" s="41">
        <v>9.1328894139972444E-2</v>
      </c>
      <c r="K277" s="9" t="s">
        <v>651</v>
      </c>
    </row>
    <row r="278" spans="1:11" x14ac:dyDescent="0.2">
      <c r="A278" s="9" t="s">
        <v>54</v>
      </c>
      <c r="B278" s="9" t="s">
        <v>652</v>
      </c>
      <c r="C278" s="9"/>
      <c r="D278" s="9" t="s">
        <v>76</v>
      </c>
      <c r="E278" s="38">
        <v>4382</v>
      </c>
      <c r="F278" s="39">
        <v>1067821</v>
      </c>
      <c r="G278" s="40">
        <v>243.68347786398911</v>
      </c>
      <c r="H278" s="41">
        <v>-1.597967883745155E-2</v>
      </c>
      <c r="I278" s="40">
        <v>13.804173893199451</v>
      </c>
      <c r="J278" s="41">
        <v>5.6647968151965537E-2</v>
      </c>
      <c r="K278" s="9" t="s">
        <v>653</v>
      </c>
    </row>
    <row r="279" spans="1:11" x14ac:dyDescent="0.2">
      <c r="A279" s="9" t="s">
        <v>54</v>
      </c>
      <c r="B279" s="9" t="s">
        <v>164</v>
      </c>
      <c r="C279" s="9"/>
      <c r="D279" s="9" t="s">
        <v>76</v>
      </c>
      <c r="E279" s="38">
        <v>3903</v>
      </c>
      <c r="F279" s="39">
        <v>1354198</v>
      </c>
      <c r="G279" s="40">
        <v>346.96336151678202</v>
      </c>
      <c r="H279" s="41">
        <v>-1.3427743978947511E-2</v>
      </c>
      <c r="I279" s="40">
        <v>84.008847040737905</v>
      </c>
      <c r="J279" s="41">
        <v>0.24212598896173229</v>
      </c>
      <c r="K279" s="9" t="s">
        <v>654</v>
      </c>
    </row>
    <row r="280" spans="1:11" x14ac:dyDescent="0.2">
      <c r="A280" s="9" t="s">
        <v>54</v>
      </c>
      <c r="B280" s="9" t="s">
        <v>166</v>
      </c>
      <c r="C280" s="9"/>
      <c r="D280" s="9" t="s">
        <v>76</v>
      </c>
      <c r="E280" s="38">
        <v>2867</v>
      </c>
      <c r="F280" s="39">
        <v>1536027</v>
      </c>
      <c r="G280" s="40">
        <v>535.76107429368676</v>
      </c>
      <c r="H280" s="41">
        <v>-8.3505930127991221E-2</v>
      </c>
      <c r="I280" s="40">
        <v>110.4256993372864</v>
      </c>
      <c r="J280" s="41">
        <v>0.20610997072317089</v>
      </c>
      <c r="K280" s="9" t="s">
        <v>655</v>
      </c>
    </row>
    <row r="281" spans="1:11" x14ac:dyDescent="0.2">
      <c r="A281" s="9" t="s">
        <v>54</v>
      </c>
      <c r="B281" s="9" t="s">
        <v>168</v>
      </c>
      <c r="C281" s="9"/>
      <c r="D281" s="9" t="s">
        <v>77</v>
      </c>
      <c r="E281" s="38">
        <v>2267</v>
      </c>
      <c r="F281" s="39">
        <v>1111465</v>
      </c>
      <c r="G281" s="40">
        <v>490.28010586678431</v>
      </c>
      <c r="H281" s="41">
        <v>-2.4401244938153089E-2</v>
      </c>
      <c r="I281" s="40">
        <v>133.22</v>
      </c>
      <c r="J281" s="41">
        <v>0.27172222247214262</v>
      </c>
      <c r="K281" s="9" t="s">
        <v>656</v>
      </c>
    </row>
    <row r="282" spans="1:11" x14ac:dyDescent="0.2">
      <c r="A282" s="9" t="s">
        <v>54</v>
      </c>
      <c r="B282" s="9" t="s">
        <v>169</v>
      </c>
      <c r="C282" s="9"/>
      <c r="D282" s="9" t="s">
        <v>76</v>
      </c>
      <c r="E282" s="38">
        <v>7441</v>
      </c>
      <c r="F282" s="39">
        <v>3736961</v>
      </c>
      <c r="G282" s="40">
        <v>502.21220266093269</v>
      </c>
      <c r="H282" s="41">
        <v>-8.6119106763180506E-2</v>
      </c>
      <c r="I282" s="40">
        <v>88.851091251175916</v>
      </c>
      <c r="J282" s="41">
        <v>0.17691941928213861</v>
      </c>
      <c r="K282" s="9" t="s">
        <v>657</v>
      </c>
    </row>
    <row r="283" spans="1:11" x14ac:dyDescent="0.2">
      <c r="A283" s="9" t="s">
        <v>54</v>
      </c>
      <c r="B283" s="9" t="s">
        <v>406</v>
      </c>
      <c r="C283" s="9"/>
      <c r="D283" s="9" t="s">
        <v>76</v>
      </c>
      <c r="E283" s="38">
        <v>4899</v>
      </c>
      <c r="F283" s="39">
        <v>1387252</v>
      </c>
      <c r="G283" s="40">
        <v>283.17044294754032</v>
      </c>
      <c r="H283" s="41">
        <v>0.55319717613647501</v>
      </c>
      <c r="I283" s="40">
        <v>44.6</v>
      </c>
      <c r="J283" s="41">
        <v>0.1575023139271019</v>
      </c>
      <c r="K283" s="9" t="s">
        <v>658</v>
      </c>
    </row>
    <row r="284" spans="1:11" x14ac:dyDescent="0.2">
      <c r="A284" s="9" t="s">
        <v>54</v>
      </c>
      <c r="B284" s="9" t="s">
        <v>87</v>
      </c>
      <c r="C284" s="9"/>
      <c r="D284" s="9" t="s">
        <v>87</v>
      </c>
      <c r="E284" s="38">
        <v>7222</v>
      </c>
      <c r="F284" s="39">
        <v>42227781</v>
      </c>
      <c r="G284" s="40">
        <v>5847.1034339518137</v>
      </c>
      <c r="H284" s="41">
        <v>-6.8936881914561432E-2</v>
      </c>
      <c r="I284" s="40">
        <v>132.44448490722789</v>
      </c>
      <c r="J284" s="41">
        <v>2.2651298442605831E-2</v>
      </c>
      <c r="K284" s="9" t="s">
        <v>659</v>
      </c>
    </row>
    <row r="285" spans="1:11" x14ac:dyDescent="0.2">
      <c r="A285" s="9" t="s">
        <v>54</v>
      </c>
      <c r="B285" s="9" t="s">
        <v>173</v>
      </c>
      <c r="C285" s="9"/>
      <c r="D285" s="9" t="s">
        <v>80</v>
      </c>
      <c r="E285" s="38">
        <v>267</v>
      </c>
      <c r="F285" s="39">
        <v>644903</v>
      </c>
      <c r="G285" s="40">
        <v>2415.3670411985022</v>
      </c>
      <c r="H285" s="41">
        <v>2.474840007431086E-2</v>
      </c>
      <c r="I285" s="40">
        <v>373.0196629213483</v>
      </c>
      <c r="J285" s="41">
        <v>0.1544360159589892</v>
      </c>
      <c r="K285" s="9" t="s">
        <v>660</v>
      </c>
    </row>
    <row r="286" spans="1:11" x14ac:dyDescent="0.2">
      <c r="A286" s="9" t="s">
        <v>54</v>
      </c>
      <c r="B286" s="9" t="s">
        <v>661</v>
      </c>
      <c r="C286" s="9"/>
      <c r="D286" s="9" t="s">
        <v>76</v>
      </c>
      <c r="E286" s="38">
        <v>6062</v>
      </c>
      <c r="F286" s="39">
        <v>1182044</v>
      </c>
      <c r="G286" s="40">
        <v>194.9924117452986</v>
      </c>
      <c r="H286" s="41">
        <v>3.3908864592410021E-2</v>
      </c>
      <c r="I286" s="40">
        <v>46.682736720554267</v>
      </c>
      <c r="J286" s="41">
        <v>0.23940796620091981</v>
      </c>
      <c r="K286" s="9" t="s">
        <v>662</v>
      </c>
    </row>
    <row r="287" spans="1:11" x14ac:dyDescent="0.2">
      <c r="A287" s="9" t="s">
        <v>54</v>
      </c>
      <c r="B287" s="9" t="s">
        <v>175</v>
      </c>
      <c r="C287" s="9"/>
      <c r="D287" s="9" t="s">
        <v>78</v>
      </c>
      <c r="E287" s="38">
        <v>160</v>
      </c>
      <c r="F287" s="39">
        <v>299789</v>
      </c>
      <c r="G287" s="40">
        <v>1873.6812500000001</v>
      </c>
      <c r="H287" s="41"/>
      <c r="I287" s="40">
        <v>650.25</v>
      </c>
      <c r="J287" s="41">
        <v>0.34704408767499811</v>
      </c>
      <c r="K287" s="9" t="s">
        <v>663</v>
      </c>
    </row>
    <row r="288" spans="1:11" x14ac:dyDescent="0.2">
      <c r="A288" s="9" t="s">
        <v>54</v>
      </c>
      <c r="B288" s="9" t="s">
        <v>179</v>
      </c>
      <c r="C288" s="9"/>
      <c r="D288" s="9" t="s">
        <v>79</v>
      </c>
      <c r="E288" s="38">
        <v>4581</v>
      </c>
      <c r="F288" s="39">
        <v>4019481</v>
      </c>
      <c r="G288" s="40">
        <v>877.4243614931238</v>
      </c>
      <c r="H288" s="41">
        <v>-9.1017254282329305E-2</v>
      </c>
      <c r="I288" s="40">
        <v>105.1853678236193</v>
      </c>
      <c r="J288" s="41">
        <v>0.1198796983988729</v>
      </c>
      <c r="K288" s="9" t="s">
        <v>664</v>
      </c>
    </row>
    <row r="289" spans="1:11" x14ac:dyDescent="0.2">
      <c r="A289" s="9" t="s">
        <v>54</v>
      </c>
      <c r="B289" s="9" t="s">
        <v>665</v>
      </c>
      <c r="C289" s="9"/>
      <c r="D289" s="9" t="s">
        <v>81</v>
      </c>
      <c r="E289" s="38">
        <v>9200</v>
      </c>
      <c r="F289" s="39">
        <v>6737959</v>
      </c>
      <c r="G289" s="40">
        <v>732.38684782608698</v>
      </c>
      <c r="H289" s="41">
        <v>0.1641296465612567</v>
      </c>
      <c r="I289" s="40">
        <v>48.268820652173908</v>
      </c>
      <c r="J289" s="41">
        <v>6.5906181679051476E-2</v>
      </c>
      <c r="K289" s="9" t="s">
        <v>666</v>
      </c>
    </row>
    <row r="290" spans="1:11" x14ac:dyDescent="0.2">
      <c r="A290" s="9" t="s">
        <v>54</v>
      </c>
      <c r="B290" s="9" t="s">
        <v>187</v>
      </c>
      <c r="C290" s="9"/>
      <c r="D290" s="9" t="s">
        <v>76</v>
      </c>
      <c r="E290" s="38">
        <v>1883</v>
      </c>
      <c r="F290" s="39">
        <v>1141614</v>
      </c>
      <c r="G290" s="40">
        <v>606.27403080191186</v>
      </c>
      <c r="H290" s="41">
        <v>-9.2304347993861904E-2</v>
      </c>
      <c r="I290" s="40">
        <v>94.313998937865108</v>
      </c>
      <c r="J290" s="41">
        <v>0.1555633164975202</v>
      </c>
      <c r="K290" s="9" t="s">
        <v>667</v>
      </c>
    </row>
    <row r="291" spans="1:11" x14ac:dyDescent="0.2">
      <c r="A291" s="9" t="s">
        <v>54</v>
      </c>
      <c r="B291" s="9" t="s">
        <v>191</v>
      </c>
      <c r="C291" s="9"/>
      <c r="D291" s="9" t="s">
        <v>76</v>
      </c>
      <c r="E291" s="38">
        <v>3723</v>
      </c>
      <c r="F291" s="39">
        <v>2679118</v>
      </c>
      <c r="G291" s="40">
        <v>719.61267794789148</v>
      </c>
      <c r="H291" s="41">
        <v>0.35936344876443438</v>
      </c>
      <c r="I291" s="40">
        <v>105.16187751813059</v>
      </c>
      <c r="J291" s="41">
        <v>0.14613677710350939</v>
      </c>
      <c r="K291" s="9" t="s">
        <v>668</v>
      </c>
    </row>
    <row r="292" spans="1:11" x14ac:dyDescent="0.2">
      <c r="A292" s="9" t="s">
        <v>54</v>
      </c>
      <c r="B292" s="9" t="s">
        <v>200</v>
      </c>
      <c r="C292" s="9"/>
      <c r="D292" s="9" t="s">
        <v>77</v>
      </c>
      <c r="E292" s="38">
        <v>6165</v>
      </c>
      <c r="F292" s="39">
        <v>5385882</v>
      </c>
      <c r="G292" s="40">
        <v>873.62238442822388</v>
      </c>
      <c r="H292" s="41">
        <v>1.7148707255850871E-2</v>
      </c>
      <c r="I292" s="40">
        <v>202.7817018072289</v>
      </c>
      <c r="J292" s="41">
        <v>0.15</v>
      </c>
      <c r="K292" s="9" t="s">
        <v>669</v>
      </c>
    </row>
    <row r="293" spans="1:11" x14ac:dyDescent="0.2">
      <c r="A293" s="9" t="s">
        <v>54</v>
      </c>
      <c r="B293" s="9" t="s">
        <v>202</v>
      </c>
      <c r="C293" s="9"/>
      <c r="D293" s="9" t="s">
        <v>81</v>
      </c>
      <c r="E293" s="38">
        <v>653</v>
      </c>
      <c r="F293" s="39">
        <v>923605</v>
      </c>
      <c r="G293" s="40">
        <v>1414.402756508423</v>
      </c>
      <c r="H293" s="41">
        <v>-7.7716362303792835E-2</v>
      </c>
      <c r="I293" s="40">
        <v>323.34591117917307</v>
      </c>
      <c r="J293" s="41">
        <v>0.2286095029801701</v>
      </c>
      <c r="K293" s="9" t="s">
        <v>670</v>
      </c>
    </row>
    <row r="294" spans="1:11" x14ac:dyDescent="0.2">
      <c r="A294" s="9" t="s">
        <v>54</v>
      </c>
      <c r="B294" s="9" t="s">
        <v>206</v>
      </c>
      <c r="C294" s="9"/>
      <c r="D294" s="9" t="s">
        <v>80</v>
      </c>
      <c r="E294" s="38">
        <v>760</v>
      </c>
      <c r="F294" s="39">
        <v>1459373</v>
      </c>
      <c r="G294" s="40">
        <v>1920.227631578947</v>
      </c>
      <c r="H294" s="41">
        <v>-0.15937237402023391</v>
      </c>
      <c r="I294" s="40">
        <v>364.99928947368431</v>
      </c>
      <c r="J294" s="41">
        <v>0.1900812609250685</v>
      </c>
      <c r="K294" s="9" t="s">
        <v>671</v>
      </c>
    </row>
    <row r="295" spans="1:11" x14ac:dyDescent="0.2">
      <c r="A295" s="9" t="s">
        <v>54</v>
      </c>
      <c r="B295" s="9" t="s">
        <v>208</v>
      </c>
      <c r="C295" s="9"/>
      <c r="D295" s="9" t="s">
        <v>78</v>
      </c>
      <c r="E295" s="38">
        <v>1529</v>
      </c>
      <c r="F295" s="39">
        <v>1248637</v>
      </c>
      <c r="G295" s="40">
        <v>816.63636363636363</v>
      </c>
      <c r="H295" s="41">
        <v>-6.2054849347286813E-2</v>
      </c>
      <c r="I295" s="40">
        <v>212.2570699803793</v>
      </c>
      <c r="J295" s="41">
        <v>0.25991626069065699</v>
      </c>
      <c r="K295" s="9" t="s">
        <v>672</v>
      </c>
    </row>
    <row r="296" spans="1:11" x14ac:dyDescent="0.2">
      <c r="A296" s="9" t="s">
        <v>54</v>
      </c>
      <c r="B296" s="9" t="s">
        <v>212</v>
      </c>
      <c r="C296" s="9"/>
      <c r="D296" s="9" t="s">
        <v>76</v>
      </c>
      <c r="E296" s="38">
        <v>2494</v>
      </c>
      <c r="F296" s="39">
        <v>1354611</v>
      </c>
      <c r="G296" s="40">
        <v>543.14795509222131</v>
      </c>
      <c r="H296" s="41">
        <v>0.17539124807452169</v>
      </c>
      <c r="I296" s="40">
        <v>111.3058540497193</v>
      </c>
      <c r="J296" s="41">
        <v>0.2049273186176695</v>
      </c>
      <c r="K296" s="9" t="s">
        <v>673</v>
      </c>
    </row>
    <row r="297" spans="1:11" x14ac:dyDescent="0.2">
      <c r="A297" s="9" t="s">
        <v>54</v>
      </c>
      <c r="B297" s="9" t="s">
        <v>674</v>
      </c>
      <c r="C297" s="9"/>
      <c r="D297" s="9" t="s">
        <v>80</v>
      </c>
      <c r="E297" s="38">
        <v>997</v>
      </c>
      <c r="F297" s="39">
        <v>811629</v>
      </c>
      <c r="G297" s="40">
        <v>814.07121364092279</v>
      </c>
      <c r="H297" s="41">
        <v>-2.0406875422667271E-2</v>
      </c>
      <c r="I297" s="40">
        <v>152.93286860581739</v>
      </c>
      <c r="J297" s="41">
        <v>0.18786178167611059</v>
      </c>
      <c r="K297" s="9" t="s">
        <v>675</v>
      </c>
    </row>
    <row r="298" spans="1:11" x14ac:dyDescent="0.2">
      <c r="A298" s="9" t="s">
        <v>54</v>
      </c>
      <c r="B298" s="9" t="s">
        <v>676</v>
      </c>
      <c r="C298" s="9"/>
      <c r="D298" s="9" t="s">
        <v>77</v>
      </c>
      <c r="E298" s="38">
        <v>1786</v>
      </c>
      <c r="F298" s="39">
        <v>3708558</v>
      </c>
      <c r="G298" s="40">
        <v>2076.460246360582</v>
      </c>
      <c r="H298" s="41">
        <v>-2.106840998727252E-2</v>
      </c>
      <c r="I298" s="40">
        <v>43.211422172452401</v>
      </c>
      <c r="J298" s="41">
        <v>2.081013698585811E-2</v>
      </c>
      <c r="K298" s="9" t="s">
        <v>677</v>
      </c>
    </row>
    <row r="299" spans="1:11" x14ac:dyDescent="0.2">
      <c r="A299" s="9" t="s">
        <v>54</v>
      </c>
      <c r="B299" s="9" t="s">
        <v>678</v>
      </c>
      <c r="C299" s="9"/>
      <c r="D299" s="9" t="s">
        <v>77</v>
      </c>
      <c r="E299" s="38">
        <v>1402</v>
      </c>
      <c r="F299" s="39">
        <v>514184</v>
      </c>
      <c r="G299" s="40">
        <v>366.75035663338087</v>
      </c>
      <c r="H299" s="41">
        <v>2.3146471284232459E-2</v>
      </c>
      <c r="I299" s="40">
        <v>43.322967189728963</v>
      </c>
      <c r="J299" s="41">
        <v>0.1181265850357071</v>
      </c>
      <c r="K299" s="9" t="s">
        <v>679</v>
      </c>
    </row>
    <row r="300" spans="1:11" x14ac:dyDescent="0.2">
      <c r="A300" s="9" t="s">
        <v>54</v>
      </c>
      <c r="B300" s="9" t="s">
        <v>231</v>
      </c>
      <c r="C300" s="9"/>
      <c r="D300" s="9" t="s">
        <v>76</v>
      </c>
      <c r="E300" s="38">
        <v>10972</v>
      </c>
      <c r="F300" s="39">
        <v>3243249</v>
      </c>
      <c r="G300" s="40">
        <v>295.59323733138899</v>
      </c>
      <c r="H300" s="41">
        <v>7.3128093502492067E-2</v>
      </c>
      <c r="I300" s="40">
        <v>91.52760025519504</v>
      </c>
      <c r="J300" s="41">
        <v>0.3096403729716713</v>
      </c>
      <c r="K300" s="9" t="s">
        <v>680</v>
      </c>
    </row>
    <row r="301" spans="1:11" x14ac:dyDescent="0.2">
      <c r="A301" s="9" t="s">
        <v>54</v>
      </c>
      <c r="B301" s="9" t="s">
        <v>235</v>
      </c>
      <c r="C301" s="9"/>
      <c r="D301" s="9" t="s">
        <v>77</v>
      </c>
      <c r="E301" s="38">
        <v>9846</v>
      </c>
      <c r="F301" s="39">
        <v>7641938</v>
      </c>
      <c r="G301" s="40">
        <v>776.14645541336586</v>
      </c>
      <c r="H301" s="41">
        <v>3.7319389488885732E-2</v>
      </c>
      <c r="I301" s="40">
        <v>90.429723745683532</v>
      </c>
      <c r="J301" s="41">
        <v>0.1165111598654687</v>
      </c>
      <c r="K301" s="9" t="s">
        <v>681</v>
      </c>
    </row>
    <row r="302" spans="1:11" x14ac:dyDescent="0.2">
      <c r="A302" s="9" t="s">
        <v>54</v>
      </c>
      <c r="B302" s="9" t="s">
        <v>454</v>
      </c>
      <c r="C302" s="9"/>
      <c r="D302" s="9" t="s">
        <v>76</v>
      </c>
      <c r="E302" s="38">
        <v>16157</v>
      </c>
      <c r="F302" s="39">
        <v>3653425</v>
      </c>
      <c r="G302" s="40">
        <v>226.1202574735409</v>
      </c>
      <c r="H302" s="41">
        <v>-0.21799910422927871</v>
      </c>
      <c r="I302" s="40">
        <v>27.134428421117779</v>
      </c>
      <c r="J302" s="41">
        <v>0.1199999890513696</v>
      </c>
      <c r="K302" s="9" t="s">
        <v>682</v>
      </c>
    </row>
    <row r="303" spans="1:11" x14ac:dyDescent="0.2">
      <c r="A303" s="9" t="s">
        <v>54</v>
      </c>
      <c r="B303" s="9" t="s">
        <v>456</v>
      </c>
      <c r="C303" s="9"/>
      <c r="D303" s="9" t="s">
        <v>76</v>
      </c>
      <c r="E303" s="38">
        <v>1246</v>
      </c>
      <c r="F303" s="39">
        <v>817408</v>
      </c>
      <c r="G303" s="40">
        <v>656.02568218298552</v>
      </c>
      <c r="H303" s="41">
        <v>0.22751622884655129</v>
      </c>
      <c r="I303" s="40">
        <v>72.485569823434986</v>
      </c>
      <c r="J303" s="41">
        <v>0.1104919697384904</v>
      </c>
      <c r="K303" s="9" t="s">
        <v>683</v>
      </c>
    </row>
    <row r="304" spans="1:11" x14ac:dyDescent="0.2">
      <c r="A304" s="9" t="s">
        <v>54</v>
      </c>
      <c r="B304" s="9" t="s">
        <v>243</v>
      </c>
      <c r="C304" s="9"/>
      <c r="D304" s="9" t="s">
        <v>82</v>
      </c>
      <c r="E304" s="38">
        <v>1065</v>
      </c>
      <c r="F304" s="39">
        <v>1491578</v>
      </c>
      <c r="G304" s="40">
        <v>1400.5427230046951</v>
      </c>
      <c r="H304" s="41">
        <v>0.34291907745755851</v>
      </c>
      <c r="I304" s="40">
        <v>220.79210328638499</v>
      </c>
      <c r="J304" s="41">
        <v>0.15764753167450851</v>
      </c>
      <c r="K304" s="9" t="s">
        <v>684</v>
      </c>
    </row>
    <row r="305" spans="1:11" x14ac:dyDescent="0.2">
      <c r="A305" s="9" t="s">
        <v>54</v>
      </c>
      <c r="B305" s="9" t="s">
        <v>461</v>
      </c>
      <c r="C305" s="9"/>
      <c r="D305" s="9" t="s">
        <v>76</v>
      </c>
      <c r="E305" s="38">
        <v>3652</v>
      </c>
      <c r="F305" s="39">
        <v>1514095</v>
      </c>
      <c r="G305" s="40">
        <v>414.59337349397589</v>
      </c>
      <c r="H305" s="41">
        <v>-0.12632949593344359</v>
      </c>
      <c r="I305" s="40">
        <v>90.715394304490687</v>
      </c>
      <c r="J305" s="41">
        <v>0.21880570241629491</v>
      </c>
      <c r="K305" s="9" t="s">
        <v>685</v>
      </c>
    </row>
    <row r="306" spans="1:11" x14ac:dyDescent="0.2">
      <c r="A306" s="9" t="s">
        <v>54</v>
      </c>
      <c r="B306" s="9" t="s">
        <v>686</v>
      </c>
      <c r="C306" s="9"/>
      <c r="D306" s="9" t="s">
        <v>81</v>
      </c>
      <c r="E306" s="38">
        <v>7870</v>
      </c>
      <c r="F306" s="39">
        <v>1697486</v>
      </c>
      <c r="G306" s="40">
        <v>215.6907242693774</v>
      </c>
      <c r="H306" s="41">
        <v>-6.2244142444290523E-2</v>
      </c>
      <c r="I306" s="40">
        <v>61.386299872935197</v>
      </c>
      <c r="J306" s="41">
        <v>0.28460333693473761</v>
      </c>
      <c r="K306" s="9" t="s">
        <v>687</v>
      </c>
    </row>
    <row r="307" spans="1:11" x14ac:dyDescent="0.2">
      <c r="A307" s="9" t="s">
        <v>54</v>
      </c>
      <c r="B307" s="9" t="s">
        <v>140</v>
      </c>
      <c r="C307" s="9"/>
      <c r="D307" s="9" t="s">
        <v>83</v>
      </c>
      <c r="E307" s="38">
        <v>6598</v>
      </c>
      <c r="F307" s="39">
        <v>3606472</v>
      </c>
      <c r="G307" s="40">
        <v>546.60078811761139</v>
      </c>
      <c r="H307" s="41">
        <v>8.2558463597648402E-3</v>
      </c>
      <c r="I307" s="40">
        <v>104.7422991815702</v>
      </c>
      <c r="J307" s="41">
        <v>0.1916248594193993</v>
      </c>
      <c r="K307" s="9" t="s">
        <v>688</v>
      </c>
    </row>
    <row r="308" spans="1:11" x14ac:dyDescent="0.2">
      <c r="A308" s="9" t="s">
        <v>54</v>
      </c>
      <c r="B308" s="9" t="s">
        <v>689</v>
      </c>
      <c r="C308" s="9"/>
      <c r="D308" s="9" t="s">
        <v>80</v>
      </c>
      <c r="E308" s="38">
        <v>592</v>
      </c>
      <c r="F308" s="39">
        <v>477602</v>
      </c>
      <c r="G308" s="40">
        <v>806.7601351351351</v>
      </c>
      <c r="H308" s="41">
        <v>3.0866844065000489E-2</v>
      </c>
      <c r="I308" s="40">
        <v>139.92513513513509</v>
      </c>
      <c r="J308" s="41">
        <v>0.17344081473695669</v>
      </c>
      <c r="K308" s="9" t="s">
        <v>690</v>
      </c>
    </row>
    <row r="309" spans="1:11" x14ac:dyDescent="0.2">
      <c r="A309" s="9" t="s">
        <v>54</v>
      </c>
      <c r="B309" s="9" t="s">
        <v>256</v>
      </c>
      <c r="C309" s="9"/>
      <c r="D309" s="9" t="s">
        <v>76</v>
      </c>
      <c r="E309" s="38">
        <v>2281</v>
      </c>
      <c r="F309" s="39">
        <v>1976225</v>
      </c>
      <c r="G309" s="40">
        <v>866.3853572994301</v>
      </c>
      <c r="H309" s="41">
        <v>-6.6535888104955462E-2</v>
      </c>
      <c r="I309" s="40">
        <v>7.3088469969311722</v>
      </c>
      <c r="J309" s="41">
        <v>8.4360232261002678E-3</v>
      </c>
      <c r="K309" s="9" t="s">
        <v>691</v>
      </c>
    </row>
    <row r="310" spans="1:11" x14ac:dyDescent="0.2">
      <c r="A310" s="9" t="s">
        <v>54</v>
      </c>
      <c r="B310" s="9" t="s">
        <v>258</v>
      </c>
      <c r="C310" s="9"/>
      <c r="D310" s="9" t="s">
        <v>78</v>
      </c>
      <c r="E310" s="38">
        <v>1453</v>
      </c>
      <c r="F310" s="39">
        <v>331201</v>
      </c>
      <c r="G310" s="40">
        <v>227.94287680660699</v>
      </c>
      <c r="H310" s="41">
        <v>-0.2145597844987425</v>
      </c>
      <c r="I310" s="40">
        <v>0</v>
      </c>
      <c r="J310" s="41">
        <v>0</v>
      </c>
      <c r="K310" s="9" t="s">
        <v>692</v>
      </c>
    </row>
    <row r="311" spans="1:11" x14ac:dyDescent="0.2">
      <c r="A311" s="9" t="s">
        <v>54</v>
      </c>
      <c r="B311" s="9" t="s">
        <v>473</v>
      </c>
      <c r="C311" s="9"/>
      <c r="D311" s="9" t="s">
        <v>86</v>
      </c>
      <c r="E311" s="38">
        <v>154181</v>
      </c>
      <c r="F311" s="39">
        <v>11800000</v>
      </c>
      <c r="G311" s="40">
        <v>76.533425000486446</v>
      </c>
      <c r="H311" s="41">
        <v>-5.6000000000000001E-2</v>
      </c>
      <c r="I311" s="40">
        <v>0.8195000032429417</v>
      </c>
      <c r="J311" s="41">
        <v>1.0707739830508481E-2</v>
      </c>
      <c r="K311" s="9" t="s">
        <v>693</v>
      </c>
    </row>
    <row r="312" spans="1:11" x14ac:dyDescent="0.2">
      <c r="A312" s="9" t="s">
        <v>54</v>
      </c>
      <c r="B312" s="9" t="s">
        <v>263</v>
      </c>
      <c r="C312" s="9"/>
      <c r="D312" s="9" t="s">
        <v>80</v>
      </c>
      <c r="E312" s="38">
        <v>1330</v>
      </c>
      <c r="F312" s="39">
        <v>829673</v>
      </c>
      <c r="G312" s="40">
        <v>623.81428571428569</v>
      </c>
      <c r="H312" s="41">
        <v>-9.0589755200711622E-2</v>
      </c>
      <c r="I312" s="40">
        <v>156.46799999999999</v>
      </c>
      <c r="J312" s="41">
        <v>0.25082465019351002</v>
      </c>
      <c r="K312" s="9" t="s">
        <v>694</v>
      </c>
    </row>
    <row r="313" spans="1:11" x14ac:dyDescent="0.2">
      <c r="A313" s="9" t="s">
        <v>54</v>
      </c>
      <c r="B313" s="9" t="s">
        <v>479</v>
      </c>
      <c r="C313" s="9"/>
      <c r="D313" s="9" t="s">
        <v>77</v>
      </c>
      <c r="E313" s="38">
        <v>6875</v>
      </c>
      <c r="F313" s="39">
        <v>5211172</v>
      </c>
      <c r="G313" s="40">
        <v>757.98865454545455</v>
      </c>
      <c r="H313" s="41"/>
      <c r="I313" s="40">
        <v>93.749284363636377</v>
      </c>
      <c r="J313" s="41">
        <v>0.12368164589462791</v>
      </c>
      <c r="K313" s="9" t="s">
        <v>695</v>
      </c>
    </row>
    <row r="314" spans="1:11" x14ac:dyDescent="0.2">
      <c r="A314" s="9" t="s">
        <v>54</v>
      </c>
      <c r="B314" s="9" t="s">
        <v>267</v>
      </c>
      <c r="C314" s="9"/>
      <c r="D314" s="9" t="s">
        <v>77</v>
      </c>
      <c r="E314" s="38">
        <v>1495</v>
      </c>
      <c r="F314" s="39">
        <v>1835063</v>
      </c>
      <c r="G314" s="40">
        <v>1227.466889632107</v>
      </c>
      <c r="H314" s="41">
        <v>-0.1293761180710932</v>
      </c>
      <c r="I314" s="40">
        <v>229.21789966555181</v>
      </c>
      <c r="J314" s="41">
        <v>0.18674059691683609</v>
      </c>
      <c r="K314" s="9" t="s">
        <v>696</v>
      </c>
    </row>
    <row r="315" spans="1:11" x14ac:dyDescent="0.2">
      <c r="A315" s="9" t="s">
        <v>54</v>
      </c>
      <c r="B315" s="9" t="s">
        <v>271</v>
      </c>
      <c r="C315" s="9"/>
      <c r="D315" s="9" t="s">
        <v>78</v>
      </c>
      <c r="E315" s="38">
        <v>1642</v>
      </c>
      <c r="F315" s="39">
        <v>3408958</v>
      </c>
      <c r="G315" s="40">
        <v>2076.1010962241171</v>
      </c>
      <c r="H315" s="41">
        <v>-5.8217416117260549E-2</v>
      </c>
      <c r="I315" s="40">
        <v>288.96570036540811</v>
      </c>
      <c r="J315" s="41">
        <v>0.13918671922622691</v>
      </c>
      <c r="K315" s="9" t="s">
        <v>697</v>
      </c>
    </row>
    <row r="316" spans="1:11" x14ac:dyDescent="0.2">
      <c r="A316" s="9" t="s">
        <v>54</v>
      </c>
      <c r="B316" s="9" t="s">
        <v>275</v>
      </c>
      <c r="C316" s="9"/>
      <c r="D316" s="9" t="s">
        <v>83</v>
      </c>
      <c r="E316" s="38">
        <v>4099</v>
      </c>
      <c r="F316" s="39">
        <v>2707851</v>
      </c>
      <c r="G316" s="40">
        <v>660.61258843620396</v>
      </c>
      <c r="H316" s="41">
        <v>-6.050693357248129E-2</v>
      </c>
      <c r="I316" s="40">
        <v>101.80939985362281</v>
      </c>
      <c r="J316" s="41">
        <v>0.15411362368165751</v>
      </c>
      <c r="K316" s="9" t="s">
        <v>698</v>
      </c>
    </row>
    <row r="317" spans="1:11" x14ac:dyDescent="0.2">
      <c r="A317" s="9" t="s">
        <v>54</v>
      </c>
      <c r="B317" s="9" t="s">
        <v>277</v>
      </c>
      <c r="C317" s="9"/>
      <c r="D317" s="9" t="s">
        <v>76</v>
      </c>
      <c r="E317" s="38">
        <v>554</v>
      </c>
      <c r="F317" s="39">
        <v>509523</v>
      </c>
      <c r="G317" s="40">
        <v>919.71660649819489</v>
      </c>
      <c r="H317" s="41">
        <v>-0.26711681544206017</v>
      </c>
      <c r="I317" s="40">
        <v>163.48848375451271</v>
      </c>
      <c r="J317" s="41">
        <v>0.17775963008539361</v>
      </c>
      <c r="K317" s="9" t="s">
        <v>699</v>
      </c>
    </row>
    <row r="318" spans="1:11" x14ac:dyDescent="0.2">
      <c r="A318" s="9" t="s">
        <v>54</v>
      </c>
      <c r="B318" s="9" t="s">
        <v>277</v>
      </c>
      <c r="C318" s="9"/>
      <c r="D318" s="9" t="s">
        <v>76</v>
      </c>
      <c r="E318" s="38">
        <v>1922</v>
      </c>
      <c r="F318" s="39">
        <v>2508721</v>
      </c>
      <c r="G318" s="40">
        <v>1305.265868886577</v>
      </c>
      <c r="H318" s="41">
        <v>-7.5263553593370669E-2</v>
      </c>
      <c r="I318" s="40">
        <v>178.51765348595211</v>
      </c>
      <c r="J318" s="41">
        <v>0.13676727304471081</v>
      </c>
      <c r="K318" s="9" t="s">
        <v>699</v>
      </c>
    </row>
    <row r="319" spans="1:11" x14ac:dyDescent="0.2">
      <c r="A319" s="9" t="s">
        <v>54</v>
      </c>
      <c r="B319" s="9" t="s">
        <v>281</v>
      </c>
      <c r="C319" s="9"/>
      <c r="D319" s="9" t="s">
        <v>80</v>
      </c>
      <c r="E319" s="38">
        <v>1499</v>
      </c>
      <c r="F319" s="39">
        <v>513920</v>
      </c>
      <c r="G319" s="40">
        <v>342.84189459639759</v>
      </c>
      <c r="H319" s="41">
        <v>5.2174985379270143E-2</v>
      </c>
      <c r="I319" s="40">
        <v>43.366684456304213</v>
      </c>
      <c r="J319" s="41">
        <v>0.12649178860523039</v>
      </c>
      <c r="K319" s="9" t="s">
        <v>700</v>
      </c>
    </row>
    <row r="320" spans="1:11" x14ac:dyDescent="0.2">
      <c r="A320" s="9" t="s">
        <v>54</v>
      </c>
      <c r="B320" s="9" t="s">
        <v>497</v>
      </c>
      <c r="C320" s="9"/>
      <c r="D320" s="9" t="s">
        <v>76</v>
      </c>
      <c r="E320" s="38">
        <v>2503</v>
      </c>
      <c r="F320" s="39">
        <v>747425</v>
      </c>
      <c r="G320" s="40">
        <v>298.61166600079912</v>
      </c>
      <c r="H320" s="41">
        <v>0.2387175228767609</v>
      </c>
      <c r="I320" s="40">
        <v>35.833415900918901</v>
      </c>
      <c r="J320" s="41">
        <v>0.12000005351707529</v>
      </c>
      <c r="K320" s="9" t="s">
        <v>701</v>
      </c>
    </row>
    <row r="321" spans="1:11" x14ac:dyDescent="0.2">
      <c r="A321" s="9" t="s">
        <v>54</v>
      </c>
      <c r="B321" s="9" t="s">
        <v>285</v>
      </c>
      <c r="C321" s="9"/>
      <c r="D321" s="9" t="s">
        <v>76</v>
      </c>
      <c r="E321" s="38">
        <v>3000</v>
      </c>
      <c r="F321" s="39">
        <v>6174022</v>
      </c>
      <c r="G321" s="40">
        <v>2058.007333333333</v>
      </c>
      <c r="H321" s="41">
        <v>6.1774060473587612E-2</v>
      </c>
      <c r="I321" s="40">
        <v>145.49732</v>
      </c>
      <c r="J321" s="41">
        <v>7.0698154298769911E-2</v>
      </c>
      <c r="K321" s="9" t="s">
        <v>702</v>
      </c>
    </row>
    <row r="322" spans="1:11" x14ac:dyDescent="0.2">
      <c r="A322" s="9" t="s">
        <v>54</v>
      </c>
      <c r="B322" s="9" t="s">
        <v>287</v>
      </c>
      <c r="C322" s="9"/>
      <c r="D322" s="9" t="s">
        <v>79</v>
      </c>
      <c r="E322" s="38">
        <v>1260</v>
      </c>
      <c r="F322" s="39">
        <v>1234968</v>
      </c>
      <c r="G322" s="40">
        <v>980.13333333333333</v>
      </c>
      <c r="H322" s="41">
        <v>-5.1112567462343723E-2</v>
      </c>
      <c r="I322" s="40">
        <v>106.2456984126984</v>
      </c>
      <c r="J322" s="41">
        <v>0.1083992297776137</v>
      </c>
      <c r="K322" s="9" t="s">
        <v>703</v>
      </c>
    </row>
    <row r="323" spans="1:11" x14ac:dyDescent="0.2">
      <c r="A323" s="9" t="s">
        <v>54</v>
      </c>
      <c r="B323" s="9" t="s">
        <v>289</v>
      </c>
      <c r="C323" s="9"/>
      <c r="D323" s="9" t="s">
        <v>79</v>
      </c>
      <c r="E323" s="38">
        <v>1100</v>
      </c>
      <c r="F323" s="39">
        <v>1029782</v>
      </c>
      <c r="G323" s="40">
        <v>936.16545454545451</v>
      </c>
      <c r="H323" s="41">
        <v>9.6953919062168728E-2</v>
      </c>
      <c r="I323" s="40">
        <v>293.66289999999998</v>
      </c>
      <c r="J323" s="41">
        <v>0.31368696481391212</v>
      </c>
      <c r="K323" s="9" t="s">
        <v>704</v>
      </c>
    </row>
    <row r="324" spans="1:11" x14ac:dyDescent="0.2">
      <c r="A324" s="9" t="s">
        <v>54</v>
      </c>
      <c r="B324" s="9" t="s">
        <v>502</v>
      </c>
      <c r="C324" s="9"/>
      <c r="D324" s="9" t="s">
        <v>86</v>
      </c>
      <c r="E324" s="38">
        <v>205000</v>
      </c>
      <c r="F324" s="39">
        <v>53000000</v>
      </c>
      <c r="G324" s="40">
        <v>258.53658536585368</v>
      </c>
      <c r="H324" s="41"/>
      <c r="I324" s="40">
        <v>1.46E-2</v>
      </c>
      <c r="J324" s="41">
        <v>5.6471698113207551E-5</v>
      </c>
      <c r="K324" s="9" t="s">
        <v>705</v>
      </c>
    </row>
    <row r="325" spans="1:11" x14ac:dyDescent="0.2">
      <c r="A325" s="9" t="s">
        <v>54</v>
      </c>
      <c r="B325" s="9" t="s">
        <v>508</v>
      </c>
      <c r="C325" s="9"/>
      <c r="D325" s="9" t="s">
        <v>76</v>
      </c>
      <c r="E325" s="38">
        <v>3295</v>
      </c>
      <c r="F325" s="39">
        <v>1019710</v>
      </c>
      <c r="G325" s="40">
        <v>309.47192716236731</v>
      </c>
      <c r="H325" s="41">
        <v>-0.14534568859291991</v>
      </c>
      <c r="I325" s="40">
        <v>143.94282245827009</v>
      </c>
      <c r="J325" s="41">
        <v>0.46512400584479902</v>
      </c>
      <c r="K325" s="9" t="s">
        <v>706</v>
      </c>
    </row>
    <row r="326" spans="1:11" x14ac:dyDescent="0.2">
      <c r="A326" s="9" t="s">
        <v>54</v>
      </c>
      <c r="B326" s="9" t="s">
        <v>301</v>
      </c>
      <c r="C326" s="9"/>
      <c r="D326" s="9" t="s">
        <v>82</v>
      </c>
      <c r="E326" s="38">
        <v>4485</v>
      </c>
      <c r="F326" s="39">
        <v>1712808</v>
      </c>
      <c r="G326" s="40">
        <v>381.89698996655522</v>
      </c>
      <c r="H326" s="41"/>
      <c r="I326" s="40">
        <v>64.902809364548489</v>
      </c>
      <c r="J326" s="41">
        <v>0.16994847058164139</v>
      </c>
      <c r="K326" s="9" t="s">
        <v>707</v>
      </c>
    </row>
    <row r="327" spans="1:11" x14ac:dyDescent="0.2">
      <c r="A327" s="9" t="s">
        <v>54</v>
      </c>
      <c r="B327" s="9" t="s">
        <v>708</v>
      </c>
      <c r="C327" s="9"/>
      <c r="D327" s="9" t="s">
        <v>80</v>
      </c>
      <c r="E327" s="38">
        <v>360</v>
      </c>
      <c r="F327" s="39">
        <v>205372</v>
      </c>
      <c r="G327" s="40">
        <v>570.47777777777776</v>
      </c>
      <c r="H327" s="41">
        <v>-0.34196702795119949</v>
      </c>
      <c r="I327" s="40">
        <v>206.28366666666659</v>
      </c>
      <c r="J327" s="41">
        <v>0.36159807568704588</v>
      </c>
      <c r="K327" s="9" t="s">
        <v>709</v>
      </c>
    </row>
    <row r="328" spans="1:11" x14ac:dyDescent="0.2">
      <c r="A328" s="9" t="s">
        <v>54</v>
      </c>
      <c r="B328" s="9" t="s">
        <v>710</v>
      </c>
      <c r="C328" s="9"/>
      <c r="D328" s="9" t="s">
        <v>76</v>
      </c>
      <c r="E328" s="38">
        <v>2680</v>
      </c>
      <c r="F328" s="39">
        <v>832721</v>
      </c>
      <c r="G328" s="40">
        <v>310.71679104477607</v>
      </c>
      <c r="H328" s="41">
        <v>1.4851307716619581E-2</v>
      </c>
      <c r="I328" s="40">
        <v>113.79610074626861</v>
      </c>
      <c r="J328" s="41">
        <v>0.3662373712203727</v>
      </c>
      <c r="K328" s="9" t="s">
        <v>711</v>
      </c>
    </row>
    <row r="329" spans="1:11" x14ac:dyDescent="0.2">
      <c r="A329" s="9" t="s">
        <v>54</v>
      </c>
      <c r="B329" s="9" t="s">
        <v>317</v>
      </c>
      <c r="C329" s="9"/>
      <c r="D329" s="9" t="s">
        <v>76</v>
      </c>
      <c r="E329" s="38">
        <v>4576</v>
      </c>
      <c r="F329" s="39">
        <v>1933045</v>
      </c>
      <c r="G329" s="40">
        <v>422.43116258741259</v>
      </c>
      <c r="H329" s="41">
        <v>-0.13119307181704101</v>
      </c>
      <c r="I329" s="40">
        <v>125.2057517482518</v>
      </c>
      <c r="J329" s="41">
        <v>0.29639326554736178</v>
      </c>
      <c r="K329" s="9" t="s">
        <v>712</v>
      </c>
    </row>
    <row r="330" spans="1:11" x14ac:dyDescent="0.2">
      <c r="A330" s="9" t="s">
        <v>54</v>
      </c>
      <c r="B330" s="9" t="s">
        <v>319</v>
      </c>
      <c r="C330" s="9"/>
      <c r="D330" s="9" t="s">
        <v>81</v>
      </c>
      <c r="E330" s="38">
        <v>1169</v>
      </c>
      <c r="F330" s="39">
        <v>1908500</v>
      </c>
      <c r="G330" s="40">
        <v>1632.591958939264</v>
      </c>
      <c r="H330" s="41">
        <v>0.18697842288275701</v>
      </c>
      <c r="I330" s="40">
        <v>271.70305389221562</v>
      </c>
      <c r="J330" s="41">
        <v>0.1664243489651559</v>
      </c>
      <c r="K330" s="9" t="s">
        <v>713</v>
      </c>
    </row>
    <row r="331" spans="1:11" x14ac:dyDescent="0.2">
      <c r="A331" s="9" t="s">
        <v>54</v>
      </c>
      <c r="B331" s="9" t="s">
        <v>321</v>
      </c>
      <c r="C331" s="9"/>
      <c r="D331" s="9" t="s">
        <v>78</v>
      </c>
      <c r="E331" s="38">
        <v>980</v>
      </c>
      <c r="F331" s="39">
        <v>2152056</v>
      </c>
      <c r="G331" s="40">
        <v>2195.9755102040822</v>
      </c>
      <c r="H331" s="41">
        <v>-5.0163837240635938E-2</v>
      </c>
      <c r="I331" s="40">
        <v>179.8615102040817</v>
      </c>
      <c r="J331" s="41">
        <v>8.1905061950060795E-2</v>
      </c>
      <c r="K331" s="9" t="s">
        <v>714</v>
      </c>
    </row>
    <row r="332" spans="1:11" x14ac:dyDescent="0.2">
      <c r="A332" s="9" t="s">
        <v>54</v>
      </c>
      <c r="B332" s="9" t="s">
        <v>715</v>
      </c>
      <c r="C332" s="9"/>
      <c r="D332" s="9" t="s">
        <v>76</v>
      </c>
      <c r="E332" s="38">
        <v>7227</v>
      </c>
      <c r="F332" s="39">
        <v>3904184</v>
      </c>
      <c r="G332" s="40">
        <v>540.22194548221944</v>
      </c>
      <c r="H332" s="41">
        <v>-0.17478213741053089</v>
      </c>
      <c r="I332" s="40">
        <v>110.720204787602</v>
      </c>
      <c r="J332" s="41">
        <v>0.20495317843626221</v>
      </c>
      <c r="K332" s="9" t="s">
        <v>716</v>
      </c>
    </row>
    <row r="333" spans="1:11" x14ac:dyDescent="0.2">
      <c r="A333" s="9" t="s">
        <v>54</v>
      </c>
      <c r="B333" s="9" t="s">
        <v>335</v>
      </c>
      <c r="C333" s="9"/>
      <c r="D333" s="9" t="s">
        <v>76</v>
      </c>
      <c r="E333" s="38">
        <v>1345</v>
      </c>
      <c r="F333" s="39">
        <v>686390</v>
      </c>
      <c r="G333" s="40">
        <v>510.32713754646841</v>
      </c>
      <c r="H333" s="41">
        <v>4.7417592414315722E-2</v>
      </c>
      <c r="I333" s="40">
        <v>85.46860223048327</v>
      </c>
      <c r="J333" s="41">
        <v>0.16747806640539639</v>
      </c>
      <c r="K333" s="9" t="s">
        <v>717</v>
      </c>
    </row>
    <row r="334" spans="1:11" x14ac:dyDescent="0.2">
      <c r="A334" s="9" t="s">
        <v>54</v>
      </c>
      <c r="B334" s="9" t="s">
        <v>718</v>
      </c>
      <c r="C334" s="9"/>
      <c r="D334" s="9" t="s">
        <v>76</v>
      </c>
      <c r="E334" s="38">
        <v>1065</v>
      </c>
      <c r="F334" s="39">
        <v>604747</v>
      </c>
      <c r="G334" s="40">
        <v>567.83755868544597</v>
      </c>
      <c r="H334" s="41">
        <v>1.7481449519088921E-2</v>
      </c>
      <c r="I334" s="40">
        <v>163.41011267605629</v>
      </c>
      <c r="J334" s="41">
        <v>0.2877761609400295</v>
      </c>
      <c r="K334" s="9" t="s">
        <v>719</v>
      </c>
    </row>
    <row r="335" spans="1:11" x14ac:dyDescent="0.2">
      <c r="A335" s="9" t="s">
        <v>54</v>
      </c>
      <c r="B335" s="9" t="s">
        <v>339</v>
      </c>
      <c r="C335" s="9"/>
      <c r="D335" s="9" t="s">
        <v>80</v>
      </c>
      <c r="E335" s="38">
        <v>757</v>
      </c>
      <c r="F335" s="39">
        <v>781164</v>
      </c>
      <c r="G335" s="40">
        <v>1031.920739762219</v>
      </c>
      <c r="H335" s="41">
        <v>8.8805329948090594E-2</v>
      </c>
      <c r="I335" s="40">
        <v>194.5284940554821</v>
      </c>
      <c r="J335" s="41">
        <v>0.18851108089978541</v>
      </c>
      <c r="K335" s="9" t="s">
        <v>720</v>
      </c>
    </row>
    <row r="336" spans="1:11" x14ac:dyDescent="0.2">
      <c r="A336" s="9" t="s">
        <v>54</v>
      </c>
      <c r="B336" s="9" t="s">
        <v>721</v>
      </c>
      <c r="C336" s="9"/>
      <c r="D336" s="9" t="s">
        <v>81</v>
      </c>
      <c r="E336" s="38">
        <v>9188</v>
      </c>
      <c r="F336" s="39">
        <v>4873361</v>
      </c>
      <c r="G336" s="40">
        <v>530.40498476273399</v>
      </c>
      <c r="H336" s="41">
        <v>8.8241292107250194E-2</v>
      </c>
      <c r="I336" s="40">
        <v>35.798469743143229</v>
      </c>
      <c r="J336" s="41">
        <v>6.7492709856708744E-2</v>
      </c>
      <c r="K336" s="9" t="s">
        <v>722</v>
      </c>
    </row>
    <row r="337" spans="1:11" x14ac:dyDescent="0.2">
      <c r="A337" s="9" t="s">
        <v>54</v>
      </c>
      <c r="B337" s="9" t="s">
        <v>341</v>
      </c>
      <c r="C337" s="9"/>
      <c r="D337" s="9" t="s">
        <v>80</v>
      </c>
      <c r="E337" s="38">
        <v>1150</v>
      </c>
      <c r="F337" s="39">
        <v>814718</v>
      </c>
      <c r="G337" s="40">
        <v>708.45043478260868</v>
      </c>
      <c r="H337" s="41">
        <v>-5.482671730296703E-2</v>
      </c>
      <c r="I337" s="40">
        <v>133.53169565217391</v>
      </c>
      <c r="J337" s="41">
        <v>0.18848417489241681</v>
      </c>
      <c r="K337" s="9" t="s">
        <v>723</v>
      </c>
    </row>
    <row r="338" spans="1:11" x14ac:dyDescent="0.2">
      <c r="A338" s="9" t="s">
        <v>54</v>
      </c>
      <c r="B338" s="9" t="s">
        <v>343</v>
      </c>
      <c r="C338" s="9"/>
      <c r="D338" s="9" t="s">
        <v>79</v>
      </c>
      <c r="E338" s="38">
        <v>5528</v>
      </c>
      <c r="F338" s="39">
        <v>12037659</v>
      </c>
      <c r="G338" s="40">
        <v>2177.5794138929091</v>
      </c>
      <c r="H338" s="41">
        <v>0.35117367916774622</v>
      </c>
      <c r="I338" s="40">
        <v>173.52608357452971</v>
      </c>
      <c r="J338" s="41">
        <v>7.9687602880261027E-2</v>
      </c>
      <c r="K338" s="9" t="s">
        <v>724</v>
      </c>
    </row>
    <row r="339" spans="1:11" x14ac:dyDescent="0.2">
      <c r="A339" s="9" t="s">
        <v>54</v>
      </c>
      <c r="B339" s="9" t="s">
        <v>725</v>
      </c>
      <c r="C339" s="9"/>
      <c r="D339" s="9" t="s">
        <v>77</v>
      </c>
      <c r="E339" s="38">
        <v>5620</v>
      </c>
      <c r="F339" s="39">
        <v>2958537</v>
      </c>
      <c r="G339" s="40">
        <v>526.43007117437719</v>
      </c>
      <c r="H339" s="41">
        <v>4.2363837114877859E-2</v>
      </c>
      <c r="I339" s="40">
        <v>55.609880782918147</v>
      </c>
      <c r="J339" s="41">
        <v>0.1056358362258103</v>
      </c>
      <c r="K339" s="9" t="s">
        <v>726</v>
      </c>
    </row>
    <row r="340" spans="1:11" x14ac:dyDescent="0.2">
      <c r="A340" s="9" t="s">
        <v>54</v>
      </c>
      <c r="B340" s="9" t="s">
        <v>727</v>
      </c>
      <c r="C340" s="9"/>
      <c r="D340" s="9" t="s">
        <v>77</v>
      </c>
      <c r="E340" s="38">
        <v>3617</v>
      </c>
      <c r="F340" s="39">
        <v>5182270</v>
      </c>
      <c r="G340" s="40">
        <v>1432.7536632568431</v>
      </c>
      <c r="H340" s="41">
        <v>-8.0269128298281867E-2</v>
      </c>
      <c r="I340" s="40">
        <v>115.61768039812</v>
      </c>
      <c r="J340" s="41">
        <v>8.0696133161722569E-2</v>
      </c>
      <c r="K340" s="9" t="s">
        <v>728</v>
      </c>
    </row>
    <row r="341" spans="1:11" x14ac:dyDescent="0.2">
      <c r="A341" s="9" t="s">
        <v>54</v>
      </c>
      <c r="B341" s="9" t="s">
        <v>727</v>
      </c>
      <c r="C341" s="9"/>
      <c r="D341" s="9" t="s">
        <v>77</v>
      </c>
      <c r="E341" s="38">
        <v>2506</v>
      </c>
      <c r="F341" s="39">
        <v>2862953</v>
      </c>
      <c r="G341" s="40">
        <v>1142.4393455706299</v>
      </c>
      <c r="H341" s="41">
        <v>-7.9668494185052646E-2</v>
      </c>
      <c r="I341" s="40">
        <v>101.8131723862729</v>
      </c>
      <c r="J341" s="41">
        <v>8.9119105343329078E-2</v>
      </c>
      <c r="K341" s="9" t="s">
        <v>728</v>
      </c>
    </row>
    <row r="342" spans="1:11" x14ac:dyDescent="0.2">
      <c r="A342" s="9" t="s">
        <v>54</v>
      </c>
      <c r="B342" s="9" t="s">
        <v>355</v>
      </c>
      <c r="C342" s="9"/>
      <c r="D342" s="9" t="s">
        <v>82</v>
      </c>
      <c r="E342" s="38">
        <v>2018</v>
      </c>
      <c r="F342" s="39">
        <v>1602606</v>
      </c>
      <c r="G342" s="40">
        <v>794.15559960356791</v>
      </c>
      <c r="H342" s="41">
        <v>-4.443171809608621E-2</v>
      </c>
      <c r="I342" s="40">
        <v>0</v>
      </c>
      <c r="J342" s="41">
        <v>0</v>
      </c>
      <c r="K342" s="9" t="s">
        <v>729</v>
      </c>
    </row>
    <row r="343" spans="1:11" x14ac:dyDescent="0.2">
      <c r="A343" s="9" t="s">
        <v>54</v>
      </c>
      <c r="B343" s="9" t="s">
        <v>357</v>
      </c>
      <c r="C343" s="9"/>
      <c r="D343" s="9" t="s">
        <v>76</v>
      </c>
      <c r="E343" s="38">
        <v>637</v>
      </c>
      <c r="F343" s="39">
        <v>1222062</v>
      </c>
      <c r="G343" s="40">
        <v>1918.464678178964</v>
      </c>
      <c r="H343" s="41">
        <v>-5.9687131012257727E-2</v>
      </c>
      <c r="I343" s="40">
        <v>249.72673469387749</v>
      </c>
      <c r="J343" s="41">
        <v>0.13017009775281449</v>
      </c>
      <c r="K343" s="9" t="s">
        <v>730</v>
      </c>
    </row>
    <row r="344" spans="1:11" x14ac:dyDescent="0.2">
      <c r="A344" s="9" t="s">
        <v>54</v>
      </c>
      <c r="B344" s="9" t="s">
        <v>731</v>
      </c>
      <c r="C344" s="9"/>
      <c r="D344" s="9" t="s">
        <v>78</v>
      </c>
      <c r="E344" s="38">
        <v>1044</v>
      </c>
      <c r="F344" s="39">
        <v>606646</v>
      </c>
      <c r="G344" s="40">
        <v>581.07854406130264</v>
      </c>
      <c r="H344" s="41">
        <v>-7.0754913651487228E-2</v>
      </c>
      <c r="I344" s="40">
        <v>105.0358620689655</v>
      </c>
      <c r="J344" s="41">
        <v>0.18076017974238681</v>
      </c>
      <c r="K344" s="9" t="s">
        <v>732</v>
      </c>
    </row>
    <row r="345" spans="1:11" x14ac:dyDescent="0.2">
      <c r="A345" s="9" t="s">
        <v>54</v>
      </c>
      <c r="B345" s="9" t="s">
        <v>733</v>
      </c>
      <c r="C345" s="9"/>
      <c r="D345" s="9" t="s">
        <v>80</v>
      </c>
      <c r="E345" s="38">
        <v>987</v>
      </c>
      <c r="F345" s="39">
        <v>701496</v>
      </c>
      <c r="G345" s="40">
        <v>710.73556231003045</v>
      </c>
      <c r="H345" s="41">
        <v>8.6036606013081218E-2</v>
      </c>
      <c r="I345" s="40">
        <v>197.19378926038499</v>
      </c>
      <c r="J345" s="41">
        <v>0.2774502919474951</v>
      </c>
      <c r="K345" s="9" t="s">
        <v>734</v>
      </c>
    </row>
    <row r="346" spans="1:11" x14ac:dyDescent="0.2">
      <c r="A346" s="9" t="s">
        <v>54</v>
      </c>
      <c r="B346" s="9" t="s">
        <v>550</v>
      </c>
      <c r="C346" s="9"/>
      <c r="D346" s="9" t="s">
        <v>76</v>
      </c>
      <c r="E346" s="38">
        <v>4365</v>
      </c>
      <c r="F346" s="39">
        <v>1606621</v>
      </c>
      <c r="G346" s="40">
        <v>368.06895761741117</v>
      </c>
      <c r="H346" s="41">
        <v>-7.4273286380745152E-2</v>
      </c>
      <c r="I346" s="40">
        <v>60.970343642611681</v>
      </c>
      <c r="J346" s="41">
        <v>0.16564924148258989</v>
      </c>
      <c r="K346" s="9" t="s">
        <v>735</v>
      </c>
    </row>
    <row r="347" spans="1:11" x14ac:dyDescent="0.2">
      <c r="A347" s="9" t="s">
        <v>54</v>
      </c>
      <c r="B347" s="9" t="s">
        <v>367</v>
      </c>
      <c r="C347" s="9"/>
      <c r="D347" s="9" t="s">
        <v>76</v>
      </c>
      <c r="E347" s="38">
        <v>6438</v>
      </c>
      <c r="F347" s="39">
        <v>2405582</v>
      </c>
      <c r="G347" s="40">
        <v>373.65361913637781</v>
      </c>
      <c r="H347" s="41">
        <v>-0.16707173228427391</v>
      </c>
      <c r="I347" s="40">
        <v>114.09381484933211</v>
      </c>
      <c r="J347" s="41">
        <v>0.30534647332745263</v>
      </c>
      <c r="K347" s="9" t="s">
        <v>736</v>
      </c>
    </row>
    <row r="348" spans="1:11" x14ac:dyDescent="0.2">
      <c r="A348" s="9" t="s">
        <v>54</v>
      </c>
      <c r="B348" s="9" t="s">
        <v>369</v>
      </c>
      <c r="C348" s="9"/>
      <c r="D348" s="9" t="s">
        <v>84</v>
      </c>
      <c r="E348" s="38">
        <v>1244</v>
      </c>
      <c r="F348" s="39">
        <v>301163</v>
      </c>
      <c r="G348" s="40">
        <v>242.09244372990361</v>
      </c>
      <c r="H348" s="41">
        <v>-6.8189951735055432E-2</v>
      </c>
      <c r="I348" s="40">
        <v>113.9122990353698</v>
      </c>
      <c r="J348" s="41">
        <v>0.47053223669574279</v>
      </c>
      <c r="K348" s="9" t="s">
        <v>737</v>
      </c>
    </row>
    <row r="349" spans="1:11" x14ac:dyDescent="0.2">
      <c r="A349" s="9" t="s">
        <v>54</v>
      </c>
      <c r="B349" s="9" t="s">
        <v>371</v>
      </c>
      <c r="C349" s="9"/>
      <c r="D349" s="9" t="s">
        <v>76</v>
      </c>
      <c r="E349" s="38">
        <v>2623</v>
      </c>
      <c r="F349" s="39">
        <v>1004090</v>
      </c>
      <c r="G349" s="40">
        <v>382.80213495996952</v>
      </c>
      <c r="H349" s="41">
        <v>-7.1578055407292146E-2</v>
      </c>
      <c r="I349" s="40">
        <v>0</v>
      </c>
      <c r="J349" s="41">
        <v>0</v>
      </c>
      <c r="K349" s="9" t="s">
        <v>738</v>
      </c>
    </row>
    <row r="350" spans="1:11" x14ac:dyDescent="0.2">
      <c r="A350" s="9" t="s">
        <v>54</v>
      </c>
      <c r="B350" s="9" t="s">
        <v>371</v>
      </c>
      <c r="C350" s="9"/>
      <c r="D350" s="9" t="s">
        <v>76</v>
      </c>
      <c r="E350" s="38">
        <v>2431</v>
      </c>
      <c r="F350" s="39">
        <v>278304</v>
      </c>
      <c r="G350" s="40">
        <v>114.4812834224599</v>
      </c>
      <c r="H350" s="41"/>
      <c r="I350" s="40">
        <v>57.594105306458253</v>
      </c>
      <c r="J350" s="41">
        <v>0.50308752299643555</v>
      </c>
      <c r="K350" s="9" t="s">
        <v>738</v>
      </c>
    </row>
    <row r="351" spans="1:11" x14ac:dyDescent="0.2">
      <c r="A351" s="9" t="s">
        <v>54</v>
      </c>
      <c r="B351" s="9" t="s">
        <v>384</v>
      </c>
      <c r="C351" s="9"/>
      <c r="D351" s="9" t="s">
        <v>77</v>
      </c>
      <c r="E351" s="38">
        <v>3531</v>
      </c>
      <c r="F351" s="39">
        <v>2709736</v>
      </c>
      <c r="G351" s="40">
        <v>767.4131973945058</v>
      </c>
      <c r="H351" s="41">
        <v>-0.16716793325232429</v>
      </c>
      <c r="I351" s="40">
        <v>197.62242424242419</v>
      </c>
      <c r="J351" s="41">
        <v>0.25751762533324279</v>
      </c>
      <c r="K351" s="9" t="s">
        <v>739</v>
      </c>
    </row>
    <row r="352" spans="1:11" x14ac:dyDescent="0.2">
      <c r="A352" s="9" t="s">
        <v>54</v>
      </c>
      <c r="B352" s="9" t="s">
        <v>388</v>
      </c>
      <c r="C352" s="9"/>
      <c r="D352" s="9" t="s">
        <v>76</v>
      </c>
      <c r="E352" s="38">
        <v>9762</v>
      </c>
      <c r="F352" s="39">
        <v>6769328</v>
      </c>
      <c r="G352" s="40">
        <v>693.43659086252819</v>
      </c>
      <c r="H352" s="41">
        <v>-7.8625118508274291E-2</v>
      </c>
      <c r="I352" s="40">
        <v>88.856639008399924</v>
      </c>
      <c r="J352" s="41">
        <v>0.1281395302458383</v>
      </c>
      <c r="K352" s="9" t="s">
        <v>740</v>
      </c>
    </row>
    <row r="353" spans="1:11" x14ac:dyDescent="0.2">
      <c r="A353" s="9" t="s">
        <v>54</v>
      </c>
      <c r="B353" s="9" t="s">
        <v>741</v>
      </c>
      <c r="C353" s="9"/>
      <c r="D353" s="9" t="s">
        <v>80</v>
      </c>
      <c r="E353" s="38">
        <v>500</v>
      </c>
      <c r="F353" s="39">
        <v>707535</v>
      </c>
      <c r="G353" s="40">
        <v>1415.07</v>
      </c>
      <c r="H353" s="41">
        <v>-1.1820302810578869E-2</v>
      </c>
      <c r="I353" s="40">
        <v>299.94308000000001</v>
      </c>
      <c r="J353" s="41">
        <v>0.21196342230419701</v>
      </c>
      <c r="K353" s="9" t="s">
        <v>742</v>
      </c>
    </row>
    <row r="354" spans="1:11" x14ac:dyDescent="0.2">
      <c r="A354" s="9" t="s">
        <v>54</v>
      </c>
      <c r="B354" s="9" t="s">
        <v>571</v>
      </c>
      <c r="C354" s="9"/>
      <c r="D354" s="9" t="s">
        <v>76</v>
      </c>
      <c r="E354" s="38">
        <v>3219</v>
      </c>
      <c r="F354" s="39">
        <v>493283</v>
      </c>
      <c r="G354" s="40">
        <v>153.24106865486169</v>
      </c>
      <c r="H354" s="41">
        <v>0.48776259239068431</v>
      </c>
      <c r="I354" s="40">
        <v>20.941901211556381</v>
      </c>
      <c r="J354" s="41">
        <v>0.13665984840345199</v>
      </c>
      <c r="K354" s="9" t="s">
        <v>743</v>
      </c>
    </row>
    <row r="355" spans="1:11" x14ac:dyDescent="0.2">
      <c r="A355" s="9" t="s">
        <v>54</v>
      </c>
      <c r="B355" s="9" t="s">
        <v>392</v>
      </c>
      <c r="C355" s="9"/>
      <c r="D355" s="9" t="s">
        <v>76</v>
      </c>
      <c r="E355" s="38">
        <v>3023</v>
      </c>
      <c r="F355" s="39">
        <v>1673761</v>
      </c>
      <c r="G355" s="40">
        <v>553.67548792590139</v>
      </c>
      <c r="H355" s="41">
        <v>-1.6577353553951259E-2</v>
      </c>
      <c r="I355" s="40">
        <v>96.04285147204763</v>
      </c>
      <c r="J355" s="41">
        <v>0.1734641564715631</v>
      </c>
      <c r="K355" s="9" t="s">
        <v>744</v>
      </c>
    </row>
    <row r="356" spans="1:11" x14ac:dyDescent="0.2">
      <c r="A356" s="9" t="s">
        <v>54</v>
      </c>
      <c r="B356" s="9" t="s">
        <v>396</v>
      </c>
      <c r="C356" s="9"/>
      <c r="D356" s="9" t="s">
        <v>78</v>
      </c>
      <c r="E356" s="38">
        <v>1600</v>
      </c>
      <c r="F356" s="39">
        <v>2753502</v>
      </c>
      <c r="G356" s="40">
        <v>1720.93875</v>
      </c>
      <c r="H356" s="41">
        <v>-5.2464316572955208E-2</v>
      </c>
      <c r="I356" s="40">
        <v>0</v>
      </c>
      <c r="J356" s="41">
        <v>0</v>
      </c>
      <c r="K356" s="9" t="s">
        <v>745</v>
      </c>
    </row>
    <row r="357" spans="1:11" x14ac:dyDescent="0.2">
      <c r="A357" s="9" t="s">
        <v>54</v>
      </c>
      <c r="B357" s="9" t="s">
        <v>398</v>
      </c>
      <c r="C357" s="9"/>
      <c r="D357" s="9" t="s">
        <v>76</v>
      </c>
      <c r="E357" s="38">
        <v>2549</v>
      </c>
      <c r="F357" s="39">
        <v>2176478</v>
      </c>
      <c r="G357" s="40">
        <v>853.85562965868974</v>
      </c>
      <c r="H357" s="41">
        <v>-0.1684272793363949</v>
      </c>
      <c r="I357" s="40">
        <v>45.342781482934491</v>
      </c>
      <c r="J357" s="41">
        <v>5.3103569160818542E-2</v>
      </c>
      <c r="K357" s="9" t="s">
        <v>746</v>
      </c>
    </row>
    <row r="358" spans="1:11" x14ac:dyDescent="0.2">
      <c r="A358" s="9" t="s">
        <v>21</v>
      </c>
      <c r="B358" s="9" t="s">
        <v>747</v>
      </c>
      <c r="C358" s="9"/>
      <c r="D358" s="9" t="s">
        <v>85</v>
      </c>
      <c r="E358" s="38">
        <v>10454</v>
      </c>
      <c r="F358" s="39">
        <v>0</v>
      </c>
      <c r="G358" s="40"/>
      <c r="H358" s="41"/>
      <c r="I358" s="40">
        <v>27.589152477520571</v>
      </c>
      <c r="J358" s="41"/>
      <c r="K358" s="9" t="s">
        <v>748</v>
      </c>
    </row>
    <row r="359" spans="1:11" x14ac:dyDescent="0.2">
      <c r="A359" s="9" t="s">
        <v>21</v>
      </c>
      <c r="B359" s="9" t="s">
        <v>749</v>
      </c>
      <c r="C359" s="9"/>
      <c r="D359" s="9" t="s">
        <v>76</v>
      </c>
      <c r="E359" s="38">
        <v>2622</v>
      </c>
      <c r="F359" s="39">
        <v>0</v>
      </c>
      <c r="G359" s="40"/>
      <c r="H359" s="41"/>
      <c r="I359" s="40">
        <v>19.355453852021359</v>
      </c>
      <c r="J359" s="41"/>
      <c r="K359" s="9" t="s">
        <v>750</v>
      </c>
    </row>
    <row r="360" spans="1:11" x14ac:dyDescent="0.2">
      <c r="A360" s="9" t="s">
        <v>21</v>
      </c>
      <c r="B360" s="9" t="s">
        <v>171</v>
      </c>
      <c r="C360" s="9"/>
      <c r="D360" s="9" t="s">
        <v>84</v>
      </c>
      <c r="E360" s="38">
        <v>2807</v>
      </c>
      <c r="F360" s="39">
        <v>3029873</v>
      </c>
      <c r="G360" s="40">
        <v>1079.3990024937659</v>
      </c>
      <c r="H360" s="41">
        <v>-7.4631857340500027E-2</v>
      </c>
      <c r="I360" s="40">
        <v>87.793017456359095</v>
      </c>
      <c r="J360" s="41">
        <v>8.133509226294304E-2</v>
      </c>
      <c r="K360" s="9" t="s">
        <v>751</v>
      </c>
    </row>
    <row r="361" spans="1:11" x14ac:dyDescent="0.2">
      <c r="A361" s="9" t="s">
        <v>21</v>
      </c>
      <c r="B361" s="9" t="s">
        <v>752</v>
      </c>
      <c r="C361" s="9"/>
      <c r="D361" s="9" t="s">
        <v>81</v>
      </c>
      <c r="E361" s="38">
        <v>7560</v>
      </c>
      <c r="F361" s="39">
        <v>2160027</v>
      </c>
      <c r="G361" s="40">
        <v>285.71785714285721</v>
      </c>
      <c r="H361" s="41">
        <v>-3.6570997988807433E-2</v>
      </c>
      <c r="I361" s="40">
        <v>19.047619047619051</v>
      </c>
      <c r="J361" s="41">
        <v>6.666583334374987E-2</v>
      </c>
      <c r="K361" s="9" t="s">
        <v>753</v>
      </c>
    </row>
    <row r="362" spans="1:11" x14ac:dyDescent="0.2">
      <c r="A362" s="9" t="s">
        <v>21</v>
      </c>
      <c r="B362" s="9" t="s">
        <v>179</v>
      </c>
      <c r="C362" s="9"/>
      <c r="D362" s="9" t="s">
        <v>79</v>
      </c>
      <c r="E362" s="38">
        <v>3169</v>
      </c>
      <c r="F362" s="39">
        <v>1013159</v>
      </c>
      <c r="G362" s="40">
        <v>319.70937204165352</v>
      </c>
      <c r="H362" s="41">
        <v>-2.1951133849233761E-2</v>
      </c>
      <c r="I362" s="40">
        <v>15.98546860208268</v>
      </c>
      <c r="J362" s="41">
        <v>0.05</v>
      </c>
      <c r="K362" s="9" t="s">
        <v>754</v>
      </c>
    </row>
    <row r="363" spans="1:11" x14ac:dyDescent="0.2">
      <c r="A363" s="9" t="s">
        <v>21</v>
      </c>
      <c r="B363" s="9" t="s">
        <v>755</v>
      </c>
      <c r="C363" s="9"/>
      <c r="D363" s="9" t="s">
        <v>86</v>
      </c>
      <c r="E363" s="38">
        <v>30392</v>
      </c>
      <c r="F363" s="39">
        <v>0</v>
      </c>
      <c r="G363" s="40"/>
      <c r="H363" s="41"/>
      <c r="I363" s="40">
        <v>13.50954198473282</v>
      </c>
      <c r="J363" s="41"/>
      <c r="K363" s="9" t="s">
        <v>756</v>
      </c>
    </row>
    <row r="364" spans="1:11" x14ac:dyDescent="0.2">
      <c r="A364" s="9" t="s">
        <v>21</v>
      </c>
      <c r="B364" s="9" t="s">
        <v>420</v>
      </c>
      <c r="C364" s="9"/>
      <c r="D364" s="9" t="s">
        <v>78</v>
      </c>
      <c r="E364" s="38">
        <v>1406</v>
      </c>
      <c r="F364" s="39">
        <v>581154</v>
      </c>
      <c r="G364" s="40">
        <v>413.3385490753912</v>
      </c>
      <c r="H364" s="41">
        <v>-4.9706198900150218E-2</v>
      </c>
      <c r="I364" s="40">
        <v>77.184921763869127</v>
      </c>
      <c r="J364" s="41">
        <v>0.18673535758163931</v>
      </c>
      <c r="K364" s="9" t="s">
        <v>757</v>
      </c>
    </row>
    <row r="365" spans="1:11" x14ac:dyDescent="0.2">
      <c r="A365" s="9" t="s">
        <v>21</v>
      </c>
      <c r="B365" s="9" t="s">
        <v>198</v>
      </c>
      <c r="C365" s="9"/>
      <c r="D365" s="9" t="s">
        <v>86</v>
      </c>
      <c r="E365" s="38">
        <v>61531</v>
      </c>
      <c r="F365" s="39">
        <v>0</v>
      </c>
      <c r="G365" s="40"/>
      <c r="H365" s="41">
        <v>-1.537078049080707E-3</v>
      </c>
      <c r="I365" s="40">
        <v>11.981749037070751</v>
      </c>
      <c r="J365" s="41"/>
      <c r="K365" s="9" t="s">
        <v>758</v>
      </c>
    </row>
    <row r="366" spans="1:11" x14ac:dyDescent="0.2">
      <c r="A366" s="9" t="s">
        <v>21</v>
      </c>
      <c r="B366" s="9" t="s">
        <v>759</v>
      </c>
      <c r="C366" s="9"/>
      <c r="D366" s="9" t="s">
        <v>76</v>
      </c>
      <c r="E366" s="38">
        <v>2892</v>
      </c>
      <c r="F366" s="39">
        <v>839747.26</v>
      </c>
      <c r="G366" s="40">
        <v>290.36903872752418</v>
      </c>
      <c r="H366" s="41">
        <v>-0.14608472162195399</v>
      </c>
      <c r="I366" s="40">
        <v>25.985477178423231</v>
      </c>
      <c r="J366" s="41">
        <v>8.9491211915356528E-2</v>
      </c>
      <c r="K366" s="9" t="s">
        <v>760</v>
      </c>
    </row>
    <row r="367" spans="1:11" x14ac:dyDescent="0.2">
      <c r="A367" s="9" t="s">
        <v>21</v>
      </c>
      <c r="B367" s="9" t="s">
        <v>208</v>
      </c>
      <c r="C367" s="9"/>
      <c r="D367" s="9" t="s">
        <v>78</v>
      </c>
      <c r="E367" s="38">
        <v>1280</v>
      </c>
      <c r="F367" s="39">
        <v>342620</v>
      </c>
      <c r="G367" s="40">
        <v>267.671875</v>
      </c>
      <c r="H367" s="41">
        <v>-2.3221624186240089E-2</v>
      </c>
      <c r="I367" s="40">
        <v>29.016406249999999</v>
      </c>
      <c r="J367" s="41">
        <v>0.1084028953359407</v>
      </c>
      <c r="K367" s="9" t="s">
        <v>761</v>
      </c>
    </row>
    <row r="368" spans="1:11" x14ac:dyDescent="0.2">
      <c r="A368" s="9" t="s">
        <v>21</v>
      </c>
      <c r="B368" s="9" t="s">
        <v>762</v>
      </c>
      <c r="C368" s="9"/>
      <c r="D368" s="9" t="s">
        <v>85</v>
      </c>
      <c r="E368" s="38">
        <v>10345</v>
      </c>
      <c r="F368" s="39">
        <v>0</v>
      </c>
      <c r="G368" s="40"/>
      <c r="H368" s="41"/>
      <c r="I368" s="40">
        <v>27.923441275978739</v>
      </c>
      <c r="J368" s="41"/>
      <c r="K368" s="9" t="s">
        <v>763</v>
      </c>
    </row>
    <row r="369" spans="1:11" x14ac:dyDescent="0.2">
      <c r="A369" s="9" t="s">
        <v>21</v>
      </c>
      <c r="B369" s="9" t="s">
        <v>764</v>
      </c>
      <c r="C369" s="9"/>
      <c r="D369" s="9" t="s">
        <v>80</v>
      </c>
      <c r="E369" s="38">
        <v>1374</v>
      </c>
      <c r="F369" s="39">
        <v>147245.35</v>
      </c>
      <c r="G369" s="40">
        <v>107.16546579330419</v>
      </c>
      <c r="H369" s="41"/>
      <c r="I369" s="40">
        <v>20.090247452692871</v>
      </c>
      <c r="J369" s="41">
        <v>0.1874694175401804</v>
      </c>
      <c r="K369" s="9" t="s">
        <v>765</v>
      </c>
    </row>
    <row r="370" spans="1:11" x14ac:dyDescent="0.2">
      <c r="A370" s="9" t="s">
        <v>21</v>
      </c>
      <c r="B370" s="9" t="s">
        <v>766</v>
      </c>
      <c r="C370" s="9"/>
      <c r="D370" s="9" t="s">
        <v>86</v>
      </c>
      <c r="E370" s="38">
        <v>80000</v>
      </c>
      <c r="F370" s="39">
        <v>9937227.9999999981</v>
      </c>
      <c r="G370" s="40">
        <v>124.21535</v>
      </c>
      <c r="H370" s="41">
        <v>-5.911705589064304E-2</v>
      </c>
      <c r="I370" s="40">
        <v>7.3648625000000001</v>
      </c>
      <c r="J370" s="41">
        <v>5.9291081979803643E-2</v>
      </c>
      <c r="K370" s="9" t="s">
        <v>767</v>
      </c>
    </row>
    <row r="371" spans="1:11" x14ac:dyDescent="0.2">
      <c r="A371" s="9" t="s">
        <v>21</v>
      </c>
      <c r="B371" s="9" t="s">
        <v>768</v>
      </c>
      <c r="C371" s="9"/>
      <c r="D371" s="9" t="s">
        <v>77</v>
      </c>
      <c r="E371" s="38">
        <v>22088</v>
      </c>
      <c r="F371" s="39">
        <v>0</v>
      </c>
      <c r="G371" s="40"/>
      <c r="H371" s="41"/>
      <c r="I371" s="40">
        <v>24.214505613907999</v>
      </c>
      <c r="J371" s="41"/>
      <c r="K371" s="9" t="s">
        <v>769</v>
      </c>
    </row>
    <row r="372" spans="1:11" x14ac:dyDescent="0.2">
      <c r="A372" s="9" t="s">
        <v>21</v>
      </c>
      <c r="B372" s="9" t="s">
        <v>768</v>
      </c>
      <c r="C372" s="9"/>
      <c r="D372" s="9" t="s">
        <v>77</v>
      </c>
      <c r="E372" s="38">
        <v>22088</v>
      </c>
      <c r="F372" s="39">
        <v>3677642.73</v>
      </c>
      <c r="G372" s="40">
        <v>166.4995803151032</v>
      </c>
      <c r="H372" s="41">
        <v>-0.144804901389086</v>
      </c>
      <c r="I372" s="40">
        <v>24.214505613907999</v>
      </c>
      <c r="J372" s="41">
        <v>0.14543283273196031</v>
      </c>
      <c r="K372" s="9" t="s">
        <v>769</v>
      </c>
    </row>
    <row r="373" spans="1:11" x14ac:dyDescent="0.2">
      <c r="A373" s="9" t="s">
        <v>21</v>
      </c>
      <c r="B373" s="9" t="s">
        <v>770</v>
      </c>
      <c r="C373" s="9"/>
      <c r="D373" s="9" t="s">
        <v>83</v>
      </c>
      <c r="E373" s="38">
        <v>1522</v>
      </c>
      <c r="F373" s="39">
        <v>1365627.96</v>
      </c>
      <c r="G373" s="40">
        <v>897.25884362680677</v>
      </c>
      <c r="H373" s="41">
        <v>2.0051146142150891E-2</v>
      </c>
      <c r="I373" s="40">
        <v>40.733902759526941</v>
      </c>
      <c r="J373" s="41">
        <v>4.5398162468788347E-2</v>
      </c>
      <c r="K373" s="9" t="s">
        <v>771</v>
      </c>
    </row>
    <row r="374" spans="1:11" x14ac:dyDescent="0.2">
      <c r="A374" s="9" t="s">
        <v>21</v>
      </c>
      <c r="B374" s="9" t="s">
        <v>772</v>
      </c>
      <c r="C374" s="9"/>
      <c r="D374" s="9" t="s">
        <v>79</v>
      </c>
      <c r="E374" s="38">
        <v>1286</v>
      </c>
      <c r="F374" s="39">
        <v>219925</v>
      </c>
      <c r="G374" s="40">
        <v>171.0147744945568</v>
      </c>
      <c r="H374" s="41"/>
      <c r="I374" s="40">
        <v>44.109642301710728</v>
      </c>
      <c r="J374" s="41">
        <v>0.25792883937706029</v>
      </c>
      <c r="K374" s="9" t="s">
        <v>773</v>
      </c>
    </row>
    <row r="375" spans="1:11" x14ac:dyDescent="0.2">
      <c r="A375" s="9" t="s">
        <v>21</v>
      </c>
      <c r="B375" s="9" t="s">
        <v>235</v>
      </c>
      <c r="C375" s="9"/>
      <c r="D375" s="9" t="s">
        <v>77</v>
      </c>
      <c r="E375" s="38">
        <v>2872</v>
      </c>
      <c r="F375" s="39">
        <v>1784260.95</v>
      </c>
      <c r="G375" s="40">
        <v>621.26077646239548</v>
      </c>
      <c r="H375" s="41">
        <v>2.0497225862838261E-3</v>
      </c>
      <c r="I375" s="40">
        <v>49.775069637883007</v>
      </c>
      <c r="J375" s="41">
        <v>8.011944665380924E-2</v>
      </c>
      <c r="K375" s="9" t="s">
        <v>774</v>
      </c>
    </row>
    <row r="376" spans="1:11" x14ac:dyDescent="0.2">
      <c r="A376" s="9" t="s">
        <v>21</v>
      </c>
      <c r="B376" s="9" t="s">
        <v>775</v>
      </c>
      <c r="C376" s="9"/>
      <c r="D376" s="9" t="s">
        <v>85</v>
      </c>
      <c r="E376" s="38">
        <v>23286</v>
      </c>
      <c r="F376" s="39">
        <v>0</v>
      </c>
      <c r="G376" s="40"/>
      <c r="H376" s="41"/>
      <c r="I376" s="40">
        <v>25</v>
      </c>
      <c r="J376" s="41"/>
      <c r="K376" s="9" t="s">
        <v>776</v>
      </c>
    </row>
    <row r="377" spans="1:11" x14ac:dyDescent="0.2">
      <c r="A377" s="9" t="s">
        <v>21</v>
      </c>
      <c r="B377" s="9" t="s">
        <v>777</v>
      </c>
      <c r="C377" s="9"/>
      <c r="D377" s="9" t="s">
        <v>76</v>
      </c>
      <c r="E377" s="38">
        <v>5397</v>
      </c>
      <c r="F377" s="39">
        <v>861959.81</v>
      </c>
      <c r="G377" s="40">
        <v>159.71091532332781</v>
      </c>
      <c r="H377" s="41">
        <v>7.1847116585331106E-2</v>
      </c>
      <c r="I377" s="40">
        <v>12.77687322586622</v>
      </c>
      <c r="J377" s="41">
        <v>0.08</v>
      </c>
      <c r="K377" s="9" t="s">
        <v>778</v>
      </c>
    </row>
    <row r="378" spans="1:11" x14ac:dyDescent="0.2">
      <c r="A378" s="9" t="s">
        <v>21</v>
      </c>
      <c r="B378" s="9" t="s">
        <v>779</v>
      </c>
      <c r="C378" s="9"/>
      <c r="D378" s="9" t="s">
        <v>86</v>
      </c>
      <c r="E378" s="38">
        <v>47000</v>
      </c>
      <c r="F378" s="39">
        <v>4641781</v>
      </c>
      <c r="G378" s="40">
        <v>98.761297872340421</v>
      </c>
      <c r="H378" s="41">
        <v>4.0107137238110768E-2</v>
      </c>
      <c r="I378" s="40">
        <v>13.5</v>
      </c>
      <c r="J378" s="41">
        <v>0.13669322184739011</v>
      </c>
      <c r="K378" s="9" t="s">
        <v>780</v>
      </c>
    </row>
    <row r="379" spans="1:11" x14ac:dyDescent="0.2">
      <c r="A379" s="9" t="s">
        <v>21</v>
      </c>
      <c r="B379" s="9" t="s">
        <v>781</v>
      </c>
      <c r="C379" s="9"/>
      <c r="D379" s="9" t="s">
        <v>76</v>
      </c>
      <c r="E379" s="38">
        <v>3249</v>
      </c>
      <c r="F379" s="39">
        <v>791374.36</v>
      </c>
      <c r="G379" s="40">
        <v>243.57474915358571</v>
      </c>
      <c r="H379" s="41">
        <v>0.32130121796618721</v>
      </c>
      <c r="I379" s="40">
        <v>19.48597993228686</v>
      </c>
      <c r="J379" s="41">
        <v>0.08</v>
      </c>
      <c r="K379" s="9" t="s">
        <v>782</v>
      </c>
    </row>
    <row r="380" spans="1:11" x14ac:dyDescent="0.2">
      <c r="A380" s="9" t="s">
        <v>21</v>
      </c>
      <c r="B380" s="9" t="s">
        <v>783</v>
      </c>
      <c r="C380" s="9"/>
      <c r="D380" s="9" t="s">
        <v>83</v>
      </c>
      <c r="E380" s="38">
        <v>2934</v>
      </c>
      <c r="F380" s="39">
        <v>394521</v>
      </c>
      <c r="G380" s="40">
        <v>134.46523517382411</v>
      </c>
      <c r="H380" s="41"/>
      <c r="I380" s="40">
        <v>60.5</v>
      </c>
      <c r="J380" s="41">
        <v>0.44993042195472482</v>
      </c>
      <c r="K380" s="9" t="s">
        <v>784</v>
      </c>
    </row>
    <row r="381" spans="1:11" x14ac:dyDescent="0.2">
      <c r="A381" s="9" t="s">
        <v>21</v>
      </c>
      <c r="B381" s="9" t="s">
        <v>263</v>
      </c>
      <c r="C381" s="9"/>
      <c r="D381" s="9" t="s">
        <v>80</v>
      </c>
      <c r="E381" s="38">
        <v>1399</v>
      </c>
      <c r="F381" s="39">
        <v>440557.74</v>
      </c>
      <c r="G381" s="40">
        <v>314.90903502501789</v>
      </c>
      <c r="H381" s="41">
        <v>-0.11000703298115951</v>
      </c>
      <c r="I381" s="40">
        <v>65.682630450321653</v>
      </c>
      <c r="J381" s="41">
        <v>0.2085765193910791</v>
      </c>
      <c r="K381" s="9" t="s">
        <v>785</v>
      </c>
    </row>
    <row r="382" spans="1:11" x14ac:dyDescent="0.2">
      <c r="A382" s="9" t="s">
        <v>21</v>
      </c>
      <c r="B382" s="9" t="s">
        <v>786</v>
      </c>
      <c r="C382" s="9"/>
      <c r="D382" s="9" t="s">
        <v>85</v>
      </c>
      <c r="E382" s="38">
        <v>22538</v>
      </c>
      <c r="F382" s="39">
        <v>0</v>
      </c>
      <c r="G382" s="40"/>
      <c r="H382" s="41"/>
      <c r="I382" s="40">
        <v>23.474487532167899</v>
      </c>
      <c r="J382" s="41"/>
      <c r="K382" s="9" t="s">
        <v>787</v>
      </c>
    </row>
    <row r="383" spans="1:11" x14ac:dyDescent="0.2">
      <c r="A383" s="9" t="s">
        <v>21</v>
      </c>
      <c r="B383" s="9" t="s">
        <v>788</v>
      </c>
      <c r="C383" s="9"/>
      <c r="D383" s="9" t="s">
        <v>79</v>
      </c>
      <c r="E383" s="38">
        <v>1572</v>
      </c>
      <c r="F383" s="39">
        <v>389905.65</v>
      </c>
      <c r="G383" s="40">
        <v>248.03158396946569</v>
      </c>
      <c r="H383" s="41"/>
      <c r="I383" s="40">
        <v>23.33969465648855</v>
      </c>
      <c r="J383" s="41">
        <v>9.4099687962972578E-2</v>
      </c>
      <c r="K383" s="9" t="s">
        <v>789</v>
      </c>
    </row>
    <row r="384" spans="1:11" x14ac:dyDescent="0.2">
      <c r="A384" s="9" t="s">
        <v>21</v>
      </c>
      <c r="B384" s="9" t="s">
        <v>275</v>
      </c>
      <c r="C384" s="9"/>
      <c r="D384" s="9" t="s">
        <v>83</v>
      </c>
      <c r="E384" s="38">
        <v>3262</v>
      </c>
      <c r="F384" s="39">
        <v>1692582.02</v>
      </c>
      <c r="G384" s="40">
        <v>518.87860821581853</v>
      </c>
      <c r="H384" s="41">
        <v>2.070367468996245E-2</v>
      </c>
      <c r="I384" s="40">
        <v>43.229920294297983</v>
      </c>
      <c r="J384" s="41">
        <v>8.3314130915794551E-2</v>
      </c>
      <c r="K384" s="9" t="s">
        <v>790</v>
      </c>
    </row>
    <row r="385" spans="1:11" x14ac:dyDescent="0.2">
      <c r="A385" s="9" t="s">
        <v>21</v>
      </c>
      <c r="B385" s="9" t="s">
        <v>791</v>
      </c>
      <c r="C385" s="9"/>
      <c r="D385" s="9" t="s">
        <v>81</v>
      </c>
      <c r="E385" s="38">
        <v>4547</v>
      </c>
      <c r="F385" s="39">
        <v>1503363</v>
      </c>
      <c r="G385" s="40">
        <v>330.62744666813279</v>
      </c>
      <c r="H385" s="41">
        <v>-2.511041868707465E-2</v>
      </c>
      <c r="I385" s="40">
        <v>22.740048383549588</v>
      </c>
      <c r="J385" s="41">
        <v>6.8778465347357889E-2</v>
      </c>
      <c r="K385" s="9" t="s">
        <v>792</v>
      </c>
    </row>
    <row r="386" spans="1:11" x14ac:dyDescent="0.2">
      <c r="A386" s="9" t="s">
        <v>21</v>
      </c>
      <c r="B386" s="9" t="s">
        <v>279</v>
      </c>
      <c r="C386" s="9"/>
      <c r="D386" s="9" t="s">
        <v>76</v>
      </c>
      <c r="E386" s="38">
        <v>5479</v>
      </c>
      <c r="F386" s="39">
        <v>553139.84</v>
      </c>
      <c r="G386" s="40">
        <v>100.9563496988501</v>
      </c>
      <c r="H386" s="41"/>
      <c r="I386" s="40">
        <v>3.0286904909655039</v>
      </c>
      <c r="J386" s="41">
        <v>0.03</v>
      </c>
      <c r="K386" s="9" t="s">
        <v>793</v>
      </c>
    </row>
    <row r="387" spans="1:11" x14ac:dyDescent="0.2">
      <c r="A387" s="9" t="s">
        <v>21</v>
      </c>
      <c r="B387" s="9" t="s">
        <v>794</v>
      </c>
      <c r="C387" s="9"/>
      <c r="D387" s="9" t="s">
        <v>83</v>
      </c>
      <c r="E387" s="38">
        <v>5185</v>
      </c>
      <c r="F387" s="39">
        <v>751739</v>
      </c>
      <c r="G387" s="40">
        <v>144.98341369334619</v>
      </c>
      <c r="H387" s="41">
        <v>-7.5042834884516685E-2</v>
      </c>
      <c r="I387" s="40">
        <v>19.2900675024108</v>
      </c>
      <c r="J387" s="41">
        <v>0.13305016767787761</v>
      </c>
      <c r="K387" s="9" t="s">
        <v>795</v>
      </c>
    </row>
    <row r="388" spans="1:11" x14ac:dyDescent="0.2">
      <c r="A388" s="9" t="s">
        <v>21</v>
      </c>
      <c r="B388" s="9" t="s">
        <v>796</v>
      </c>
      <c r="C388" s="9"/>
      <c r="D388" s="9" t="s">
        <v>81</v>
      </c>
      <c r="E388" s="38">
        <v>1981</v>
      </c>
      <c r="F388" s="39">
        <v>0</v>
      </c>
      <c r="G388" s="40"/>
      <c r="H388" s="41"/>
      <c r="I388" s="40">
        <v>41.913175164058558</v>
      </c>
      <c r="J388" s="41"/>
      <c r="K388" s="9" t="s">
        <v>797</v>
      </c>
    </row>
    <row r="389" spans="1:11" x14ac:dyDescent="0.2">
      <c r="A389" s="9" t="s">
        <v>21</v>
      </c>
      <c r="B389" s="9" t="s">
        <v>798</v>
      </c>
      <c r="C389" s="9"/>
      <c r="D389" s="9" t="s">
        <v>80</v>
      </c>
      <c r="E389" s="38">
        <v>6679</v>
      </c>
      <c r="F389" s="39">
        <v>3495831.61</v>
      </c>
      <c r="G389" s="40">
        <v>523.40643958676446</v>
      </c>
      <c r="H389" s="41">
        <v>-7.8818832939426847E-2</v>
      </c>
      <c r="I389" s="40">
        <v>45.580026950142233</v>
      </c>
      <c r="J389" s="41">
        <v>8.7083427911449088E-2</v>
      </c>
      <c r="K389" s="9" t="s">
        <v>799</v>
      </c>
    </row>
    <row r="390" spans="1:11" x14ac:dyDescent="0.2">
      <c r="A390" s="9" t="s">
        <v>21</v>
      </c>
      <c r="B390" s="9" t="s">
        <v>800</v>
      </c>
      <c r="C390" s="9"/>
      <c r="D390" s="9" t="s">
        <v>86</v>
      </c>
      <c r="E390" s="38">
        <v>35166</v>
      </c>
      <c r="F390" s="39">
        <v>0</v>
      </c>
      <c r="G390" s="40"/>
      <c r="H390" s="41"/>
      <c r="I390" s="40">
        <v>28.049820849684359</v>
      </c>
      <c r="J390" s="41"/>
      <c r="K390" s="9" t="s">
        <v>801</v>
      </c>
    </row>
    <row r="391" spans="1:11" x14ac:dyDescent="0.2">
      <c r="A391" s="9" t="s">
        <v>21</v>
      </c>
      <c r="B391" s="9" t="s">
        <v>802</v>
      </c>
      <c r="C391" s="9"/>
      <c r="D391" s="9" t="s">
        <v>85</v>
      </c>
      <c r="E391" s="38">
        <v>15644</v>
      </c>
      <c r="F391" s="39">
        <v>0</v>
      </c>
      <c r="G391" s="40"/>
      <c r="H391" s="41"/>
      <c r="I391" s="40">
        <v>26.779979544873431</v>
      </c>
      <c r="J391" s="41"/>
      <c r="K391" s="9" t="s">
        <v>803</v>
      </c>
    </row>
    <row r="392" spans="1:11" x14ac:dyDescent="0.2">
      <c r="A392" s="9" t="s">
        <v>21</v>
      </c>
      <c r="B392" s="9" t="s">
        <v>603</v>
      </c>
      <c r="C392" s="9"/>
      <c r="D392" s="9" t="s">
        <v>81</v>
      </c>
      <c r="E392" s="38">
        <v>7000</v>
      </c>
      <c r="F392" s="39">
        <v>3282680.72</v>
      </c>
      <c r="G392" s="40">
        <v>468.95438857142852</v>
      </c>
      <c r="H392" s="41">
        <v>3.7657065887702909E-3</v>
      </c>
      <c r="I392" s="40">
        <v>38.969714285714282</v>
      </c>
      <c r="J392" s="41">
        <v>8.3099156837890722E-2</v>
      </c>
      <c r="K392" s="9" t="s">
        <v>804</v>
      </c>
    </row>
    <row r="393" spans="1:11" x14ac:dyDescent="0.2">
      <c r="A393" s="9" t="s">
        <v>21</v>
      </c>
      <c r="B393" s="9" t="s">
        <v>805</v>
      </c>
      <c r="C393" s="9"/>
      <c r="D393" s="9" t="s">
        <v>80</v>
      </c>
      <c r="E393" s="38">
        <v>1215</v>
      </c>
      <c r="F393" s="39">
        <v>315006.74</v>
      </c>
      <c r="G393" s="40">
        <v>259.26480658436208</v>
      </c>
      <c r="H393" s="41"/>
      <c r="I393" s="40">
        <v>40.301234567901233</v>
      </c>
      <c r="J393" s="41">
        <v>0.1554442930332221</v>
      </c>
      <c r="K393" s="9" t="s">
        <v>806</v>
      </c>
    </row>
    <row r="394" spans="1:11" x14ac:dyDescent="0.2">
      <c r="A394" s="9" t="s">
        <v>21</v>
      </c>
      <c r="B394" s="9" t="s">
        <v>807</v>
      </c>
      <c r="C394" s="9"/>
      <c r="D394" s="9" t="s">
        <v>82</v>
      </c>
      <c r="E394" s="38">
        <v>2849</v>
      </c>
      <c r="F394" s="39">
        <v>447203.34</v>
      </c>
      <c r="G394" s="40">
        <v>156.9685293085293</v>
      </c>
      <c r="H394" s="41">
        <v>8.235211325072353E-2</v>
      </c>
      <c r="I394" s="40">
        <v>29.5988065988066</v>
      </c>
      <c r="J394" s="41">
        <v>0.1885652285155115</v>
      </c>
      <c r="K394" s="9" t="s">
        <v>808</v>
      </c>
    </row>
    <row r="395" spans="1:11" x14ac:dyDescent="0.2">
      <c r="A395" s="9" t="s">
        <v>21</v>
      </c>
      <c r="B395" s="9" t="s">
        <v>809</v>
      </c>
      <c r="C395" s="9"/>
      <c r="D395" s="9" t="s">
        <v>85</v>
      </c>
      <c r="E395" s="38">
        <v>12909</v>
      </c>
      <c r="F395" s="39">
        <v>1858070.39</v>
      </c>
      <c r="G395" s="40">
        <v>143.9360438453792</v>
      </c>
      <c r="H395" s="41">
        <v>-0.17627847436042249</v>
      </c>
      <c r="I395" s="40">
        <v>30.42962274382214</v>
      </c>
      <c r="J395" s="41">
        <v>0.21141072055940791</v>
      </c>
      <c r="K395" s="9" t="s">
        <v>810</v>
      </c>
    </row>
    <row r="396" spans="1:11" x14ac:dyDescent="0.2">
      <c r="A396" s="9" t="s">
        <v>21</v>
      </c>
      <c r="B396" s="9" t="s">
        <v>811</v>
      </c>
      <c r="C396" s="9"/>
      <c r="D396" s="9" t="s">
        <v>85</v>
      </c>
      <c r="E396" s="38">
        <v>16847</v>
      </c>
      <c r="F396" s="39">
        <v>0</v>
      </c>
      <c r="G396" s="40"/>
      <c r="H396" s="41"/>
      <c r="I396" s="40">
        <v>18.40203003502107</v>
      </c>
      <c r="J396" s="41"/>
      <c r="K396" s="9" t="s">
        <v>812</v>
      </c>
    </row>
    <row r="397" spans="1:11" x14ac:dyDescent="0.2">
      <c r="A397" s="9" t="s">
        <v>21</v>
      </c>
      <c r="B397" s="9" t="s">
        <v>813</v>
      </c>
      <c r="C397" s="9"/>
      <c r="D397" s="9" t="s">
        <v>81</v>
      </c>
      <c r="E397" s="38">
        <v>1936</v>
      </c>
      <c r="F397" s="39">
        <v>686895.87</v>
      </c>
      <c r="G397" s="40">
        <v>354.80158574380158</v>
      </c>
      <c r="H397" s="41">
        <v>7.067593444166452E-2</v>
      </c>
      <c r="I397" s="40">
        <v>37.388946280991739</v>
      </c>
      <c r="J397" s="41">
        <v>0.10537987366265569</v>
      </c>
      <c r="K397" s="9" t="s">
        <v>814</v>
      </c>
    </row>
    <row r="398" spans="1:11" x14ac:dyDescent="0.2">
      <c r="A398" s="9" t="s">
        <v>21</v>
      </c>
      <c r="B398" s="9" t="s">
        <v>815</v>
      </c>
      <c r="C398" s="9"/>
      <c r="D398" s="9" t="s">
        <v>83</v>
      </c>
      <c r="E398" s="38">
        <v>2159</v>
      </c>
      <c r="F398" s="39">
        <v>629334.5</v>
      </c>
      <c r="G398" s="40">
        <v>291.49351551644281</v>
      </c>
      <c r="H398" s="41">
        <v>0.1059516327878099</v>
      </c>
      <c r="I398" s="40">
        <v>45.786475220009272</v>
      </c>
      <c r="J398" s="41">
        <v>0.15707545033682399</v>
      </c>
      <c r="K398" s="9" t="s">
        <v>816</v>
      </c>
    </row>
    <row r="399" spans="1:11" x14ac:dyDescent="0.2">
      <c r="A399" s="9" t="s">
        <v>21</v>
      </c>
      <c r="B399" s="9" t="s">
        <v>817</v>
      </c>
      <c r="C399" s="9"/>
      <c r="D399" s="9" t="s">
        <v>83</v>
      </c>
      <c r="E399" s="38">
        <v>1571</v>
      </c>
      <c r="F399" s="39">
        <v>457554.27999999991</v>
      </c>
      <c r="G399" s="40">
        <v>291.2503373647358</v>
      </c>
      <c r="H399" s="41">
        <v>8.2434329520117131E-2</v>
      </c>
      <c r="I399" s="40">
        <v>45.250159134309357</v>
      </c>
      <c r="J399" s="41">
        <v>0.15536517328610719</v>
      </c>
      <c r="K399" s="9" t="s">
        <v>818</v>
      </c>
    </row>
    <row r="400" spans="1:11" x14ac:dyDescent="0.2">
      <c r="A400" s="9" t="s">
        <v>21</v>
      </c>
      <c r="B400" s="9" t="s">
        <v>819</v>
      </c>
      <c r="C400" s="9"/>
      <c r="D400" s="9" t="s">
        <v>80</v>
      </c>
      <c r="E400" s="38">
        <v>885</v>
      </c>
      <c r="F400" s="39">
        <v>194116</v>
      </c>
      <c r="G400" s="40">
        <v>219.34011299435031</v>
      </c>
      <c r="H400" s="41"/>
      <c r="I400" s="40">
        <v>43.649717514124291</v>
      </c>
      <c r="J400" s="41">
        <v>0.19900471882791729</v>
      </c>
      <c r="K400" s="9" t="s">
        <v>820</v>
      </c>
    </row>
    <row r="401" spans="1:11" x14ac:dyDescent="0.2">
      <c r="A401" s="9" t="s">
        <v>21</v>
      </c>
      <c r="B401" s="9" t="s">
        <v>821</v>
      </c>
      <c r="C401" s="9"/>
      <c r="D401" s="9" t="s">
        <v>83</v>
      </c>
      <c r="E401" s="38">
        <v>1210</v>
      </c>
      <c r="F401" s="39">
        <v>1019517</v>
      </c>
      <c r="G401" s="40">
        <v>842.57603305785119</v>
      </c>
      <c r="H401" s="41">
        <v>3.4281214669172382E-2</v>
      </c>
      <c r="I401" s="40">
        <v>32.531404958677683</v>
      </c>
      <c r="J401" s="41">
        <v>3.8609459185084703E-2</v>
      </c>
      <c r="K401" s="9" t="s">
        <v>822</v>
      </c>
    </row>
    <row r="402" spans="1:11" x14ac:dyDescent="0.2">
      <c r="A402" s="9" t="s">
        <v>21</v>
      </c>
      <c r="B402" s="9" t="s">
        <v>343</v>
      </c>
      <c r="C402" s="9"/>
      <c r="D402" s="9" t="s">
        <v>79</v>
      </c>
      <c r="E402" s="38">
        <v>5028</v>
      </c>
      <c r="F402" s="39">
        <v>1076541.26</v>
      </c>
      <c r="G402" s="40">
        <v>214.10924025457439</v>
      </c>
      <c r="H402" s="41"/>
      <c r="I402" s="40">
        <v>11.776008214001591</v>
      </c>
      <c r="J402" s="41">
        <v>5.5E-2</v>
      </c>
      <c r="K402" s="9" t="s">
        <v>823</v>
      </c>
    </row>
    <row r="403" spans="1:11" x14ac:dyDescent="0.2">
      <c r="A403" s="9" t="s">
        <v>21</v>
      </c>
      <c r="B403" s="9" t="s">
        <v>824</v>
      </c>
      <c r="C403" s="9"/>
      <c r="D403" s="9" t="s">
        <v>80</v>
      </c>
      <c r="E403" s="38">
        <v>1143</v>
      </c>
      <c r="F403" s="39">
        <v>569605.27999999991</v>
      </c>
      <c r="G403" s="40">
        <v>498.34232720909881</v>
      </c>
      <c r="H403" s="41"/>
      <c r="I403" s="40">
        <v>45.783902012248468</v>
      </c>
      <c r="J403" s="41">
        <v>9.187239275590986E-2</v>
      </c>
      <c r="K403" s="9" t="s">
        <v>825</v>
      </c>
    </row>
    <row r="404" spans="1:11" x14ac:dyDescent="0.2">
      <c r="A404" s="9" t="s">
        <v>21</v>
      </c>
      <c r="B404" s="9" t="s">
        <v>826</v>
      </c>
      <c r="C404" s="9"/>
      <c r="D404" s="9" t="s">
        <v>80</v>
      </c>
      <c r="E404" s="38">
        <v>1317</v>
      </c>
      <c r="F404" s="39">
        <v>485391</v>
      </c>
      <c r="G404" s="40">
        <v>368.55808656036447</v>
      </c>
      <c r="H404" s="41">
        <v>-6.1272976138068938E-2</v>
      </c>
      <c r="I404" s="40">
        <v>40.280182232346242</v>
      </c>
      <c r="J404" s="41">
        <v>0.1092912723968924</v>
      </c>
      <c r="K404" s="9" t="s">
        <v>827</v>
      </c>
    </row>
    <row r="405" spans="1:11" x14ac:dyDescent="0.2">
      <c r="A405" s="9" t="s">
        <v>21</v>
      </c>
      <c r="B405" s="9" t="s">
        <v>828</v>
      </c>
      <c r="C405" s="9"/>
      <c r="D405" s="9" t="s">
        <v>85</v>
      </c>
      <c r="E405" s="38">
        <v>21633</v>
      </c>
      <c r="F405" s="39">
        <v>0</v>
      </c>
      <c r="G405" s="40"/>
      <c r="H405" s="41"/>
      <c r="I405" s="40">
        <v>17.80520501086303</v>
      </c>
      <c r="J405" s="41"/>
      <c r="K405" s="9" t="s">
        <v>829</v>
      </c>
    </row>
    <row r="406" spans="1:11" x14ac:dyDescent="0.2">
      <c r="A406" s="9" t="s">
        <v>21</v>
      </c>
      <c r="B406" s="9" t="s">
        <v>830</v>
      </c>
      <c r="C406" s="9"/>
      <c r="D406" s="9" t="s">
        <v>86</v>
      </c>
      <c r="E406" s="38">
        <v>145000</v>
      </c>
      <c r="F406" s="39">
        <v>0</v>
      </c>
      <c r="G406" s="40"/>
      <c r="H406" s="41"/>
      <c r="I406" s="40">
        <v>0.39476193103448282</v>
      </c>
      <c r="J406" s="41"/>
      <c r="K406" s="9" t="s">
        <v>831</v>
      </c>
    </row>
    <row r="407" spans="1:11" x14ac:dyDescent="0.2">
      <c r="A407" s="9" t="s">
        <v>21</v>
      </c>
      <c r="B407" s="9" t="s">
        <v>832</v>
      </c>
      <c r="C407" s="9"/>
      <c r="D407" s="9" t="s">
        <v>81</v>
      </c>
      <c r="E407" s="38">
        <v>4530</v>
      </c>
      <c r="F407" s="39">
        <v>2381895</v>
      </c>
      <c r="G407" s="40">
        <v>525.80463576158945</v>
      </c>
      <c r="H407" s="41">
        <v>1.8748184340239421E-2</v>
      </c>
      <c r="I407" s="40">
        <v>53.19977924944812</v>
      </c>
      <c r="J407" s="41">
        <v>0.10117784369168251</v>
      </c>
      <c r="K407" s="9" t="s">
        <v>833</v>
      </c>
    </row>
    <row r="408" spans="1:11" x14ac:dyDescent="0.2">
      <c r="A408" s="9" t="s">
        <v>21</v>
      </c>
      <c r="B408" s="9" t="s">
        <v>834</v>
      </c>
      <c r="C408" s="9"/>
      <c r="D408" s="9" t="s">
        <v>81</v>
      </c>
      <c r="E408" s="38">
        <v>5226</v>
      </c>
      <c r="F408" s="39">
        <v>3817327.5</v>
      </c>
      <c r="G408" s="40">
        <v>730.44919632606195</v>
      </c>
      <c r="H408" s="41">
        <v>6.3347090640758497E-2</v>
      </c>
      <c r="I408" s="40">
        <v>62.832759280520477</v>
      </c>
      <c r="J408" s="41">
        <v>8.6019342065882479E-2</v>
      </c>
      <c r="K408" s="9" t="s">
        <v>835</v>
      </c>
    </row>
    <row r="409" spans="1:11" x14ac:dyDescent="0.2">
      <c r="A409" s="9" t="s">
        <v>21</v>
      </c>
      <c r="B409" s="9" t="s">
        <v>836</v>
      </c>
      <c r="C409" s="9"/>
      <c r="D409" s="9" t="s">
        <v>81</v>
      </c>
      <c r="E409" s="38">
        <v>2609</v>
      </c>
      <c r="F409" s="39">
        <v>1215082</v>
      </c>
      <c r="G409" s="40">
        <v>465.72709850517441</v>
      </c>
      <c r="H409" s="41">
        <v>-4.2217600305290946E-3</v>
      </c>
      <c r="I409" s="40">
        <v>58.114220007665772</v>
      </c>
      <c r="J409" s="41">
        <v>0.1247817019756691</v>
      </c>
      <c r="K409" s="9" t="s">
        <v>837</v>
      </c>
    </row>
    <row r="410" spans="1:11" x14ac:dyDescent="0.2">
      <c r="A410" s="9" t="s">
        <v>21</v>
      </c>
      <c r="B410" s="9" t="s">
        <v>838</v>
      </c>
      <c r="C410" s="9"/>
      <c r="D410" s="9" t="s">
        <v>83</v>
      </c>
      <c r="E410" s="38">
        <v>42854</v>
      </c>
      <c r="F410" s="39">
        <v>0</v>
      </c>
      <c r="G410" s="40"/>
      <c r="H410" s="41"/>
      <c r="I410" s="40">
        <v>23.266859569701779</v>
      </c>
      <c r="J410" s="41"/>
      <c r="K410" s="9" t="s">
        <v>839</v>
      </c>
    </row>
    <row r="411" spans="1:11" x14ac:dyDescent="0.2">
      <c r="A411" s="9" t="s">
        <v>21</v>
      </c>
      <c r="B411" s="9" t="s">
        <v>838</v>
      </c>
      <c r="C411" s="9"/>
      <c r="D411" s="9" t="s">
        <v>83</v>
      </c>
      <c r="E411" s="38">
        <v>48150</v>
      </c>
      <c r="F411" s="39">
        <v>0</v>
      </c>
      <c r="G411" s="40"/>
      <c r="H411" s="41"/>
      <c r="I411" s="40">
        <v>28.27879543094496</v>
      </c>
      <c r="J411" s="41"/>
      <c r="K411" s="9" t="s">
        <v>839</v>
      </c>
    </row>
    <row r="412" spans="1:11" x14ac:dyDescent="0.2">
      <c r="A412" s="9" t="s">
        <v>21</v>
      </c>
      <c r="B412" s="9" t="s">
        <v>840</v>
      </c>
      <c r="C412" s="9"/>
      <c r="D412" s="9" t="s">
        <v>83</v>
      </c>
      <c r="E412" s="38">
        <v>943</v>
      </c>
      <c r="F412" s="39">
        <v>0</v>
      </c>
      <c r="G412" s="40"/>
      <c r="H412" s="41">
        <v>0.16047690118357569</v>
      </c>
      <c r="I412" s="40">
        <v>40.853658536585357</v>
      </c>
      <c r="J412" s="41"/>
      <c r="K412" s="9" t="s">
        <v>841</v>
      </c>
    </row>
    <row r="413" spans="1:11" x14ac:dyDescent="0.2">
      <c r="A413" s="9" t="s">
        <v>21</v>
      </c>
      <c r="B413" s="9" t="s">
        <v>842</v>
      </c>
      <c r="C413" s="9"/>
      <c r="D413" s="9" t="s">
        <v>81</v>
      </c>
      <c r="E413" s="38">
        <v>6047</v>
      </c>
      <c r="F413" s="39">
        <v>2773296.08</v>
      </c>
      <c r="G413" s="40">
        <v>458.62346287415249</v>
      </c>
      <c r="H413" s="41">
        <v>9.2511513401398238E-2</v>
      </c>
      <c r="I413" s="40">
        <v>37.432611212171317</v>
      </c>
      <c r="J413" s="41">
        <v>8.1619485792515878E-2</v>
      </c>
      <c r="K413" s="9" t="s">
        <v>843</v>
      </c>
    </row>
    <row r="414" spans="1:11" x14ac:dyDescent="0.2">
      <c r="A414" s="9" t="s">
        <v>21</v>
      </c>
      <c r="B414" s="9" t="s">
        <v>844</v>
      </c>
      <c r="C414" s="9"/>
      <c r="D414" s="9" t="s">
        <v>83</v>
      </c>
      <c r="E414" s="38">
        <v>2442</v>
      </c>
      <c r="F414" s="39">
        <v>354057</v>
      </c>
      <c r="G414" s="40">
        <v>144.98648648648651</v>
      </c>
      <c r="H414" s="41">
        <v>5.2563709727195908E-2</v>
      </c>
      <c r="I414" s="40">
        <v>19.68018018018018</v>
      </c>
      <c r="J414" s="41">
        <v>0.13573803088203309</v>
      </c>
      <c r="K414" s="9" t="s">
        <v>845</v>
      </c>
    </row>
    <row r="415" spans="1:11" x14ac:dyDescent="0.2">
      <c r="A415" s="9" t="s">
        <v>21</v>
      </c>
      <c r="B415" s="9" t="s">
        <v>846</v>
      </c>
      <c r="C415" s="9"/>
      <c r="D415" s="9" t="s">
        <v>81</v>
      </c>
      <c r="E415" s="38">
        <v>3090</v>
      </c>
      <c r="F415" s="39">
        <v>1852447.06</v>
      </c>
      <c r="G415" s="40">
        <v>599.49743042071202</v>
      </c>
      <c r="H415" s="41">
        <v>-0.1048264771395534</v>
      </c>
      <c r="I415" s="40">
        <v>54.626213592233007</v>
      </c>
      <c r="J415" s="41">
        <v>9.1120012897966438E-2</v>
      </c>
      <c r="K415" s="9" t="s">
        <v>847</v>
      </c>
    </row>
    <row r="416" spans="1:11" x14ac:dyDescent="0.2">
      <c r="A416" s="9" t="s">
        <v>21</v>
      </c>
      <c r="B416" s="9" t="s">
        <v>571</v>
      </c>
      <c r="C416" s="9"/>
      <c r="D416" s="9" t="s">
        <v>76</v>
      </c>
      <c r="E416" s="38">
        <v>2308</v>
      </c>
      <c r="F416" s="39">
        <v>422448.54</v>
      </c>
      <c r="G416" s="40">
        <v>183.03662911611789</v>
      </c>
      <c r="H416" s="41">
        <v>-0.29483414831178117</v>
      </c>
      <c r="I416" s="40">
        <v>9.151831455805894</v>
      </c>
      <c r="J416" s="41">
        <v>0.05</v>
      </c>
      <c r="K416" s="9" t="s">
        <v>848</v>
      </c>
    </row>
    <row r="417" spans="1:11" x14ac:dyDescent="0.2">
      <c r="A417" s="9" t="s">
        <v>21</v>
      </c>
      <c r="B417" s="9" t="s">
        <v>642</v>
      </c>
      <c r="C417" s="9"/>
      <c r="D417" s="9" t="s">
        <v>86</v>
      </c>
      <c r="E417" s="38">
        <v>63175</v>
      </c>
      <c r="F417" s="39">
        <v>35921000</v>
      </c>
      <c r="G417" s="40">
        <v>568.5951721408785</v>
      </c>
      <c r="H417" s="41">
        <v>8.1795659127907178E-2</v>
      </c>
      <c r="I417" s="40">
        <v>22.56</v>
      </c>
      <c r="J417" s="41">
        <v>3.9676735057487263E-2</v>
      </c>
      <c r="K417" s="9" t="s">
        <v>849</v>
      </c>
    </row>
    <row r="418" spans="1:11" x14ac:dyDescent="0.2">
      <c r="A418" s="9" t="s">
        <v>21</v>
      </c>
      <c r="B418" s="9" t="s">
        <v>850</v>
      </c>
      <c r="C418" s="9"/>
      <c r="D418" s="9" t="s">
        <v>83</v>
      </c>
      <c r="E418" s="38">
        <v>1297</v>
      </c>
      <c r="F418" s="39">
        <v>514008</v>
      </c>
      <c r="G418" s="40">
        <v>396.3053199691596</v>
      </c>
      <c r="H418" s="41">
        <v>-3.486567712686775E-2</v>
      </c>
      <c r="I418" s="40">
        <v>49.068619892058599</v>
      </c>
      <c r="J418" s="41">
        <v>0.1238151935378438</v>
      </c>
      <c r="K418" s="9" t="s">
        <v>851</v>
      </c>
    </row>
    <row r="419" spans="1:11" x14ac:dyDescent="0.2">
      <c r="A419" s="9" t="s">
        <v>32</v>
      </c>
      <c r="B419" s="9" t="s">
        <v>400</v>
      </c>
      <c r="C419" s="9"/>
      <c r="D419" s="9" t="s">
        <v>80</v>
      </c>
      <c r="E419" s="38">
        <v>2293</v>
      </c>
      <c r="F419" s="39">
        <v>847301</v>
      </c>
      <c r="G419" s="40">
        <v>369.51635412123858</v>
      </c>
      <c r="H419" s="41"/>
      <c r="I419" s="40">
        <v>69.346707370257306</v>
      </c>
      <c r="J419" s="41">
        <v>0.18766884495592481</v>
      </c>
      <c r="K419" s="9" t="s">
        <v>852</v>
      </c>
    </row>
    <row r="420" spans="1:11" x14ac:dyDescent="0.2">
      <c r="A420" s="9" t="s">
        <v>32</v>
      </c>
      <c r="B420" s="9" t="s">
        <v>650</v>
      </c>
      <c r="C420" s="9"/>
      <c r="D420" s="9" t="s">
        <v>76</v>
      </c>
      <c r="E420" s="38">
        <v>7004</v>
      </c>
      <c r="F420" s="39">
        <v>2061660.32</v>
      </c>
      <c r="G420" s="40">
        <v>294.35470017133071</v>
      </c>
      <c r="H420" s="41">
        <v>0.45868267527213652</v>
      </c>
      <c r="I420" s="40">
        <v>19.36207881210737</v>
      </c>
      <c r="J420" s="41">
        <v>6.5778052128393286E-2</v>
      </c>
      <c r="K420" s="9" t="s">
        <v>853</v>
      </c>
    </row>
    <row r="421" spans="1:11" x14ac:dyDescent="0.2">
      <c r="A421" s="9" t="s">
        <v>32</v>
      </c>
      <c r="B421" s="9" t="s">
        <v>164</v>
      </c>
      <c r="C421" s="9"/>
      <c r="D421" s="9" t="s">
        <v>76</v>
      </c>
      <c r="E421" s="38">
        <v>3854</v>
      </c>
      <c r="F421" s="39">
        <v>2045134</v>
      </c>
      <c r="G421" s="40">
        <v>530.65230928905032</v>
      </c>
      <c r="H421" s="41">
        <v>-5.0628329753089597E-2</v>
      </c>
      <c r="I421" s="40">
        <v>66.286455630513757</v>
      </c>
      <c r="J421" s="41">
        <v>0.1249150422417309</v>
      </c>
      <c r="K421" s="9" t="s">
        <v>854</v>
      </c>
    </row>
    <row r="422" spans="1:11" x14ac:dyDescent="0.2">
      <c r="A422" s="9" t="s">
        <v>32</v>
      </c>
      <c r="B422" s="9" t="s">
        <v>166</v>
      </c>
      <c r="C422" s="9"/>
      <c r="D422" s="9" t="s">
        <v>76</v>
      </c>
      <c r="E422" s="38">
        <v>3081</v>
      </c>
      <c r="F422" s="39">
        <v>2066368</v>
      </c>
      <c r="G422" s="40">
        <v>670.68094774423889</v>
      </c>
      <c r="H422" s="41"/>
      <c r="I422" s="40">
        <v>118.6095423563778</v>
      </c>
      <c r="J422" s="41">
        <v>0.1768494285625794</v>
      </c>
      <c r="K422" s="9" t="s">
        <v>855</v>
      </c>
    </row>
    <row r="423" spans="1:11" x14ac:dyDescent="0.2">
      <c r="A423" s="9" t="s">
        <v>32</v>
      </c>
      <c r="B423" s="9" t="s">
        <v>168</v>
      </c>
      <c r="C423" s="9"/>
      <c r="D423" s="9" t="s">
        <v>77</v>
      </c>
      <c r="E423" s="38">
        <v>2278</v>
      </c>
      <c r="F423" s="39">
        <v>1067805.3500000001</v>
      </c>
      <c r="G423" s="40">
        <v>468.74686128182623</v>
      </c>
      <c r="H423" s="41">
        <v>0.1217725924318762</v>
      </c>
      <c r="I423" s="40">
        <v>92.575943810359959</v>
      </c>
      <c r="J423" s="41">
        <v>0.1974966692197225</v>
      </c>
      <c r="K423" s="9" t="s">
        <v>856</v>
      </c>
    </row>
    <row r="424" spans="1:11" x14ac:dyDescent="0.2">
      <c r="A424" s="9" t="s">
        <v>32</v>
      </c>
      <c r="B424" s="9" t="s">
        <v>169</v>
      </c>
      <c r="C424" s="9"/>
      <c r="D424" s="9" t="s">
        <v>76</v>
      </c>
      <c r="E424" s="38">
        <v>6128</v>
      </c>
      <c r="F424" s="39">
        <v>4356895.2699999996</v>
      </c>
      <c r="G424" s="40">
        <v>710.9816041122715</v>
      </c>
      <c r="H424" s="41">
        <v>2.3697932204135078E-2</v>
      </c>
      <c r="I424" s="40">
        <v>98.935378590078329</v>
      </c>
      <c r="J424" s="41">
        <v>0.1391532186175318</v>
      </c>
      <c r="K424" s="9" t="s">
        <v>857</v>
      </c>
    </row>
    <row r="425" spans="1:11" x14ac:dyDescent="0.2">
      <c r="A425" s="9" t="s">
        <v>32</v>
      </c>
      <c r="B425" s="9" t="s">
        <v>408</v>
      </c>
      <c r="C425" s="9"/>
      <c r="D425" s="9" t="s">
        <v>76</v>
      </c>
      <c r="E425" s="38">
        <v>5822</v>
      </c>
      <c r="F425" s="39">
        <v>747738</v>
      </c>
      <c r="G425" s="40">
        <v>128.43318447268979</v>
      </c>
      <c r="H425" s="41">
        <v>-0.46274434768455702</v>
      </c>
      <c r="I425" s="40">
        <v>19.26554448643078</v>
      </c>
      <c r="J425" s="41">
        <v>0.15000441331054459</v>
      </c>
      <c r="K425" s="9" t="s">
        <v>858</v>
      </c>
    </row>
    <row r="426" spans="1:11" x14ac:dyDescent="0.2">
      <c r="A426" s="9" t="s">
        <v>32</v>
      </c>
      <c r="B426" s="9" t="s">
        <v>87</v>
      </c>
      <c r="C426" s="9"/>
      <c r="D426" s="9" t="s">
        <v>87</v>
      </c>
      <c r="E426" s="38">
        <v>4735</v>
      </c>
      <c r="F426" s="39">
        <v>46693768</v>
      </c>
      <c r="G426" s="40">
        <v>9861.4082365364302</v>
      </c>
      <c r="H426" s="41">
        <v>6.3717853556773424E-2</v>
      </c>
      <c r="I426" s="40">
        <v>67.848785638859553</v>
      </c>
      <c r="J426" s="41">
        <v>6.8802329253017233E-3</v>
      </c>
      <c r="K426" s="9" t="s">
        <v>859</v>
      </c>
    </row>
    <row r="427" spans="1:11" x14ac:dyDescent="0.2">
      <c r="A427" s="9" t="s">
        <v>32</v>
      </c>
      <c r="B427" s="9" t="s">
        <v>411</v>
      </c>
      <c r="C427" s="9"/>
      <c r="D427" s="9" t="s">
        <v>76</v>
      </c>
      <c r="E427" s="38">
        <v>5589</v>
      </c>
      <c r="F427" s="39">
        <v>1000000</v>
      </c>
      <c r="G427" s="40">
        <v>178.92288423689391</v>
      </c>
      <c r="H427" s="41"/>
      <c r="I427" s="40">
        <v>24.77938808373591</v>
      </c>
      <c r="J427" s="41">
        <v>0.138492</v>
      </c>
      <c r="K427" s="9" t="s">
        <v>860</v>
      </c>
    </row>
    <row r="428" spans="1:11" x14ac:dyDescent="0.2">
      <c r="A428" s="9" t="s">
        <v>32</v>
      </c>
      <c r="B428" s="9" t="s">
        <v>173</v>
      </c>
      <c r="C428" s="9"/>
      <c r="D428" s="9" t="s">
        <v>80</v>
      </c>
      <c r="E428" s="38">
        <v>192</v>
      </c>
      <c r="F428" s="39">
        <v>738074</v>
      </c>
      <c r="G428" s="40">
        <v>3844.135416666667</v>
      </c>
      <c r="H428" s="41">
        <v>6.3906162968378075E-2</v>
      </c>
      <c r="I428" s="40">
        <v>569.875</v>
      </c>
      <c r="J428" s="41">
        <v>0.14824529789695881</v>
      </c>
      <c r="K428" s="9" t="s">
        <v>861</v>
      </c>
    </row>
    <row r="429" spans="1:11" x14ac:dyDescent="0.2">
      <c r="A429" s="9" t="s">
        <v>32</v>
      </c>
      <c r="B429" s="9" t="s">
        <v>173</v>
      </c>
      <c r="C429" s="9"/>
      <c r="D429" s="9" t="s">
        <v>80</v>
      </c>
      <c r="E429" s="38">
        <v>192</v>
      </c>
      <c r="F429" s="39">
        <v>770810</v>
      </c>
      <c r="G429" s="40">
        <v>4014.635416666667</v>
      </c>
      <c r="H429" s="41">
        <v>5.0989800252570813E-2</v>
      </c>
      <c r="I429" s="40">
        <v>560.4375</v>
      </c>
      <c r="J429" s="41">
        <v>0.13959860406585281</v>
      </c>
      <c r="K429" s="9" t="s">
        <v>861</v>
      </c>
    </row>
    <row r="430" spans="1:11" x14ac:dyDescent="0.2">
      <c r="A430" s="9" t="s">
        <v>32</v>
      </c>
      <c r="B430" s="9" t="s">
        <v>862</v>
      </c>
      <c r="C430" s="9"/>
      <c r="D430" s="9" t="s">
        <v>83</v>
      </c>
      <c r="E430" s="38">
        <v>930</v>
      </c>
      <c r="F430" s="39">
        <v>1486210.26</v>
      </c>
      <c r="G430" s="40">
        <v>1598.0755483870969</v>
      </c>
      <c r="H430" s="41"/>
      <c r="I430" s="40">
        <v>56.58064516129032</v>
      </c>
      <c r="J430" s="41">
        <v>3.5405488318994649E-2</v>
      </c>
      <c r="K430" s="9" t="s">
        <v>863</v>
      </c>
    </row>
    <row r="431" spans="1:11" x14ac:dyDescent="0.2">
      <c r="A431" s="9" t="s">
        <v>32</v>
      </c>
      <c r="B431" s="9" t="s">
        <v>864</v>
      </c>
      <c r="C431" s="9"/>
      <c r="D431" s="9" t="s">
        <v>81</v>
      </c>
      <c r="E431" s="38">
        <v>7000</v>
      </c>
      <c r="F431" s="39">
        <v>5924222</v>
      </c>
      <c r="G431" s="40">
        <v>846.31742857142854</v>
      </c>
      <c r="H431" s="41">
        <v>6.4079566055935608E-2</v>
      </c>
      <c r="I431" s="40">
        <v>53.396571428571427</v>
      </c>
      <c r="J431" s="41">
        <v>6.3092841557929463E-2</v>
      </c>
      <c r="K431" s="9" t="s">
        <v>865</v>
      </c>
    </row>
    <row r="432" spans="1:11" x14ac:dyDescent="0.2">
      <c r="A432" s="9" t="s">
        <v>32</v>
      </c>
      <c r="B432" s="9" t="s">
        <v>175</v>
      </c>
      <c r="C432" s="9"/>
      <c r="D432" s="9" t="s">
        <v>78</v>
      </c>
      <c r="E432" s="38">
        <v>175</v>
      </c>
      <c r="F432" s="39">
        <v>1873141</v>
      </c>
      <c r="G432" s="40">
        <v>10703.662857142859</v>
      </c>
      <c r="H432" s="41">
        <v>2.3426207515683979E-2</v>
      </c>
      <c r="I432" s="40">
        <v>1072.457142857143</v>
      </c>
      <c r="J432" s="41">
        <v>0.1001953403401025</v>
      </c>
      <c r="K432" s="9" t="s">
        <v>866</v>
      </c>
    </row>
    <row r="433" spans="1:11" x14ac:dyDescent="0.2">
      <c r="A433" s="9" t="s">
        <v>32</v>
      </c>
      <c r="B433" s="9" t="s">
        <v>175</v>
      </c>
      <c r="C433" s="9"/>
      <c r="D433" s="9" t="s">
        <v>78</v>
      </c>
      <c r="E433" s="38">
        <v>163</v>
      </c>
      <c r="F433" s="39">
        <v>1351787</v>
      </c>
      <c r="G433" s="40">
        <v>8293.1717791411047</v>
      </c>
      <c r="H433" s="41">
        <v>0.13791792248459611</v>
      </c>
      <c r="I433" s="40">
        <v>921.42331288343553</v>
      </c>
      <c r="J433" s="41">
        <v>0.1111062615633972</v>
      </c>
      <c r="K433" s="9" t="s">
        <v>866</v>
      </c>
    </row>
    <row r="434" spans="1:11" x14ac:dyDescent="0.2">
      <c r="A434" s="9" t="s">
        <v>32</v>
      </c>
      <c r="B434" s="9" t="s">
        <v>179</v>
      </c>
      <c r="C434" s="9"/>
      <c r="D434" s="9" t="s">
        <v>79</v>
      </c>
      <c r="E434" s="38">
        <v>5247</v>
      </c>
      <c r="F434" s="39">
        <v>7461869</v>
      </c>
      <c r="G434" s="40">
        <v>1422.1210215361159</v>
      </c>
      <c r="H434" s="41">
        <v>6.5984387333012845E-2</v>
      </c>
      <c r="I434" s="40">
        <v>106.9799885648942</v>
      </c>
      <c r="J434" s="41">
        <v>7.522565727165674E-2</v>
      </c>
      <c r="K434" s="9" t="s">
        <v>867</v>
      </c>
    </row>
    <row r="435" spans="1:11" x14ac:dyDescent="0.2">
      <c r="A435" s="9" t="s">
        <v>32</v>
      </c>
      <c r="B435" s="9" t="s">
        <v>868</v>
      </c>
      <c r="C435" s="9"/>
      <c r="D435" s="9" t="s">
        <v>85</v>
      </c>
      <c r="E435" s="38">
        <v>17383</v>
      </c>
      <c r="F435" s="39">
        <v>3700297</v>
      </c>
      <c r="G435" s="40">
        <v>212.8687223149054</v>
      </c>
      <c r="H435" s="41">
        <v>0.30699518459448072</v>
      </c>
      <c r="I435" s="40">
        <v>21.300120807685669</v>
      </c>
      <c r="J435" s="41">
        <v>0.1000622382473623</v>
      </c>
      <c r="K435" s="9" t="s">
        <v>869</v>
      </c>
    </row>
    <row r="436" spans="1:11" x14ac:dyDescent="0.2">
      <c r="A436" s="9" t="s">
        <v>32</v>
      </c>
      <c r="B436" s="9" t="s">
        <v>187</v>
      </c>
      <c r="C436" s="9"/>
      <c r="D436" s="9" t="s">
        <v>76</v>
      </c>
      <c r="E436" s="38">
        <v>1504</v>
      </c>
      <c r="F436" s="39">
        <v>1477817</v>
      </c>
      <c r="G436" s="40">
        <v>982.59109042553189</v>
      </c>
      <c r="H436" s="41">
        <v>0.32314554408091239</v>
      </c>
      <c r="I436" s="40">
        <v>103.4840425531915</v>
      </c>
      <c r="J436" s="41">
        <v>0.10531750548274919</v>
      </c>
      <c r="K436" s="9" t="s">
        <v>870</v>
      </c>
    </row>
    <row r="437" spans="1:11" x14ac:dyDescent="0.2">
      <c r="A437" s="9" t="s">
        <v>32</v>
      </c>
      <c r="B437" s="9" t="s">
        <v>422</v>
      </c>
      <c r="C437" s="9"/>
      <c r="D437" s="9" t="s">
        <v>83</v>
      </c>
      <c r="E437" s="38">
        <v>591</v>
      </c>
      <c r="F437" s="39">
        <v>196954</v>
      </c>
      <c r="G437" s="40">
        <v>333.2554991539763</v>
      </c>
      <c r="H437" s="41">
        <v>-0.18629998616274179</v>
      </c>
      <c r="I437" s="40">
        <v>122.2131979695431</v>
      </c>
      <c r="J437" s="41">
        <v>0.36672522517948353</v>
      </c>
      <c r="K437" s="9" t="s">
        <v>871</v>
      </c>
    </row>
    <row r="438" spans="1:11" x14ac:dyDescent="0.2">
      <c r="A438" s="9" t="s">
        <v>32</v>
      </c>
      <c r="B438" s="9" t="s">
        <v>422</v>
      </c>
      <c r="C438" s="9"/>
      <c r="D438" s="9" t="s">
        <v>83</v>
      </c>
      <c r="E438" s="38">
        <v>1233</v>
      </c>
      <c r="F438" s="39">
        <v>237666</v>
      </c>
      <c r="G438" s="40">
        <v>192.75425790754261</v>
      </c>
      <c r="H438" s="41">
        <v>-0.2366661991770766</v>
      </c>
      <c r="I438" s="40">
        <v>89.372262773722625</v>
      </c>
      <c r="J438" s="41">
        <v>0.46365908459771282</v>
      </c>
      <c r="K438" s="9" t="s">
        <v>871</v>
      </c>
    </row>
    <row r="439" spans="1:11" x14ac:dyDescent="0.2">
      <c r="A439" s="9" t="s">
        <v>32</v>
      </c>
      <c r="B439" s="9" t="s">
        <v>191</v>
      </c>
      <c r="C439" s="9"/>
      <c r="D439" s="9" t="s">
        <v>76</v>
      </c>
      <c r="E439" s="38">
        <v>4682</v>
      </c>
      <c r="F439" s="39">
        <v>2506162</v>
      </c>
      <c r="G439" s="40">
        <v>535.27595044852626</v>
      </c>
      <c r="H439" s="41">
        <v>0.35426944544685979</v>
      </c>
      <c r="I439" s="40">
        <v>89.354122170012815</v>
      </c>
      <c r="J439" s="41">
        <v>0.1669309485978959</v>
      </c>
      <c r="K439" s="9" t="s">
        <v>872</v>
      </c>
    </row>
    <row r="440" spans="1:11" x14ac:dyDescent="0.2">
      <c r="A440" s="9" t="s">
        <v>32</v>
      </c>
      <c r="B440" s="9" t="s">
        <v>193</v>
      </c>
      <c r="C440" s="9"/>
      <c r="D440" s="9" t="s">
        <v>82</v>
      </c>
      <c r="E440" s="38">
        <v>2559</v>
      </c>
      <c r="F440" s="39">
        <v>1366282</v>
      </c>
      <c r="G440" s="40">
        <v>533.91246580695588</v>
      </c>
      <c r="H440" s="41">
        <v>0.1691583562317738</v>
      </c>
      <c r="I440" s="40">
        <v>91.113716295427906</v>
      </c>
      <c r="J440" s="41">
        <v>0.1706529105997151</v>
      </c>
      <c r="K440" s="9" t="s">
        <v>873</v>
      </c>
    </row>
    <row r="441" spans="1:11" x14ac:dyDescent="0.2">
      <c r="A441" s="9" t="s">
        <v>32</v>
      </c>
      <c r="B441" s="9" t="s">
        <v>197</v>
      </c>
      <c r="C441" s="9"/>
      <c r="D441" s="9" t="s">
        <v>76</v>
      </c>
      <c r="E441" s="38">
        <v>5027</v>
      </c>
      <c r="F441" s="39">
        <v>1806593</v>
      </c>
      <c r="G441" s="40">
        <v>359.37795902128511</v>
      </c>
      <c r="H441" s="41">
        <v>0.1028871824261279</v>
      </c>
      <c r="I441" s="40">
        <v>29.561965386910678</v>
      </c>
      <c r="J441" s="41">
        <v>8.2258704644598973E-2</v>
      </c>
      <c r="K441" s="9" t="s">
        <v>874</v>
      </c>
    </row>
    <row r="442" spans="1:11" x14ac:dyDescent="0.2">
      <c r="A442" s="9" t="s">
        <v>32</v>
      </c>
      <c r="B442" s="9" t="s">
        <v>200</v>
      </c>
      <c r="C442" s="9"/>
      <c r="D442" s="9" t="s">
        <v>77</v>
      </c>
      <c r="E442" s="38">
        <v>6792</v>
      </c>
      <c r="F442" s="39">
        <v>4589721</v>
      </c>
      <c r="G442" s="40">
        <v>675.75397526501763</v>
      </c>
      <c r="H442" s="41">
        <v>0.32581328519720171</v>
      </c>
      <c r="I442" s="40">
        <v>93.480565371024738</v>
      </c>
      <c r="J442" s="41">
        <v>0.13833520599618149</v>
      </c>
      <c r="K442" s="9" t="s">
        <v>875</v>
      </c>
    </row>
    <row r="443" spans="1:11" x14ac:dyDescent="0.2">
      <c r="A443" s="9" t="s">
        <v>32</v>
      </c>
      <c r="B443" s="9" t="s">
        <v>202</v>
      </c>
      <c r="C443" s="9"/>
      <c r="D443" s="9" t="s">
        <v>81</v>
      </c>
      <c r="E443" s="38">
        <v>681</v>
      </c>
      <c r="F443" s="39">
        <v>1523170</v>
      </c>
      <c r="G443" s="40">
        <v>2236.666666666667</v>
      </c>
      <c r="H443" s="41">
        <v>8.5825563355396456E-2</v>
      </c>
      <c r="I443" s="40">
        <v>331.68281938325993</v>
      </c>
      <c r="J443" s="41">
        <v>0.14829336187030989</v>
      </c>
      <c r="K443" s="9" t="s">
        <v>876</v>
      </c>
    </row>
    <row r="444" spans="1:11" x14ac:dyDescent="0.2">
      <c r="A444" s="9" t="s">
        <v>32</v>
      </c>
      <c r="B444" s="9" t="s">
        <v>877</v>
      </c>
      <c r="C444" s="9"/>
      <c r="D444" s="9" t="s">
        <v>76</v>
      </c>
      <c r="E444" s="38">
        <v>6000</v>
      </c>
      <c r="F444" s="39">
        <v>1121147</v>
      </c>
      <c r="G444" s="40">
        <v>186.8578333333333</v>
      </c>
      <c r="H444" s="41"/>
      <c r="I444" s="40">
        <v>18.686</v>
      </c>
      <c r="J444" s="41">
        <v>0.10000115952680599</v>
      </c>
      <c r="K444" s="9" t="s">
        <v>878</v>
      </c>
    </row>
    <row r="445" spans="1:11" x14ac:dyDescent="0.2">
      <c r="A445" s="9" t="s">
        <v>32</v>
      </c>
      <c r="B445" s="9" t="s">
        <v>432</v>
      </c>
      <c r="C445" s="9"/>
      <c r="D445" s="9" t="s">
        <v>81</v>
      </c>
      <c r="E445" s="38">
        <v>906</v>
      </c>
      <c r="F445" s="39">
        <v>3556684</v>
      </c>
      <c r="G445" s="40">
        <v>3925.6997792494481</v>
      </c>
      <c r="H445" s="41">
        <v>-6.452372611792735E-3</v>
      </c>
      <c r="I445" s="40">
        <v>426.27814569536417</v>
      </c>
      <c r="J445" s="41">
        <v>0.1085865373477093</v>
      </c>
      <c r="K445" s="9" t="s">
        <v>879</v>
      </c>
    </row>
    <row r="446" spans="1:11" x14ac:dyDescent="0.2">
      <c r="A446" s="9" t="s">
        <v>32</v>
      </c>
      <c r="B446" s="9" t="s">
        <v>759</v>
      </c>
      <c r="C446" s="9"/>
      <c r="D446" s="9" t="s">
        <v>76</v>
      </c>
      <c r="E446" s="38">
        <v>3742</v>
      </c>
      <c r="F446" s="39">
        <v>626271</v>
      </c>
      <c r="G446" s="40">
        <v>167.36264029930521</v>
      </c>
      <c r="H446" s="41">
        <v>-0.34885305000964673</v>
      </c>
      <c r="I446" s="40">
        <v>24.574024585783</v>
      </c>
      <c r="J446" s="41">
        <v>0.14683100446931119</v>
      </c>
      <c r="K446" s="9" t="s">
        <v>880</v>
      </c>
    </row>
    <row r="447" spans="1:11" x14ac:dyDescent="0.2">
      <c r="A447" s="9" t="s">
        <v>32</v>
      </c>
      <c r="B447" s="9" t="s">
        <v>204</v>
      </c>
      <c r="C447" s="9"/>
      <c r="D447" s="9" t="s">
        <v>81</v>
      </c>
      <c r="E447" s="38">
        <v>681</v>
      </c>
      <c r="F447" s="39">
        <v>2040498</v>
      </c>
      <c r="G447" s="40">
        <v>2996.325991189427</v>
      </c>
      <c r="H447" s="41">
        <v>0.17151798232020821</v>
      </c>
      <c r="I447" s="40">
        <v>255.01321585903091</v>
      </c>
      <c r="J447" s="41">
        <v>8.5108635244925498E-2</v>
      </c>
      <c r="K447" s="9" t="s">
        <v>881</v>
      </c>
    </row>
    <row r="448" spans="1:11" x14ac:dyDescent="0.2">
      <c r="A448" s="9" t="s">
        <v>32</v>
      </c>
      <c r="B448" s="9" t="s">
        <v>206</v>
      </c>
      <c r="C448" s="9"/>
      <c r="D448" s="9" t="s">
        <v>80</v>
      </c>
      <c r="E448" s="38">
        <v>300</v>
      </c>
      <c r="F448" s="39">
        <v>648856</v>
      </c>
      <c r="G448" s="40">
        <v>2162.853333333333</v>
      </c>
      <c r="H448" s="41">
        <v>0.1072749458470095</v>
      </c>
      <c r="I448" s="40">
        <v>256.83999999999997</v>
      </c>
      <c r="J448" s="41">
        <v>0.11875053941090161</v>
      </c>
      <c r="K448" s="9" t="s">
        <v>882</v>
      </c>
    </row>
    <row r="449" spans="1:11" x14ac:dyDescent="0.2">
      <c r="A449" s="9" t="s">
        <v>32</v>
      </c>
      <c r="B449" s="9" t="s">
        <v>208</v>
      </c>
      <c r="C449" s="9"/>
      <c r="D449" s="9" t="s">
        <v>78</v>
      </c>
      <c r="E449" s="38">
        <v>1150</v>
      </c>
      <c r="F449" s="39">
        <v>1092950</v>
      </c>
      <c r="G449" s="40">
        <v>950.39130434782612</v>
      </c>
      <c r="H449" s="41">
        <v>0.36413334776631368</v>
      </c>
      <c r="I449" s="40">
        <v>154.9773913043478</v>
      </c>
      <c r="J449" s="41">
        <v>0.163066928953749</v>
      </c>
      <c r="K449" s="9" t="s">
        <v>883</v>
      </c>
    </row>
    <row r="450" spans="1:11" x14ac:dyDescent="0.2">
      <c r="A450" s="9" t="s">
        <v>32</v>
      </c>
      <c r="B450" s="9" t="s">
        <v>884</v>
      </c>
      <c r="C450" s="9"/>
      <c r="D450" s="9" t="s">
        <v>76</v>
      </c>
      <c r="E450" s="38">
        <v>5779</v>
      </c>
      <c r="F450" s="39">
        <v>2086301</v>
      </c>
      <c r="G450" s="40">
        <v>361.01418930610828</v>
      </c>
      <c r="H450" s="41">
        <v>0.1855477108196045</v>
      </c>
      <c r="I450" s="40">
        <v>67.099498183076662</v>
      </c>
      <c r="J450" s="41">
        <v>0.1858638806193354</v>
      </c>
      <c r="K450" s="9" t="s">
        <v>885</v>
      </c>
    </row>
    <row r="451" spans="1:11" x14ac:dyDescent="0.2">
      <c r="A451" s="9" t="s">
        <v>32</v>
      </c>
      <c r="B451" s="9" t="s">
        <v>676</v>
      </c>
      <c r="C451" s="9"/>
      <c r="D451" s="9" t="s">
        <v>77</v>
      </c>
      <c r="E451" s="38">
        <v>2310</v>
      </c>
      <c r="F451" s="39">
        <v>3137264</v>
      </c>
      <c r="G451" s="40">
        <v>1358.122943722944</v>
      </c>
      <c r="H451" s="41">
        <v>2.1094727473468348E-2</v>
      </c>
      <c r="I451" s="40">
        <v>76.103896103896105</v>
      </c>
      <c r="J451" s="41">
        <v>5.6036087495346262E-2</v>
      </c>
      <c r="K451" s="9" t="s">
        <v>886</v>
      </c>
    </row>
    <row r="452" spans="1:11" x14ac:dyDescent="0.2">
      <c r="A452" s="9" t="s">
        <v>32</v>
      </c>
      <c r="B452" s="9" t="s">
        <v>766</v>
      </c>
      <c r="C452" s="9"/>
      <c r="D452" s="9" t="s">
        <v>86</v>
      </c>
      <c r="E452" s="38">
        <v>45000</v>
      </c>
      <c r="F452" s="39">
        <v>14321870</v>
      </c>
      <c r="G452" s="40">
        <v>318.26377777777782</v>
      </c>
      <c r="H452" s="41">
        <v>0.42029380016269619</v>
      </c>
      <c r="I452" s="40">
        <v>19.556266666666669</v>
      </c>
      <c r="J452" s="41">
        <v>6.1446724485000909E-2</v>
      </c>
      <c r="K452" s="9" t="s">
        <v>887</v>
      </c>
    </row>
    <row r="453" spans="1:11" x14ac:dyDescent="0.2">
      <c r="A453" s="9" t="s">
        <v>32</v>
      </c>
      <c r="B453" s="9" t="s">
        <v>888</v>
      </c>
      <c r="C453" s="9"/>
      <c r="D453" s="9" t="s">
        <v>86</v>
      </c>
      <c r="E453" s="38">
        <v>210531</v>
      </c>
      <c r="F453" s="39">
        <v>28108835</v>
      </c>
      <c r="G453" s="40">
        <v>133.51399556359871</v>
      </c>
      <c r="H453" s="41">
        <v>-0.12357224443175351</v>
      </c>
      <c r="I453" s="40">
        <v>0</v>
      </c>
      <c r="J453" s="41">
        <v>0</v>
      </c>
      <c r="K453" s="9" t="s">
        <v>889</v>
      </c>
    </row>
    <row r="454" spans="1:11" x14ac:dyDescent="0.2">
      <c r="A454" s="9" t="s">
        <v>32</v>
      </c>
      <c r="B454" s="9" t="s">
        <v>768</v>
      </c>
      <c r="C454" s="9"/>
      <c r="D454" s="9" t="s">
        <v>77</v>
      </c>
      <c r="E454" s="38">
        <v>15282</v>
      </c>
      <c r="F454" s="39">
        <v>3795421.77</v>
      </c>
      <c r="G454" s="40">
        <v>248.35896937573619</v>
      </c>
      <c r="H454" s="41">
        <v>-0.167736832269306</v>
      </c>
      <c r="I454" s="40">
        <v>18.521397722811152</v>
      </c>
      <c r="J454" s="41">
        <v>7.4575111055444038E-2</v>
      </c>
      <c r="K454" s="9" t="s">
        <v>890</v>
      </c>
    </row>
    <row r="455" spans="1:11" x14ac:dyDescent="0.2">
      <c r="A455" s="9" t="s">
        <v>32</v>
      </c>
      <c r="B455" s="9" t="s">
        <v>445</v>
      </c>
      <c r="C455" s="9"/>
      <c r="D455" s="9" t="s">
        <v>82</v>
      </c>
      <c r="E455" s="38">
        <v>2430</v>
      </c>
      <c r="F455" s="39">
        <v>1084212</v>
      </c>
      <c r="G455" s="40">
        <v>446.17777777777781</v>
      </c>
      <c r="H455" s="41">
        <v>0.14454942395329101</v>
      </c>
      <c r="I455" s="40">
        <v>76.237037037037041</v>
      </c>
      <c r="J455" s="41">
        <v>0.1708669522196766</v>
      </c>
      <c r="K455" s="9" t="s">
        <v>891</v>
      </c>
    </row>
    <row r="456" spans="1:11" x14ac:dyDescent="0.2">
      <c r="A456" s="9" t="s">
        <v>32</v>
      </c>
      <c r="B456" s="9" t="s">
        <v>231</v>
      </c>
      <c r="C456" s="9"/>
      <c r="D456" s="9" t="s">
        <v>76</v>
      </c>
      <c r="E456" s="38">
        <v>7728</v>
      </c>
      <c r="F456" s="39">
        <v>2575669.65</v>
      </c>
      <c r="G456" s="40">
        <v>333.29058618012419</v>
      </c>
      <c r="H456" s="41">
        <v>-0.1982929455909648</v>
      </c>
      <c r="I456" s="40">
        <v>46.965838509316768</v>
      </c>
      <c r="J456" s="41">
        <v>0.1409155867484792</v>
      </c>
      <c r="K456" s="9" t="s">
        <v>892</v>
      </c>
    </row>
    <row r="457" spans="1:11" x14ac:dyDescent="0.2">
      <c r="A457" s="9" t="s">
        <v>32</v>
      </c>
      <c r="B457" s="9" t="s">
        <v>893</v>
      </c>
      <c r="C457" s="9"/>
      <c r="D457" s="9" t="s">
        <v>78</v>
      </c>
      <c r="E457" s="38">
        <v>150</v>
      </c>
      <c r="F457" s="39">
        <v>794908</v>
      </c>
      <c r="G457" s="40">
        <v>5299.3866666666663</v>
      </c>
      <c r="H457" s="41">
        <v>0.1619174773214469</v>
      </c>
      <c r="I457" s="40">
        <v>597.20000000000005</v>
      </c>
      <c r="J457" s="41">
        <v>0.1126922864029548</v>
      </c>
      <c r="K457" s="9" t="s">
        <v>894</v>
      </c>
    </row>
    <row r="458" spans="1:11" x14ac:dyDescent="0.2">
      <c r="A458" s="9" t="s">
        <v>32</v>
      </c>
      <c r="B458" s="9" t="s">
        <v>895</v>
      </c>
      <c r="C458" s="9"/>
      <c r="D458" s="9" t="s">
        <v>77</v>
      </c>
      <c r="E458" s="38">
        <v>6591</v>
      </c>
      <c r="F458" s="39">
        <v>6408765.0999999996</v>
      </c>
      <c r="G458" s="40">
        <v>972.35094826278248</v>
      </c>
      <c r="H458" s="41">
        <v>0.43562643093116549</v>
      </c>
      <c r="I458" s="40">
        <v>103.6504324078289</v>
      </c>
      <c r="J458" s="41">
        <v>0.10659775937177041</v>
      </c>
      <c r="K458" s="9" t="s">
        <v>896</v>
      </c>
    </row>
    <row r="459" spans="1:11" x14ac:dyDescent="0.2">
      <c r="A459" s="9" t="s">
        <v>32</v>
      </c>
      <c r="B459" s="9" t="s">
        <v>897</v>
      </c>
      <c r="C459" s="9"/>
      <c r="D459" s="9" t="s">
        <v>77</v>
      </c>
      <c r="E459" s="38">
        <v>2259</v>
      </c>
      <c r="F459" s="39">
        <v>1073934.99</v>
      </c>
      <c r="G459" s="40">
        <v>475.40282868525901</v>
      </c>
      <c r="H459" s="41"/>
      <c r="I459" s="40">
        <v>38.034528552456841</v>
      </c>
      <c r="J459" s="41">
        <v>8.0004842751235802E-2</v>
      </c>
      <c r="K459" s="9" t="s">
        <v>898</v>
      </c>
    </row>
    <row r="460" spans="1:11" x14ac:dyDescent="0.2">
      <c r="A460" s="9" t="s">
        <v>32</v>
      </c>
      <c r="B460" s="9" t="s">
        <v>235</v>
      </c>
      <c r="C460" s="9"/>
      <c r="D460" s="9" t="s">
        <v>77</v>
      </c>
      <c r="E460" s="38">
        <v>5517</v>
      </c>
      <c r="F460" s="39">
        <v>6003296</v>
      </c>
      <c r="G460" s="40">
        <v>1088.145006344027</v>
      </c>
      <c r="H460" s="41">
        <v>0.46191590069533711</v>
      </c>
      <c r="I460" s="40">
        <v>106.657966286025</v>
      </c>
      <c r="J460" s="41">
        <v>9.8018155359988909E-2</v>
      </c>
      <c r="K460" s="9" t="s">
        <v>899</v>
      </c>
    </row>
    <row r="461" spans="1:11" x14ac:dyDescent="0.2">
      <c r="A461" s="9" t="s">
        <v>32</v>
      </c>
      <c r="B461" s="9" t="s">
        <v>454</v>
      </c>
      <c r="C461" s="9"/>
      <c r="D461" s="9" t="s">
        <v>76</v>
      </c>
      <c r="E461" s="38">
        <v>11179</v>
      </c>
      <c r="F461" s="39">
        <v>3401483</v>
      </c>
      <c r="G461" s="40">
        <v>304.27435369889969</v>
      </c>
      <c r="H461" s="41">
        <v>0.233513906607901</v>
      </c>
      <c r="I461" s="40">
        <v>36.513104928884523</v>
      </c>
      <c r="J461" s="41">
        <v>0.1200005997384082</v>
      </c>
      <c r="K461" s="9" t="s">
        <v>900</v>
      </c>
    </row>
    <row r="462" spans="1:11" x14ac:dyDescent="0.2">
      <c r="A462" s="9" t="s">
        <v>32</v>
      </c>
      <c r="B462" s="9" t="s">
        <v>901</v>
      </c>
      <c r="C462" s="9"/>
      <c r="D462" s="9" t="s">
        <v>78</v>
      </c>
      <c r="E462" s="38">
        <v>1500</v>
      </c>
      <c r="F462" s="39">
        <v>583935</v>
      </c>
      <c r="G462" s="40">
        <v>389.29</v>
      </c>
      <c r="H462" s="41">
        <v>-0.20173041189560981</v>
      </c>
      <c r="I462" s="40">
        <v>67.12</v>
      </c>
      <c r="J462" s="41">
        <v>0.17241645046109591</v>
      </c>
      <c r="K462" s="9" t="s">
        <v>902</v>
      </c>
    </row>
    <row r="463" spans="1:11" x14ac:dyDescent="0.2">
      <c r="A463" s="9" t="s">
        <v>32</v>
      </c>
      <c r="B463" s="9" t="s">
        <v>456</v>
      </c>
      <c r="C463" s="9"/>
      <c r="D463" s="9" t="s">
        <v>76</v>
      </c>
      <c r="E463" s="38">
        <v>1187</v>
      </c>
      <c r="F463" s="39">
        <v>584641</v>
      </c>
      <c r="G463" s="40">
        <v>492.53664700926709</v>
      </c>
      <c r="H463" s="41">
        <v>5.1527696828588113E-2</v>
      </c>
      <c r="I463" s="40">
        <v>51.093513058129737</v>
      </c>
      <c r="J463" s="41">
        <v>0.1037354547491538</v>
      </c>
      <c r="K463" s="9" t="s">
        <v>903</v>
      </c>
    </row>
    <row r="464" spans="1:11" x14ac:dyDescent="0.2">
      <c r="A464" s="9" t="s">
        <v>32</v>
      </c>
      <c r="B464" s="9" t="s">
        <v>242</v>
      </c>
      <c r="C464" s="9"/>
      <c r="D464" s="9" t="s">
        <v>82</v>
      </c>
      <c r="E464" s="38">
        <v>3739</v>
      </c>
      <c r="F464" s="39">
        <v>1243649</v>
      </c>
      <c r="G464" s="40">
        <v>332.6154051885531</v>
      </c>
      <c r="H464" s="41"/>
      <c r="I464" s="40">
        <v>7.8181331906926994</v>
      </c>
      <c r="J464" s="41">
        <v>2.350502432760369E-2</v>
      </c>
      <c r="K464" s="9" t="s">
        <v>904</v>
      </c>
    </row>
    <row r="465" spans="1:11" x14ac:dyDescent="0.2">
      <c r="A465" s="9" t="s">
        <v>32</v>
      </c>
      <c r="B465" s="9" t="s">
        <v>905</v>
      </c>
      <c r="C465" s="9"/>
      <c r="D465" s="9" t="s">
        <v>76</v>
      </c>
      <c r="E465" s="38">
        <v>4434</v>
      </c>
      <c r="F465" s="39">
        <v>1235132.78</v>
      </c>
      <c r="G465" s="40">
        <v>278.55949030221018</v>
      </c>
      <c r="H465" s="41">
        <v>0.19141134245679309</v>
      </c>
      <c r="I465" s="40">
        <v>28.963464140730721</v>
      </c>
      <c r="J465" s="41">
        <v>0.1039758656555128</v>
      </c>
      <c r="K465" s="9" t="s">
        <v>906</v>
      </c>
    </row>
    <row r="466" spans="1:11" x14ac:dyDescent="0.2">
      <c r="A466" s="9" t="s">
        <v>32</v>
      </c>
      <c r="B466" s="9" t="s">
        <v>243</v>
      </c>
      <c r="C466" s="9"/>
      <c r="D466" s="9" t="s">
        <v>82</v>
      </c>
      <c r="E466" s="38">
        <v>1540</v>
      </c>
      <c r="F466" s="39">
        <v>960806</v>
      </c>
      <c r="G466" s="40">
        <v>623.9</v>
      </c>
      <c r="H466" s="41">
        <v>-0.2152514793381336</v>
      </c>
      <c r="I466" s="40">
        <v>78.257142857142853</v>
      </c>
      <c r="J466" s="41">
        <v>0.12543218922446361</v>
      </c>
      <c r="K466" s="9" t="s">
        <v>907</v>
      </c>
    </row>
    <row r="467" spans="1:11" x14ac:dyDescent="0.2">
      <c r="A467" s="9" t="s">
        <v>32</v>
      </c>
      <c r="B467" s="9" t="s">
        <v>908</v>
      </c>
      <c r="C467" s="9"/>
      <c r="D467" s="9" t="s">
        <v>80</v>
      </c>
      <c r="E467" s="38">
        <v>989</v>
      </c>
      <c r="F467" s="39">
        <v>324359</v>
      </c>
      <c r="G467" s="40">
        <v>327.96663296258839</v>
      </c>
      <c r="H467" s="41"/>
      <c r="I467" s="40">
        <v>63.27603640040445</v>
      </c>
      <c r="J467" s="41">
        <v>0.1929343721000496</v>
      </c>
      <c r="K467" s="9" t="s">
        <v>909</v>
      </c>
    </row>
    <row r="468" spans="1:11" x14ac:dyDescent="0.2">
      <c r="A468" s="9" t="s">
        <v>32</v>
      </c>
      <c r="B468" s="9" t="s">
        <v>464</v>
      </c>
      <c r="C468" s="9"/>
      <c r="D468" s="9" t="s">
        <v>80</v>
      </c>
      <c r="E468" s="38">
        <v>957</v>
      </c>
      <c r="F468" s="39">
        <v>571163</v>
      </c>
      <c r="G468" s="40">
        <v>596.82654127481715</v>
      </c>
      <c r="H468" s="41">
        <v>4.994663334068386E-2</v>
      </c>
      <c r="I468" s="40">
        <v>84.752351097178689</v>
      </c>
      <c r="J468" s="41">
        <v>0.14200499682227319</v>
      </c>
      <c r="K468" s="9" t="s">
        <v>910</v>
      </c>
    </row>
    <row r="469" spans="1:11" x14ac:dyDescent="0.2">
      <c r="A469" s="9" t="s">
        <v>32</v>
      </c>
      <c r="B469" s="9" t="s">
        <v>467</v>
      </c>
      <c r="C469" s="9"/>
      <c r="D469" s="9" t="s">
        <v>78</v>
      </c>
      <c r="E469" s="38">
        <v>2062</v>
      </c>
      <c r="F469" s="39">
        <v>3713514</v>
      </c>
      <c r="G469" s="40">
        <v>1800.9282250242479</v>
      </c>
      <c r="H469" s="41">
        <v>0.26492769918779308</v>
      </c>
      <c r="I469" s="40">
        <v>147.9340446168768</v>
      </c>
      <c r="J469" s="41">
        <v>8.2143220679927423E-2</v>
      </c>
      <c r="K469" s="9" t="s">
        <v>911</v>
      </c>
    </row>
    <row r="470" spans="1:11" x14ac:dyDescent="0.2">
      <c r="A470" s="9" t="s">
        <v>32</v>
      </c>
      <c r="B470" s="9" t="s">
        <v>140</v>
      </c>
      <c r="C470" s="9"/>
      <c r="D470" s="9" t="s">
        <v>83</v>
      </c>
      <c r="E470" s="38">
        <v>6632</v>
      </c>
      <c r="F470" s="39">
        <v>2713581.15</v>
      </c>
      <c r="G470" s="40">
        <v>409.16482961399282</v>
      </c>
      <c r="H470" s="41">
        <v>0.11334872062503221</v>
      </c>
      <c r="I470" s="40">
        <v>13.57056694813028</v>
      </c>
      <c r="J470" s="41">
        <v>3.316650397575175E-2</v>
      </c>
      <c r="K470" s="9" t="s">
        <v>912</v>
      </c>
    </row>
    <row r="471" spans="1:11" x14ac:dyDescent="0.2">
      <c r="A471" s="9" t="s">
        <v>32</v>
      </c>
      <c r="B471" s="9" t="s">
        <v>256</v>
      </c>
      <c r="C471" s="9"/>
      <c r="D471" s="9" t="s">
        <v>76</v>
      </c>
      <c r="E471" s="38">
        <v>2030</v>
      </c>
      <c r="F471" s="39">
        <v>2459651</v>
      </c>
      <c r="G471" s="40">
        <v>1211.6507389162559</v>
      </c>
      <c r="H471" s="41">
        <v>0.58258362328746527</v>
      </c>
      <c r="I471" s="40">
        <v>130.53399014778319</v>
      </c>
      <c r="J471" s="41">
        <v>0.10773235715148211</v>
      </c>
      <c r="K471" s="9" t="s">
        <v>913</v>
      </c>
    </row>
    <row r="472" spans="1:11" x14ac:dyDescent="0.2">
      <c r="A472" s="9" t="s">
        <v>32</v>
      </c>
      <c r="B472" s="9" t="s">
        <v>258</v>
      </c>
      <c r="C472" s="9"/>
      <c r="D472" s="9" t="s">
        <v>78</v>
      </c>
      <c r="E472" s="38">
        <v>1013</v>
      </c>
      <c r="F472" s="39">
        <v>537344</v>
      </c>
      <c r="G472" s="40">
        <v>530.44817374136233</v>
      </c>
      <c r="H472" s="41">
        <v>0.28622643856167918</v>
      </c>
      <c r="I472" s="40">
        <v>65.271470878578484</v>
      </c>
      <c r="J472" s="41">
        <v>0.12304966650786089</v>
      </c>
      <c r="K472" s="9" t="s">
        <v>914</v>
      </c>
    </row>
    <row r="473" spans="1:11" x14ac:dyDescent="0.2">
      <c r="A473" s="9" t="s">
        <v>32</v>
      </c>
      <c r="B473" s="9" t="s">
        <v>915</v>
      </c>
      <c r="C473" s="9"/>
      <c r="D473" s="9" t="s">
        <v>76</v>
      </c>
      <c r="E473" s="38">
        <v>1280</v>
      </c>
      <c r="F473" s="39">
        <v>500000</v>
      </c>
      <c r="G473" s="40">
        <v>390.625</v>
      </c>
      <c r="H473" s="41"/>
      <c r="I473" s="40">
        <v>61.2</v>
      </c>
      <c r="J473" s="41">
        <v>0.15667200000000001</v>
      </c>
      <c r="K473" s="9" t="s">
        <v>916</v>
      </c>
    </row>
    <row r="474" spans="1:11" x14ac:dyDescent="0.2">
      <c r="A474" s="9" t="s">
        <v>32</v>
      </c>
      <c r="B474" s="9" t="s">
        <v>917</v>
      </c>
      <c r="C474" s="9"/>
      <c r="D474" s="9" t="s">
        <v>78</v>
      </c>
      <c r="E474" s="38">
        <v>619</v>
      </c>
      <c r="F474" s="39">
        <v>1339424</v>
      </c>
      <c r="G474" s="40">
        <v>2163.8513731825519</v>
      </c>
      <c r="H474" s="41">
        <v>-0.2027142406827144</v>
      </c>
      <c r="I474" s="40">
        <v>210.37802907915989</v>
      </c>
      <c r="J474" s="41">
        <v>9.722388131017512E-2</v>
      </c>
      <c r="K474" s="9" t="s">
        <v>918</v>
      </c>
    </row>
    <row r="475" spans="1:11" x14ac:dyDescent="0.2">
      <c r="A475" s="9" t="s">
        <v>32</v>
      </c>
      <c r="B475" s="9" t="s">
        <v>473</v>
      </c>
      <c r="C475" s="9"/>
      <c r="D475" s="9" t="s">
        <v>86</v>
      </c>
      <c r="E475" s="38">
        <v>139973</v>
      </c>
      <c r="F475" s="39">
        <v>17241395</v>
      </c>
      <c r="G475" s="40">
        <v>123.17657691126151</v>
      </c>
      <c r="H475" s="41">
        <v>-0.1567317574511819</v>
      </c>
      <c r="I475" s="40">
        <v>0</v>
      </c>
      <c r="J475" s="41">
        <v>0</v>
      </c>
      <c r="K475" s="9" t="s">
        <v>919</v>
      </c>
    </row>
    <row r="476" spans="1:11" x14ac:dyDescent="0.2">
      <c r="A476" s="9" t="s">
        <v>32</v>
      </c>
      <c r="B476" s="9" t="s">
        <v>920</v>
      </c>
      <c r="C476" s="9"/>
      <c r="D476" s="9" t="s">
        <v>76</v>
      </c>
      <c r="E476" s="38">
        <v>4141</v>
      </c>
      <c r="F476" s="39">
        <v>1456417</v>
      </c>
      <c r="G476" s="40">
        <v>351.70659261048058</v>
      </c>
      <c r="H476" s="41">
        <v>0.2926135911530946</v>
      </c>
      <c r="I476" s="40">
        <v>47.588505191982613</v>
      </c>
      <c r="J476" s="41">
        <v>0.13530740165762961</v>
      </c>
      <c r="K476" s="9" t="s">
        <v>921</v>
      </c>
    </row>
    <row r="477" spans="1:11" x14ac:dyDescent="0.2">
      <c r="A477" s="9" t="s">
        <v>32</v>
      </c>
      <c r="B477" s="9" t="s">
        <v>267</v>
      </c>
      <c r="C477" s="9"/>
      <c r="D477" s="9" t="s">
        <v>77</v>
      </c>
      <c r="E477" s="38">
        <v>1871</v>
      </c>
      <c r="F477" s="39">
        <v>1888833</v>
      </c>
      <c r="G477" s="40">
        <v>1009.531266702298</v>
      </c>
      <c r="H477" s="41">
        <v>0.17391829022625421</v>
      </c>
      <c r="I477" s="40">
        <v>175.97220737573491</v>
      </c>
      <c r="J477" s="41">
        <v>0.17431080460792461</v>
      </c>
      <c r="K477" s="9" t="s">
        <v>922</v>
      </c>
    </row>
    <row r="478" spans="1:11" x14ac:dyDescent="0.2">
      <c r="A478" s="9" t="s">
        <v>32</v>
      </c>
      <c r="B478" s="9" t="s">
        <v>484</v>
      </c>
      <c r="C478" s="9"/>
      <c r="D478" s="9" t="s">
        <v>77</v>
      </c>
      <c r="E478" s="38">
        <v>1451</v>
      </c>
      <c r="F478" s="39">
        <v>932637.46</v>
      </c>
      <c r="G478" s="40">
        <v>642.75496898690551</v>
      </c>
      <c r="H478" s="41">
        <v>7.0965373779630303E-2</v>
      </c>
      <c r="I478" s="40">
        <v>74.423156443831843</v>
      </c>
      <c r="J478" s="41">
        <v>0.1157877574422113</v>
      </c>
      <c r="K478" s="9" t="s">
        <v>923</v>
      </c>
    </row>
    <row r="479" spans="1:11" x14ac:dyDescent="0.2">
      <c r="A479" s="9" t="s">
        <v>32</v>
      </c>
      <c r="B479" s="9" t="s">
        <v>271</v>
      </c>
      <c r="C479" s="9"/>
      <c r="D479" s="9" t="s">
        <v>78</v>
      </c>
      <c r="E479" s="38">
        <v>2024</v>
      </c>
      <c r="F479" s="39">
        <v>3968224</v>
      </c>
      <c r="G479" s="40">
        <v>1960.584980237154</v>
      </c>
      <c r="H479" s="41">
        <v>0.2270772540597957</v>
      </c>
      <c r="I479" s="40">
        <v>206.7509881422925</v>
      </c>
      <c r="J479" s="41">
        <v>0.1054537243865266</v>
      </c>
      <c r="K479" s="9" t="s">
        <v>924</v>
      </c>
    </row>
    <row r="480" spans="1:11" x14ac:dyDescent="0.2">
      <c r="A480" s="9" t="s">
        <v>32</v>
      </c>
      <c r="B480" s="9" t="s">
        <v>487</v>
      </c>
      <c r="C480" s="9"/>
      <c r="D480" s="9" t="s">
        <v>77</v>
      </c>
      <c r="E480" s="38">
        <v>2511</v>
      </c>
      <c r="F480" s="39">
        <v>1448686</v>
      </c>
      <c r="G480" s="40">
        <v>576.9358821186778</v>
      </c>
      <c r="H480" s="41">
        <v>0.46807465374932489</v>
      </c>
      <c r="I480" s="40">
        <v>86.843488649940269</v>
      </c>
      <c r="J480" s="41">
        <v>0.15052537264804111</v>
      </c>
      <c r="K480" s="9" t="s">
        <v>925</v>
      </c>
    </row>
    <row r="481" spans="1:11" x14ac:dyDescent="0.2">
      <c r="A481" s="9" t="s">
        <v>32</v>
      </c>
      <c r="B481" s="9" t="s">
        <v>489</v>
      </c>
      <c r="C481" s="9"/>
      <c r="D481" s="9" t="s">
        <v>82</v>
      </c>
      <c r="E481" s="38">
        <v>2900</v>
      </c>
      <c r="F481" s="39">
        <v>3868424</v>
      </c>
      <c r="G481" s="40">
        <v>1333.9393103448281</v>
      </c>
      <c r="H481" s="41">
        <v>1.123007900711954E-2</v>
      </c>
      <c r="I481" s="40">
        <v>118.9158620689655</v>
      </c>
      <c r="J481" s="41">
        <v>8.91463810585396E-2</v>
      </c>
      <c r="K481" s="9" t="s">
        <v>926</v>
      </c>
    </row>
    <row r="482" spans="1:11" x14ac:dyDescent="0.2">
      <c r="A482" s="9" t="s">
        <v>32</v>
      </c>
      <c r="B482" s="9" t="s">
        <v>275</v>
      </c>
      <c r="C482" s="9"/>
      <c r="D482" s="9" t="s">
        <v>83</v>
      </c>
      <c r="E482" s="38">
        <v>3071</v>
      </c>
      <c r="F482" s="39">
        <v>2413249</v>
      </c>
      <c r="G482" s="40">
        <v>785.8186258547704</v>
      </c>
      <c r="H482" s="41">
        <v>7.9625486801745068E-2</v>
      </c>
      <c r="I482" s="40">
        <v>112.8883099967437</v>
      </c>
      <c r="J482" s="41">
        <v>0.14365695375819071</v>
      </c>
      <c r="K482" s="9" t="s">
        <v>927</v>
      </c>
    </row>
    <row r="483" spans="1:11" x14ac:dyDescent="0.2">
      <c r="A483" s="9" t="s">
        <v>32</v>
      </c>
      <c r="B483" s="9" t="s">
        <v>277</v>
      </c>
      <c r="C483" s="9"/>
      <c r="D483" s="9" t="s">
        <v>76</v>
      </c>
      <c r="E483" s="38">
        <v>619</v>
      </c>
      <c r="F483" s="39">
        <v>1294985.69</v>
      </c>
      <c r="G483" s="40">
        <v>2092.0608885298871</v>
      </c>
      <c r="H483" s="41">
        <v>1.207014512404775E-2</v>
      </c>
      <c r="I483" s="40">
        <v>220.4588045234249</v>
      </c>
      <c r="J483" s="41">
        <v>0.10537877063336509</v>
      </c>
      <c r="K483" s="9" t="s">
        <v>928</v>
      </c>
    </row>
    <row r="484" spans="1:11" x14ac:dyDescent="0.2">
      <c r="A484" s="9" t="s">
        <v>32</v>
      </c>
      <c r="B484" s="9" t="s">
        <v>277</v>
      </c>
      <c r="C484" s="9"/>
      <c r="D484" s="9" t="s">
        <v>76</v>
      </c>
      <c r="E484" s="38">
        <v>3001</v>
      </c>
      <c r="F484" s="39">
        <v>1810648</v>
      </c>
      <c r="G484" s="40">
        <v>603.34821726091297</v>
      </c>
      <c r="H484" s="41">
        <v>1.2255765737374009E-2</v>
      </c>
      <c r="I484" s="40">
        <v>70.32855714761746</v>
      </c>
      <c r="J484" s="41">
        <v>0.1165637937357233</v>
      </c>
      <c r="K484" s="9" t="s">
        <v>928</v>
      </c>
    </row>
    <row r="485" spans="1:11" x14ac:dyDescent="0.2">
      <c r="A485" s="9" t="s">
        <v>32</v>
      </c>
      <c r="B485" s="9" t="s">
        <v>287</v>
      </c>
      <c r="C485" s="9"/>
      <c r="D485" s="9" t="s">
        <v>79</v>
      </c>
      <c r="E485" s="38">
        <v>587</v>
      </c>
      <c r="F485" s="39">
        <v>922158.69</v>
      </c>
      <c r="G485" s="40">
        <v>1570.968807495741</v>
      </c>
      <c r="H485" s="41">
        <v>-0.26298391955124151</v>
      </c>
      <c r="I485" s="40">
        <v>147.7206132879046</v>
      </c>
      <c r="J485" s="41">
        <v>9.4031538107611404E-2</v>
      </c>
      <c r="K485" s="9" t="s">
        <v>929</v>
      </c>
    </row>
    <row r="486" spans="1:11" x14ac:dyDescent="0.2">
      <c r="A486" s="9" t="s">
        <v>32</v>
      </c>
      <c r="B486" s="9" t="s">
        <v>289</v>
      </c>
      <c r="C486" s="9"/>
      <c r="D486" s="9" t="s">
        <v>79</v>
      </c>
      <c r="E486" s="38">
        <v>1280</v>
      </c>
      <c r="F486" s="39">
        <v>681040</v>
      </c>
      <c r="G486" s="40">
        <v>532.0625</v>
      </c>
      <c r="H486" s="41">
        <v>-0.19770508865076741</v>
      </c>
      <c r="I486" s="40">
        <v>96.862499999999997</v>
      </c>
      <c r="J486" s="41">
        <v>0.18205098085281329</v>
      </c>
      <c r="K486" s="9" t="s">
        <v>930</v>
      </c>
    </row>
    <row r="487" spans="1:11" x14ac:dyDescent="0.2">
      <c r="A487" s="9" t="s">
        <v>32</v>
      </c>
      <c r="B487" s="9" t="s">
        <v>502</v>
      </c>
      <c r="C487" s="9"/>
      <c r="D487" s="9" t="s">
        <v>86</v>
      </c>
      <c r="E487" s="38">
        <v>140000</v>
      </c>
      <c r="F487" s="39">
        <v>21738434</v>
      </c>
      <c r="G487" s="40">
        <v>155.27452857142859</v>
      </c>
      <c r="H487" s="41">
        <v>-0.1203652462645268</v>
      </c>
      <c r="I487" s="40">
        <v>0.64997142857142853</v>
      </c>
      <c r="J487" s="41">
        <v>4.1859501010974376E-3</v>
      </c>
      <c r="K487" s="9" t="s">
        <v>931</v>
      </c>
    </row>
    <row r="488" spans="1:11" x14ac:dyDescent="0.2">
      <c r="A488" s="9" t="s">
        <v>32</v>
      </c>
      <c r="B488" s="9" t="s">
        <v>508</v>
      </c>
      <c r="C488" s="9"/>
      <c r="D488" s="9" t="s">
        <v>76</v>
      </c>
      <c r="E488" s="38">
        <v>3097</v>
      </c>
      <c r="F488" s="39">
        <v>1147509</v>
      </c>
      <c r="G488" s="40">
        <v>370.52276396512752</v>
      </c>
      <c r="H488" s="41">
        <v>4.0960514458412797E-2</v>
      </c>
      <c r="I488" s="40">
        <v>47.287051985792701</v>
      </c>
      <c r="J488" s="41">
        <v>0.12762252845075719</v>
      </c>
      <c r="K488" s="9" t="s">
        <v>932</v>
      </c>
    </row>
    <row r="489" spans="1:11" x14ac:dyDescent="0.2">
      <c r="A489" s="9" t="s">
        <v>32</v>
      </c>
      <c r="B489" s="9" t="s">
        <v>933</v>
      </c>
      <c r="C489" s="9"/>
      <c r="D489" s="9" t="s">
        <v>76</v>
      </c>
      <c r="E489" s="38">
        <v>3300</v>
      </c>
      <c r="F489" s="39">
        <v>783368</v>
      </c>
      <c r="G489" s="40">
        <v>237.38424242424239</v>
      </c>
      <c r="H489" s="41">
        <v>0.46110110085768169</v>
      </c>
      <c r="I489" s="40">
        <v>39.487272727272718</v>
      </c>
      <c r="J489" s="41">
        <v>0.1663432767230727</v>
      </c>
      <c r="K489" s="9" t="s">
        <v>934</v>
      </c>
    </row>
    <row r="490" spans="1:11" x14ac:dyDescent="0.2">
      <c r="A490" s="9" t="s">
        <v>32</v>
      </c>
      <c r="B490" s="9" t="s">
        <v>710</v>
      </c>
      <c r="C490" s="9"/>
      <c r="D490" s="9" t="s">
        <v>76</v>
      </c>
      <c r="E490" s="38">
        <v>2213</v>
      </c>
      <c r="F490" s="39">
        <v>885155</v>
      </c>
      <c r="G490" s="40">
        <v>399.979665612291</v>
      </c>
      <c r="H490" s="41"/>
      <c r="I490" s="40">
        <v>70.09670131043832</v>
      </c>
      <c r="J490" s="41">
        <v>0.1752506623133801</v>
      </c>
      <c r="K490" s="9" t="s">
        <v>935</v>
      </c>
    </row>
    <row r="491" spans="1:11" x14ac:dyDescent="0.2">
      <c r="A491" s="9" t="s">
        <v>32</v>
      </c>
      <c r="B491" s="9" t="s">
        <v>603</v>
      </c>
      <c r="C491" s="9"/>
      <c r="D491" s="9" t="s">
        <v>81</v>
      </c>
      <c r="E491" s="38">
        <v>5999</v>
      </c>
      <c r="F491" s="39">
        <v>4540676</v>
      </c>
      <c r="G491" s="40">
        <v>756.9054842473746</v>
      </c>
      <c r="H491" s="41">
        <v>6.5921102954611524E-2</v>
      </c>
      <c r="I491" s="40">
        <v>59.141856976162693</v>
      </c>
      <c r="J491" s="41">
        <v>7.813638321694831E-2</v>
      </c>
      <c r="K491" s="9" t="s">
        <v>936</v>
      </c>
    </row>
    <row r="492" spans="1:11" x14ac:dyDescent="0.2">
      <c r="A492" s="9" t="s">
        <v>32</v>
      </c>
      <c r="B492" s="9" t="s">
        <v>317</v>
      </c>
      <c r="C492" s="9"/>
      <c r="D492" s="9" t="s">
        <v>76</v>
      </c>
      <c r="E492" s="38">
        <v>4334</v>
      </c>
      <c r="F492" s="39">
        <v>1980806</v>
      </c>
      <c r="G492" s="40">
        <v>457.03876326718972</v>
      </c>
      <c r="H492" s="41">
        <v>0.32288910068346172</v>
      </c>
      <c r="I492" s="40">
        <v>78.17166589755422</v>
      </c>
      <c r="J492" s="41">
        <v>0.17103946575282991</v>
      </c>
      <c r="K492" s="9" t="s">
        <v>937</v>
      </c>
    </row>
    <row r="493" spans="1:11" x14ac:dyDescent="0.2">
      <c r="A493" s="9" t="s">
        <v>32</v>
      </c>
      <c r="B493" s="9" t="s">
        <v>321</v>
      </c>
      <c r="C493" s="9"/>
      <c r="D493" s="9" t="s">
        <v>78</v>
      </c>
      <c r="E493" s="38">
        <v>1320</v>
      </c>
      <c r="F493" s="39">
        <v>2673426</v>
      </c>
      <c r="G493" s="40">
        <v>2025.322727272727</v>
      </c>
      <c r="H493" s="41">
        <v>0.62100731879034998</v>
      </c>
      <c r="I493" s="40">
        <v>185.1</v>
      </c>
      <c r="J493" s="41">
        <v>9.139284199375633E-2</v>
      </c>
      <c r="K493" s="9" t="s">
        <v>938</v>
      </c>
    </row>
    <row r="494" spans="1:11" x14ac:dyDescent="0.2">
      <c r="A494" s="9" t="s">
        <v>32</v>
      </c>
      <c r="B494" s="9" t="s">
        <v>323</v>
      </c>
      <c r="C494" s="9"/>
      <c r="D494" s="9" t="s">
        <v>81</v>
      </c>
      <c r="E494" s="38">
        <v>5309</v>
      </c>
      <c r="F494" s="39">
        <v>2760025</v>
      </c>
      <c r="G494" s="40">
        <v>519.87662459973626</v>
      </c>
      <c r="H494" s="41">
        <v>-2.4072147123679541E-2</v>
      </c>
      <c r="I494" s="40">
        <v>38.249011113203991</v>
      </c>
      <c r="J494" s="41">
        <v>7.357324661914294E-2</v>
      </c>
      <c r="K494" s="9" t="s">
        <v>939</v>
      </c>
    </row>
    <row r="495" spans="1:11" x14ac:dyDescent="0.2">
      <c r="A495" s="9" t="s">
        <v>32</v>
      </c>
      <c r="B495" s="9" t="s">
        <v>515</v>
      </c>
      <c r="C495" s="9"/>
      <c r="D495" s="9" t="s">
        <v>76</v>
      </c>
      <c r="E495" s="38">
        <v>5757</v>
      </c>
      <c r="F495" s="39">
        <v>1185235</v>
      </c>
      <c r="G495" s="40">
        <v>205.87719298245611</v>
      </c>
      <c r="H495" s="41"/>
      <c r="I495" s="40">
        <v>24.510682647212089</v>
      </c>
      <c r="J495" s="41">
        <v>0.1190548709749543</v>
      </c>
      <c r="K495" s="9" t="s">
        <v>940</v>
      </c>
    </row>
    <row r="496" spans="1:11" x14ac:dyDescent="0.2">
      <c r="A496" s="9" t="s">
        <v>32</v>
      </c>
      <c r="B496" s="9" t="s">
        <v>941</v>
      </c>
      <c r="C496" s="9"/>
      <c r="D496" s="9" t="s">
        <v>80</v>
      </c>
      <c r="E496" s="38">
        <v>470</v>
      </c>
      <c r="F496" s="39">
        <v>518034</v>
      </c>
      <c r="G496" s="40">
        <v>1102.2</v>
      </c>
      <c r="H496" s="41">
        <v>0.27251930809045599</v>
      </c>
      <c r="I496" s="40">
        <v>211.14893617021281</v>
      </c>
      <c r="J496" s="41">
        <v>0.1915704374616338</v>
      </c>
      <c r="K496" s="9" t="s">
        <v>942</v>
      </c>
    </row>
    <row r="497" spans="1:11" x14ac:dyDescent="0.2">
      <c r="A497" s="9" t="s">
        <v>32</v>
      </c>
      <c r="B497" s="9" t="s">
        <v>520</v>
      </c>
      <c r="C497" s="9"/>
      <c r="D497" s="9" t="s">
        <v>77</v>
      </c>
      <c r="E497" s="38">
        <v>4900</v>
      </c>
      <c r="F497" s="39">
        <v>3440712.74</v>
      </c>
      <c r="G497" s="40">
        <v>702.18627346938786</v>
      </c>
      <c r="H497" s="41">
        <v>0.33356764676338502</v>
      </c>
      <c r="I497" s="40">
        <v>80.402448979591838</v>
      </c>
      <c r="J497" s="41">
        <v>0.1145030200922847</v>
      </c>
      <c r="K497" s="9" t="s">
        <v>943</v>
      </c>
    </row>
    <row r="498" spans="1:11" x14ac:dyDescent="0.2">
      <c r="A498" s="9" t="s">
        <v>32</v>
      </c>
      <c r="B498" s="9" t="s">
        <v>944</v>
      </c>
      <c r="C498" s="9"/>
      <c r="D498" s="9" t="s">
        <v>81</v>
      </c>
      <c r="E498" s="38">
        <v>5548</v>
      </c>
      <c r="F498" s="39">
        <v>2950481</v>
      </c>
      <c r="G498" s="40">
        <v>531.80984138428266</v>
      </c>
      <c r="H498" s="41">
        <v>-0.14721478886270059</v>
      </c>
      <c r="I498" s="40">
        <v>58.844989185292</v>
      </c>
      <c r="J498" s="41">
        <v>0.1106504329294105</v>
      </c>
      <c r="K498" s="9" t="s">
        <v>945</v>
      </c>
    </row>
    <row r="499" spans="1:11" x14ac:dyDescent="0.2">
      <c r="A499" s="9" t="s">
        <v>32</v>
      </c>
      <c r="B499" s="9" t="s">
        <v>946</v>
      </c>
      <c r="C499" s="9"/>
      <c r="D499" s="9" t="s">
        <v>78</v>
      </c>
      <c r="E499" s="38">
        <v>3884</v>
      </c>
      <c r="F499" s="39">
        <v>1498386</v>
      </c>
      <c r="G499" s="40">
        <v>385.78424304840371</v>
      </c>
      <c r="H499" s="41"/>
      <c r="I499" s="40">
        <v>32.181256436663233</v>
      </c>
      <c r="J499" s="41">
        <v>8.3417757507077611E-2</v>
      </c>
      <c r="K499" s="9" t="s">
        <v>947</v>
      </c>
    </row>
    <row r="500" spans="1:11" x14ac:dyDescent="0.2">
      <c r="A500" s="9" t="s">
        <v>32</v>
      </c>
      <c r="B500" s="9" t="s">
        <v>948</v>
      </c>
      <c r="C500" s="9"/>
      <c r="D500" s="9" t="s">
        <v>76</v>
      </c>
      <c r="E500" s="38">
        <v>5834</v>
      </c>
      <c r="F500" s="39">
        <v>1818078</v>
      </c>
      <c r="G500" s="40">
        <v>311.6348988687007</v>
      </c>
      <c r="H500" s="41">
        <v>0.41291281890140558</v>
      </c>
      <c r="I500" s="40">
        <v>27.391840932464859</v>
      </c>
      <c r="J500" s="41">
        <v>8.7897218931200977E-2</v>
      </c>
      <c r="K500" s="9" t="s">
        <v>949</v>
      </c>
    </row>
    <row r="501" spans="1:11" x14ac:dyDescent="0.2">
      <c r="A501" s="9" t="s">
        <v>32</v>
      </c>
      <c r="B501" s="9" t="s">
        <v>950</v>
      </c>
      <c r="C501" s="9"/>
      <c r="D501" s="9" t="s">
        <v>80</v>
      </c>
      <c r="E501" s="38">
        <v>681</v>
      </c>
      <c r="F501" s="39">
        <v>1628049</v>
      </c>
      <c r="G501" s="40">
        <v>2390.674008810573</v>
      </c>
      <c r="H501" s="41">
        <v>9.3948633053005479E-2</v>
      </c>
      <c r="I501" s="40">
        <v>382.30837004405288</v>
      </c>
      <c r="J501" s="41">
        <v>0.15991656270787921</v>
      </c>
      <c r="K501" s="9" t="s">
        <v>951</v>
      </c>
    </row>
    <row r="502" spans="1:11" x14ac:dyDescent="0.2">
      <c r="A502" s="9" t="s">
        <v>32</v>
      </c>
      <c r="B502" s="9" t="s">
        <v>343</v>
      </c>
      <c r="C502" s="9"/>
      <c r="D502" s="9" t="s">
        <v>79</v>
      </c>
      <c r="E502" s="38">
        <v>5320</v>
      </c>
      <c r="F502" s="39">
        <v>5879890</v>
      </c>
      <c r="G502" s="40">
        <v>1105.2424812030081</v>
      </c>
      <c r="H502" s="41">
        <v>3.7031177641848469E-2</v>
      </c>
      <c r="I502" s="40">
        <v>94.333082706766916</v>
      </c>
      <c r="J502" s="41">
        <v>8.5350576286291072E-2</v>
      </c>
      <c r="K502" s="9" t="s">
        <v>952</v>
      </c>
    </row>
    <row r="503" spans="1:11" x14ac:dyDescent="0.2">
      <c r="A503" s="9" t="s">
        <v>32</v>
      </c>
      <c r="B503" s="9" t="s">
        <v>953</v>
      </c>
      <c r="C503" s="9"/>
      <c r="D503" s="9" t="s">
        <v>82</v>
      </c>
      <c r="E503" s="38">
        <v>2600</v>
      </c>
      <c r="F503" s="39">
        <v>284679</v>
      </c>
      <c r="G503" s="40">
        <v>109.4919230769231</v>
      </c>
      <c r="H503" s="41"/>
      <c r="I503" s="40">
        <v>38.635384615384623</v>
      </c>
      <c r="J503" s="41">
        <v>0.35286059034913009</v>
      </c>
      <c r="K503" s="9" t="s">
        <v>954</v>
      </c>
    </row>
    <row r="504" spans="1:11" x14ac:dyDescent="0.2">
      <c r="A504" s="9" t="s">
        <v>32</v>
      </c>
      <c r="B504" s="9" t="s">
        <v>530</v>
      </c>
      <c r="C504" s="9"/>
      <c r="D504" s="9" t="s">
        <v>77</v>
      </c>
      <c r="E504" s="38">
        <v>3071</v>
      </c>
      <c r="F504" s="39">
        <v>1010396</v>
      </c>
      <c r="G504" s="40">
        <v>329.01204819277109</v>
      </c>
      <c r="H504" s="41">
        <v>0.10454084183087731</v>
      </c>
      <c r="I504" s="40">
        <v>78.252035167697812</v>
      </c>
      <c r="J504" s="41">
        <v>0.2378394213753815</v>
      </c>
      <c r="K504" s="9" t="s">
        <v>955</v>
      </c>
    </row>
    <row r="505" spans="1:11" x14ac:dyDescent="0.2">
      <c r="A505" s="9" t="s">
        <v>32</v>
      </c>
      <c r="B505" s="9" t="s">
        <v>351</v>
      </c>
      <c r="C505" s="9"/>
      <c r="D505" s="9" t="s">
        <v>85</v>
      </c>
      <c r="E505" s="38">
        <v>3300</v>
      </c>
      <c r="F505" s="39">
        <v>3409188</v>
      </c>
      <c r="G505" s="40">
        <v>1033.0872727272731</v>
      </c>
      <c r="H505" s="41">
        <v>0.16427327201875161</v>
      </c>
      <c r="I505" s="40">
        <v>102.4290909090909</v>
      </c>
      <c r="J505" s="41">
        <v>9.9148536249687613E-2</v>
      </c>
      <c r="K505" s="9" t="s">
        <v>956</v>
      </c>
    </row>
    <row r="506" spans="1:11" x14ac:dyDescent="0.2">
      <c r="A506" s="9" t="s">
        <v>32</v>
      </c>
      <c r="B506" s="9" t="s">
        <v>957</v>
      </c>
      <c r="C506" s="9"/>
      <c r="D506" s="9" t="s">
        <v>84</v>
      </c>
      <c r="E506" s="38">
        <v>3484</v>
      </c>
      <c r="F506" s="39">
        <v>120000</v>
      </c>
      <c r="G506" s="40">
        <v>34.443168771526977</v>
      </c>
      <c r="H506" s="41">
        <v>0.33333288888903712</v>
      </c>
      <c r="I506" s="40">
        <v>73.529276693455799</v>
      </c>
      <c r="J506" s="41">
        <v>2.1347999999999999E-2</v>
      </c>
      <c r="K506" s="9" t="s">
        <v>958</v>
      </c>
    </row>
    <row r="507" spans="1:11" x14ac:dyDescent="0.2">
      <c r="A507" s="9" t="s">
        <v>32</v>
      </c>
      <c r="B507" s="9" t="s">
        <v>355</v>
      </c>
      <c r="C507" s="9"/>
      <c r="D507" s="9" t="s">
        <v>82</v>
      </c>
      <c r="E507" s="38">
        <v>1987</v>
      </c>
      <c r="F507" s="39">
        <v>1610664</v>
      </c>
      <c r="G507" s="40">
        <v>810.60090588827381</v>
      </c>
      <c r="H507" s="41">
        <v>0.73170071314127827</v>
      </c>
      <c r="I507" s="40">
        <v>121.58832410669351</v>
      </c>
      <c r="J507" s="41">
        <v>0.14999776489696179</v>
      </c>
      <c r="K507" s="9" t="s">
        <v>959</v>
      </c>
    </row>
    <row r="508" spans="1:11" x14ac:dyDescent="0.2">
      <c r="A508" s="9" t="s">
        <v>32</v>
      </c>
      <c r="B508" s="9" t="s">
        <v>538</v>
      </c>
      <c r="C508" s="9"/>
      <c r="D508" s="9" t="s">
        <v>80</v>
      </c>
      <c r="E508" s="38">
        <v>288</v>
      </c>
      <c r="F508" s="39">
        <v>1084289</v>
      </c>
      <c r="G508" s="40">
        <v>3764.8923611111109</v>
      </c>
      <c r="H508" s="41">
        <v>-4.8332383679775111E-2</v>
      </c>
      <c r="I508" s="40">
        <v>389.875</v>
      </c>
      <c r="J508" s="41">
        <v>0.1035554174210012</v>
      </c>
      <c r="K508" s="9" t="s">
        <v>960</v>
      </c>
    </row>
    <row r="509" spans="1:11" x14ac:dyDescent="0.2">
      <c r="A509" s="9" t="s">
        <v>32</v>
      </c>
      <c r="B509" s="9" t="s">
        <v>357</v>
      </c>
      <c r="C509" s="9"/>
      <c r="D509" s="9" t="s">
        <v>76</v>
      </c>
      <c r="E509" s="38">
        <v>1254</v>
      </c>
      <c r="F509" s="39">
        <v>1302720</v>
      </c>
      <c r="G509" s="40">
        <v>1038.8516746411481</v>
      </c>
      <c r="H509" s="41">
        <v>0.35362336255755372</v>
      </c>
      <c r="I509" s="40">
        <v>137.80861244019141</v>
      </c>
      <c r="J509" s="41">
        <v>0.13265475313190861</v>
      </c>
      <c r="K509" s="9" t="s">
        <v>961</v>
      </c>
    </row>
    <row r="510" spans="1:11" x14ac:dyDescent="0.2">
      <c r="A510" s="9" t="s">
        <v>32</v>
      </c>
      <c r="B510" s="9" t="s">
        <v>365</v>
      </c>
      <c r="C510" s="9"/>
      <c r="D510" s="9" t="s">
        <v>81</v>
      </c>
      <c r="E510" s="38">
        <v>10203</v>
      </c>
      <c r="F510" s="39">
        <v>13396994</v>
      </c>
      <c r="G510" s="40">
        <v>1313.0445947270409</v>
      </c>
      <c r="H510" s="41">
        <v>0.13634937125428551</v>
      </c>
      <c r="I510" s="40">
        <v>67.921199647162595</v>
      </c>
      <c r="J510" s="41">
        <v>5.1728021972690288E-2</v>
      </c>
      <c r="K510" s="9" t="s">
        <v>962</v>
      </c>
    </row>
    <row r="511" spans="1:11" x14ac:dyDescent="0.2">
      <c r="A511" s="9" t="s">
        <v>32</v>
      </c>
      <c r="B511" s="9" t="s">
        <v>550</v>
      </c>
      <c r="C511" s="9"/>
      <c r="D511" s="9" t="s">
        <v>76</v>
      </c>
      <c r="E511" s="38">
        <v>4500</v>
      </c>
      <c r="F511" s="39">
        <v>2184453</v>
      </c>
      <c r="G511" s="40">
        <v>485.43400000000003</v>
      </c>
      <c r="H511" s="41">
        <v>8.7712949502503204E-2</v>
      </c>
      <c r="I511" s="40">
        <v>106.464</v>
      </c>
      <c r="J511" s="41">
        <v>0.2193171471301969</v>
      </c>
      <c r="K511" s="9" t="s">
        <v>963</v>
      </c>
    </row>
    <row r="512" spans="1:11" x14ac:dyDescent="0.2">
      <c r="A512" s="9" t="s">
        <v>32</v>
      </c>
      <c r="B512" s="9" t="s">
        <v>964</v>
      </c>
      <c r="C512" s="9"/>
      <c r="D512" s="9" t="s">
        <v>78</v>
      </c>
      <c r="E512" s="38">
        <v>1776</v>
      </c>
      <c r="F512" s="39">
        <v>471456.59</v>
      </c>
      <c r="G512" s="40">
        <v>265.45979166666672</v>
      </c>
      <c r="H512" s="41">
        <v>-0.2068728723446317</v>
      </c>
      <c r="I512" s="40">
        <v>37.628378378378379</v>
      </c>
      <c r="J512" s="41">
        <v>0.14174793908385069</v>
      </c>
      <c r="K512" s="9" t="s">
        <v>965</v>
      </c>
    </row>
    <row r="513" spans="1:11" x14ac:dyDescent="0.2">
      <c r="A513" s="9" t="s">
        <v>32</v>
      </c>
      <c r="B513" s="9" t="s">
        <v>367</v>
      </c>
      <c r="C513" s="9"/>
      <c r="D513" s="9" t="s">
        <v>76</v>
      </c>
      <c r="E513" s="38">
        <v>6849</v>
      </c>
      <c r="F513" s="39">
        <v>2201930</v>
      </c>
      <c r="G513" s="40">
        <v>321.49656884216682</v>
      </c>
      <c r="H513" s="41">
        <v>0.1990307438724741</v>
      </c>
      <c r="I513" s="40">
        <v>51.653088042049937</v>
      </c>
      <c r="J513" s="41">
        <v>0.1606645079543855</v>
      </c>
      <c r="K513" s="9" t="s">
        <v>966</v>
      </c>
    </row>
    <row r="514" spans="1:11" x14ac:dyDescent="0.2">
      <c r="A514" s="9" t="s">
        <v>32</v>
      </c>
      <c r="B514" s="9" t="s">
        <v>369</v>
      </c>
      <c r="C514" s="9"/>
      <c r="D514" s="9" t="s">
        <v>84</v>
      </c>
      <c r="E514" s="38">
        <v>1253</v>
      </c>
      <c r="F514" s="39">
        <v>3775900</v>
      </c>
      <c r="G514" s="40">
        <v>3013.4876296887469</v>
      </c>
      <c r="H514" s="41">
        <v>-0.2031790096800021</v>
      </c>
      <c r="I514" s="40">
        <v>172.12769353551479</v>
      </c>
      <c r="J514" s="41">
        <v>5.7119097433724411E-2</v>
      </c>
      <c r="K514" s="9" t="s">
        <v>967</v>
      </c>
    </row>
    <row r="515" spans="1:11" x14ac:dyDescent="0.2">
      <c r="A515" s="9" t="s">
        <v>32</v>
      </c>
      <c r="B515" s="9" t="s">
        <v>369</v>
      </c>
      <c r="C515" s="9"/>
      <c r="D515" s="9" t="s">
        <v>84</v>
      </c>
      <c r="E515" s="38">
        <v>824</v>
      </c>
      <c r="F515" s="39">
        <v>65093</v>
      </c>
      <c r="G515" s="40">
        <v>78.996359223300971</v>
      </c>
      <c r="H515" s="41">
        <v>-4.6924874969094803E-2</v>
      </c>
      <c r="I515" s="40">
        <v>136.0631067961165</v>
      </c>
      <c r="J515" s="41">
        <v>1.7223971855652678E-2</v>
      </c>
      <c r="K515" s="9" t="s">
        <v>967</v>
      </c>
    </row>
    <row r="516" spans="1:11" x14ac:dyDescent="0.2">
      <c r="A516" s="9" t="s">
        <v>32</v>
      </c>
      <c r="B516" s="9" t="s">
        <v>369</v>
      </c>
      <c r="C516" s="9"/>
      <c r="D516" s="9" t="s">
        <v>84</v>
      </c>
      <c r="E516" s="38">
        <v>1512</v>
      </c>
      <c r="F516" s="39">
        <v>3509070</v>
      </c>
      <c r="G516" s="40">
        <v>2320.813492063492</v>
      </c>
      <c r="H516" s="41">
        <v>-0.35122315458269748</v>
      </c>
      <c r="I516" s="40">
        <v>210.07142857142861</v>
      </c>
      <c r="J516" s="41">
        <v>9.0516290641110039E-2</v>
      </c>
      <c r="K516" s="9" t="s">
        <v>967</v>
      </c>
    </row>
    <row r="517" spans="1:11" x14ac:dyDescent="0.2">
      <c r="A517" s="9" t="s">
        <v>32</v>
      </c>
      <c r="B517" s="9" t="s">
        <v>369</v>
      </c>
      <c r="C517" s="9"/>
      <c r="D517" s="9" t="s">
        <v>84</v>
      </c>
      <c r="E517" s="38">
        <v>1900</v>
      </c>
      <c r="F517" s="39">
        <v>92783</v>
      </c>
      <c r="G517" s="40">
        <v>48.833157894736843</v>
      </c>
      <c r="H517" s="41"/>
      <c r="I517" s="40">
        <v>49.10526315789474</v>
      </c>
      <c r="J517" s="41">
        <v>1.005572141448326E-2</v>
      </c>
      <c r="K517" s="9" t="s">
        <v>967</v>
      </c>
    </row>
    <row r="518" spans="1:11" x14ac:dyDescent="0.2">
      <c r="A518" s="9" t="s">
        <v>32</v>
      </c>
      <c r="B518" s="9" t="s">
        <v>371</v>
      </c>
      <c r="C518" s="9"/>
      <c r="D518" s="9" t="s">
        <v>76</v>
      </c>
      <c r="E518" s="38">
        <v>2400</v>
      </c>
      <c r="F518" s="39">
        <v>1321146.33</v>
      </c>
      <c r="G518" s="40">
        <v>550.47763750000001</v>
      </c>
      <c r="H518" s="41">
        <v>-4.8368099327757E-2</v>
      </c>
      <c r="I518" s="40">
        <v>55.05</v>
      </c>
      <c r="J518" s="41">
        <v>0.10000406238118981</v>
      </c>
      <c r="K518" s="9" t="s">
        <v>968</v>
      </c>
    </row>
    <row r="519" spans="1:11" x14ac:dyDescent="0.2">
      <c r="A519" s="9" t="s">
        <v>32</v>
      </c>
      <c r="B519" s="9" t="s">
        <v>969</v>
      </c>
      <c r="C519" s="9"/>
      <c r="D519" s="9" t="s">
        <v>78</v>
      </c>
      <c r="E519" s="38">
        <v>800</v>
      </c>
      <c r="F519" s="39">
        <v>181749</v>
      </c>
      <c r="G519" s="40">
        <v>227.18625</v>
      </c>
      <c r="H519" s="41"/>
      <c r="I519" s="40">
        <v>90.06</v>
      </c>
      <c r="J519" s="41">
        <v>0.39641483584503912</v>
      </c>
      <c r="K519" s="9" t="s">
        <v>970</v>
      </c>
    </row>
    <row r="520" spans="1:11" x14ac:dyDescent="0.2">
      <c r="A520" s="9" t="s">
        <v>32</v>
      </c>
      <c r="B520" s="9" t="s">
        <v>384</v>
      </c>
      <c r="C520" s="9"/>
      <c r="D520" s="9" t="s">
        <v>77</v>
      </c>
      <c r="E520" s="38">
        <v>2708</v>
      </c>
      <c r="F520" s="39">
        <v>2151223</v>
      </c>
      <c r="G520" s="40">
        <v>794.39549483013298</v>
      </c>
      <c r="H520" s="41">
        <v>-2.3430813118931401E-2</v>
      </c>
      <c r="I520" s="40">
        <v>100.9231905465288</v>
      </c>
      <c r="J520" s="41">
        <v>0.12704401170868851</v>
      </c>
      <c r="K520" s="9" t="s">
        <v>971</v>
      </c>
    </row>
    <row r="521" spans="1:11" x14ac:dyDescent="0.2">
      <c r="A521" s="9" t="s">
        <v>32</v>
      </c>
      <c r="B521" s="9" t="s">
        <v>386</v>
      </c>
      <c r="C521" s="9"/>
      <c r="D521" s="9" t="s">
        <v>84</v>
      </c>
      <c r="E521" s="38">
        <v>1144</v>
      </c>
      <c r="F521" s="39">
        <v>233300</v>
      </c>
      <c r="G521" s="40">
        <v>203.9335664335664</v>
      </c>
      <c r="H521" s="41">
        <v>1.085816879840735E-2</v>
      </c>
      <c r="I521" s="40">
        <v>132.8601398601399</v>
      </c>
      <c r="J521" s="41">
        <v>0.65148735533647661</v>
      </c>
      <c r="K521" s="9" t="s">
        <v>972</v>
      </c>
    </row>
    <row r="522" spans="1:11" x14ac:dyDescent="0.2">
      <c r="A522" s="9" t="s">
        <v>32</v>
      </c>
      <c r="B522" s="9" t="s">
        <v>386</v>
      </c>
      <c r="C522" s="9"/>
      <c r="D522" s="9" t="s">
        <v>84</v>
      </c>
      <c r="E522" s="38">
        <v>1560</v>
      </c>
      <c r="F522" s="39">
        <v>651981</v>
      </c>
      <c r="G522" s="40">
        <v>417.93653846153848</v>
      </c>
      <c r="H522" s="41">
        <v>-0.15580249555143511</v>
      </c>
      <c r="I522" s="40">
        <v>66.184615384615384</v>
      </c>
      <c r="J522" s="41">
        <v>0.15836044301904501</v>
      </c>
      <c r="K522" s="9" t="s">
        <v>972</v>
      </c>
    </row>
    <row r="523" spans="1:11" x14ac:dyDescent="0.2">
      <c r="A523" s="9" t="s">
        <v>32</v>
      </c>
      <c r="B523" s="9" t="s">
        <v>388</v>
      </c>
      <c r="C523" s="9"/>
      <c r="D523" s="9" t="s">
        <v>76</v>
      </c>
      <c r="E523" s="38">
        <v>11129</v>
      </c>
      <c r="F523" s="39">
        <v>9968596</v>
      </c>
      <c r="G523" s="40">
        <v>895.73151226525295</v>
      </c>
      <c r="H523" s="41">
        <v>-3.6808594031835153E-2</v>
      </c>
      <c r="I523" s="40">
        <v>95.654955521610205</v>
      </c>
      <c r="J523" s="41">
        <v>0.10678976257037601</v>
      </c>
      <c r="K523" s="9" t="s">
        <v>973</v>
      </c>
    </row>
    <row r="524" spans="1:11" x14ac:dyDescent="0.2">
      <c r="A524" s="9" t="s">
        <v>32</v>
      </c>
      <c r="B524" s="9" t="s">
        <v>974</v>
      </c>
      <c r="C524" s="9"/>
      <c r="D524" s="9" t="s">
        <v>80</v>
      </c>
      <c r="E524" s="38">
        <v>858</v>
      </c>
      <c r="F524" s="39">
        <v>600000</v>
      </c>
      <c r="G524" s="40">
        <v>699.30069930069931</v>
      </c>
      <c r="H524" s="41"/>
      <c r="I524" s="40">
        <v>145.67832167832171</v>
      </c>
      <c r="J524" s="41">
        <v>0.20832000000000001</v>
      </c>
      <c r="K524" s="9" t="s">
        <v>975</v>
      </c>
    </row>
    <row r="525" spans="1:11" x14ac:dyDescent="0.2">
      <c r="A525" s="9" t="s">
        <v>32</v>
      </c>
      <c r="B525" s="9" t="s">
        <v>390</v>
      </c>
      <c r="C525" s="9"/>
      <c r="D525" s="9" t="s">
        <v>83</v>
      </c>
      <c r="E525" s="38">
        <v>2980</v>
      </c>
      <c r="F525" s="39">
        <v>1770719</v>
      </c>
      <c r="G525" s="40">
        <v>594.20100671140938</v>
      </c>
      <c r="H525" s="41">
        <v>2.3820236838251119E-2</v>
      </c>
      <c r="I525" s="40">
        <v>114.1127516778523</v>
      </c>
      <c r="J525" s="41">
        <v>0.19204402279526001</v>
      </c>
      <c r="K525" s="9" t="s">
        <v>976</v>
      </c>
    </row>
    <row r="526" spans="1:11" x14ac:dyDescent="0.2">
      <c r="A526" s="9" t="s">
        <v>32</v>
      </c>
      <c r="B526" s="9" t="s">
        <v>392</v>
      </c>
      <c r="C526" s="9"/>
      <c r="D526" s="9" t="s">
        <v>76</v>
      </c>
      <c r="E526" s="38">
        <v>4255</v>
      </c>
      <c r="F526" s="39">
        <v>2863077</v>
      </c>
      <c r="G526" s="40">
        <v>672.87356051703875</v>
      </c>
      <c r="H526" s="41"/>
      <c r="I526" s="40">
        <v>90.421621621621625</v>
      </c>
      <c r="J526" s="41">
        <v>0.1343812967656825</v>
      </c>
      <c r="K526" s="9" t="s">
        <v>977</v>
      </c>
    </row>
    <row r="527" spans="1:11" x14ac:dyDescent="0.2">
      <c r="A527" s="9" t="s">
        <v>32</v>
      </c>
      <c r="B527" s="9" t="s">
        <v>396</v>
      </c>
      <c r="C527" s="9"/>
      <c r="D527" s="9" t="s">
        <v>78</v>
      </c>
      <c r="E527" s="38">
        <v>1620</v>
      </c>
      <c r="F527" s="39">
        <v>2789646</v>
      </c>
      <c r="G527" s="40">
        <v>1722.0037037037041</v>
      </c>
      <c r="H527" s="41">
        <v>0.37925887887753129</v>
      </c>
      <c r="I527" s="40">
        <v>281.74074074074082</v>
      </c>
      <c r="J527" s="41">
        <v>0.16361215724145639</v>
      </c>
      <c r="K527" s="9" t="s">
        <v>978</v>
      </c>
    </row>
    <row r="528" spans="1:11" x14ac:dyDescent="0.2">
      <c r="A528" s="9" t="s">
        <v>32</v>
      </c>
      <c r="B528" s="9" t="s">
        <v>398</v>
      </c>
      <c r="C528" s="9"/>
      <c r="D528" s="9" t="s">
        <v>76</v>
      </c>
      <c r="E528" s="38">
        <v>2492</v>
      </c>
      <c r="F528" s="39">
        <v>1267833</v>
      </c>
      <c r="G528" s="40">
        <v>508.76123595505618</v>
      </c>
      <c r="H528" s="41">
        <v>0.14639684102150219</v>
      </c>
      <c r="I528" s="40">
        <v>82.25200642054574</v>
      </c>
      <c r="J528" s="41">
        <v>0.1616711349207664</v>
      </c>
      <c r="K528" s="9" t="s">
        <v>979</v>
      </c>
    </row>
    <row r="529" spans="1:11" x14ac:dyDescent="0.2">
      <c r="A529" s="9" t="s">
        <v>68</v>
      </c>
      <c r="B529" s="9" t="s">
        <v>166</v>
      </c>
      <c r="C529" s="9"/>
      <c r="D529" s="9" t="s">
        <v>76</v>
      </c>
      <c r="E529" s="38">
        <v>4340</v>
      </c>
      <c r="F529" s="39">
        <v>95100</v>
      </c>
      <c r="G529" s="40">
        <v>21.912442396313359</v>
      </c>
      <c r="H529" s="41"/>
      <c r="I529" s="40"/>
      <c r="J529" s="41"/>
      <c r="K529" s="9" t="s">
        <v>980</v>
      </c>
    </row>
    <row r="530" spans="1:11" x14ac:dyDescent="0.2">
      <c r="A530" s="9" t="s">
        <v>68</v>
      </c>
      <c r="B530" s="9" t="s">
        <v>981</v>
      </c>
      <c r="C530" s="9"/>
      <c r="D530" s="9" t="s">
        <v>76</v>
      </c>
      <c r="E530" s="38">
        <v>4951</v>
      </c>
      <c r="F530" s="39">
        <v>174000</v>
      </c>
      <c r="G530" s="40">
        <v>35.144415269642487</v>
      </c>
      <c r="H530" s="41"/>
      <c r="I530" s="40"/>
      <c r="J530" s="41"/>
      <c r="K530" s="9" t="s">
        <v>982</v>
      </c>
    </row>
    <row r="531" spans="1:11" x14ac:dyDescent="0.2">
      <c r="A531" s="9" t="s">
        <v>68</v>
      </c>
      <c r="B531" s="9" t="s">
        <v>406</v>
      </c>
      <c r="C531" s="9"/>
      <c r="D531" s="9" t="s">
        <v>76</v>
      </c>
      <c r="E531" s="38">
        <v>3863</v>
      </c>
      <c r="F531" s="39">
        <v>65000</v>
      </c>
      <c r="G531" s="40">
        <v>16.826300802485111</v>
      </c>
      <c r="H531" s="41"/>
      <c r="I531" s="40"/>
      <c r="J531" s="41"/>
      <c r="K531" s="9" t="s">
        <v>983</v>
      </c>
    </row>
    <row r="532" spans="1:11" x14ac:dyDescent="0.2">
      <c r="A532" s="9" t="s">
        <v>68</v>
      </c>
      <c r="B532" s="9" t="s">
        <v>87</v>
      </c>
      <c r="C532" s="9"/>
      <c r="D532" s="9" t="s">
        <v>87</v>
      </c>
      <c r="E532" s="38">
        <v>4496</v>
      </c>
      <c r="F532" s="39">
        <v>2048000</v>
      </c>
      <c r="G532" s="40">
        <v>455.51601423487551</v>
      </c>
      <c r="H532" s="41"/>
      <c r="I532" s="40"/>
      <c r="J532" s="41"/>
      <c r="K532" s="9" t="s">
        <v>984</v>
      </c>
    </row>
    <row r="533" spans="1:11" x14ac:dyDescent="0.2">
      <c r="A533" s="9" t="s">
        <v>68</v>
      </c>
      <c r="B533" s="9" t="s">
        <v>985</v>
      </c>
      <c r="C533" s="9"/>
      <c r="D533" s="9" t="s">
        <v>76</v>
      </c>
      <c r="E533" s="38">
        <v>4000</v>
      </c>
      <c r="F533" s="39">
        <v>169900</v>
      </c>
      <c r="G533" s="40">
        <v>42.475000000000001</v>
      </c>
      <c r="H533" s="41"/>
      <c r="I533" s="40"/>
      <c r="J533" s="41"/>
      <c r="K533" s="9" t="s">
        <v>986</v>
      </c>
    </row>
    <row r="534" spans="1:11" x14ac:dyDescent="0.2">
      <c r="A534" s="9" t="s">
        <v>68</v>
      </c>
      <c r="B534" s="9" t="s">
        <v>173</v>
      </c>
      <c r="C534" s="9"/>
      <c r="D534" s="9" t="s">
        <v>80</v>
      </c>
      <c r="E534" s="38">
        <v>449</v>
      </c>
      <c r="F534" s="39">
        <v>73600</v>
      </c>
      <c r="G534" s="40">
        <v>163.91982182628061</v>
      </c>
      <c r="H534" s="41"/>
      <c r="I534" s="40"/>
      <c r="J534" s="41"/>
      <c r="K534" s="9" t="s">
        <v>987</v>
      </c>
    </row>
    <row r="535" spans="1:11" x14ac:dyDescent="0.2">
      <c r="A535" s="9" t="s">
        <v>68</v>
      </c>
      <c r="B535" s="9" t="s">
        <v>175</v>
      </c>
      <c r="C535" s="9"/>
      <c r="D535" s="9" t="s">
        <v>78</v>
      </c>
      <c r="E535" s="38">
        <v>168</v>
      </c>
      <c r="F535" s="39">
        <v>28200</v>
      </c>
      <c r="G535" s="40">
        <v>167.85714285714289</v>
      </c>
      <c r="H535" s="41"/>
      <c r="I535" s="40"/>
      <c r="J535" s="41"/>
      <c r="K535" s="9" t="s">
        <v>988</v>
      </c>
    </row>
    <row r="536" spans="1:11" x14ac:dyDescent="0.2">
      <c r="A536" s="9" t="s">
        <v>68</v>
      </c>
      <c r="B536" s="9" t="s">
        <v>179</v>
      </c>
      <c r="C536" s="9"/>
      <c r="D536" s="9" t="s">
        <v>79</v>
      </c>
      <c r="E536" s="38">
        <v>4343</v>
      </c>
      <c r="F536" s="39">
        <v>259600</v>
      </c>
      <c r="G536" s="40">
        <v>59.774349527976057</v>
      </c>
      <c r="H536" s="41"/>
      <c r="I536" s="40"/>
      <c r="J536" s="41"/>
      <c r="K536" s="9" t="s">
        <v>989</v>
      </c>
    </row>
    <row r="537" spans="1:11" x14ac:dyDescent="0.2">
      <c r="A537" s="9" t="s">
        <v>68</v>
      </c>
      <c r="B537" s="9" t="s">
        <v>420</v>
      </c>
      <c r="C537" s="9"/>
      <c r="D537" s="9" t="s">
        <v>78</v>
      </c>
      <c r="E537" s="38">
        <v>1714</v>
      </c>
      <c r="F537" s="39">
        <v>30100</v>
      </c>
      <c r="G537" s="40">
        <v>17.561260210035009</v>
      </c>
      <c r="H537" s="41"/>
      <c r="I537" s="40"/>
      <c r="J537" s="41"/>
      <c r="K537" s="9" t="s">
        <v>990</v>
      </c>
    </row>
    <row r="538" spans="1:11" x14ac:dyDescent="0.2">
      <c r="A538" s="9" t="s">
        <v>68</v>
      </c>
      <c r="B538" s="9" t="s">
        <v>422</v>
      </c>
      <c r="C538" s="9"/>
      <c r="D538" s="9" t="s">
        <v>83</v>
      </c>
      <c r="E538" s="38">
        <v>894</v>
      </c>
      <c r="F538" s="39">
        <v>41400</v>
      </c>
      <c r="G538" s="40">
        <v>46.308724832214757</v>
      </c>
      <c r="H538" s="41"/>
      <c r="I538" s="40"/>
      <c r="J538" s="41"/>
      <c r="K538" s="9" t="s">
        <v>991</v>
      </c>
    </row>
    <row r="539" spans="1:11" x14ac:dyDescent="0.2">
      <c r="A539" s="9" t="s">
        <v>68</v>
      </c>
      <c r="B539" s="9" t="s">
        <v>191</v>
      </c>
      <c r="C539" s="9"/>
      <c r="D539" s="9" t="s">
        <v>76</v>
      </c>
      <c r="E539" s="38">
        <v>4804</v>
      </c>
      <c r="F539" s="39">
        <v>121700</v>
      </c>
      <c r="G539" s="40">
        <v>25.333055786844302</v>
      </c>
      <c r="H539" s="41"/>
      <c r="I539" s="40"/>
      <c r="J539" s="41"/>
      <c r="K539" s="9" t="s">
        <v>992</v>
      </c>
    </row>
    <row r="540" spans="1:11" x14ac:dyDescent="0.2">
      <c r="A540" s="9" t="s">
        <v>68</v>
      </c>
      <c r="B540" s="9" t="s">
        <v>426</v>
      </c>
      <c r="C540" s="9"/>
      <c r="D540" s="9" t="s">
        <v>81</v>
      </c>
      <c r="E540" s="38">
        <v>5274</v>
      </c>
      <c r="F540" s="39">
        <v>221100</v>
      </c>
      <c r="G540" s="40">
        <v>41.922639362912399</v>
      </c>
      <c r="H540" s="41"/>
      <c r="I540" s="40"/>
      <c r="J540" s="41"/>
      <c r="K540" s="9" t="s">
        <v>993</v>
      </c>
    </row>
    <row r="541" spans="1:11" x14ac:dyDescent="0.2">
      <c r="A541" s="9" t="s">
        <v>68</v>
      </c>
      <c r="B541" s="9" t="s">
        <v>200</v>
      </c>
      <c r="C541" s="9"/>
      <c r="D541" s="9" t="s">
        <v>77</v>
      </c>
      <c r="E541" s="38">
        <v>5725</v>
      </c>
      <c r="F541" s="39">
        <v>185000</v>
      </c>
      <c r="G541" s="40">
        <v>32.314410480349338</v>
      </c>
      <c r="H541" s="41"/>
      <c r="I541" s="40"/>
      <c r="J541" s="41"/>
      <c r="K541" s="9" t="s">
        <v>994</v>
      </c>
    </row>
    <row r="542" spans="1:11" x14ac:dyDescent="0.2">
      <c r="A542" s="9" t="s">
        <v>68</v>
      </c>
      <c r="B542" s="9" t="s">
        <v>759</v>
      </c>
      <c r="C542" s="9"/>
      <c r="D542" s="9" t="s">
        <v>76</v>
      </c>
      <c r="E542" s="38">
        <v>2454</v>
      </c>
      <c r="F542" s="39">
        <v>82500</v>
      </c>
      <c r="G542" s="40">
        <v>33.618581907090473</v>
      </c>
      <c r="H542" s="41"/>
      <c r="I542" s="40"/>
      <c r="J542" s="41"/>
      <c r="K542" s="9" t="s">
        <v>995</v>
      </c>
    </row>
    <row r="543" spans="1:11" x14ac:dyDescent="0.2">
      <c r="A543" s="9" t="s">
        <v>68</v>
      </c>
      <c r="B543" s="9" t="s">
        <v>206</v>
      </c>
      <c r="C543" s="9"/>
      <c r="D543" s="9" t="s">
        <v>80</v>
      </c>
      <c r="E543" s="38">
        <v>668</v>
      </c>
      <c r="F543" s="39">
        <v>38300</v>
      </c>
      <c r="G543" s="40">
        <v>57.335329341317369</v>
      </c>
      <c r="H543" s="41"/>
      <c r="I543" s="40"/>
      <c r="J543" s="41"/>
      <c r="K543" s="9" t="s">
        <v>996</v>
      </c>
    </row>
    <row r="544" spans="1:11" x14ac:dyDescent="0.2">
      <c r="A544" s="9" t="s">
        <v>68</v>
      </c>
      <c r="B544" s="9" t="s">
        <v>208</v>
      </c>
      <c r="C544" s="9"/>
      <c r="D544" s="9" t="s">
        <v>78</v>
      </c>
      <c r="E544" s="38">
        <v>904</v>
      </c>
      <c r="F544" s="39">
        <v>42200</v>
      </c>
      <c r="G544" s="40">
        <v>46.681415929203538</v>
      </c>
      <c r="H544" s="41"/>
      <c r="I544" s="40"/>
      <c r="J544" s="41"/>
      <c r="K544" s="9" t="s">
        <v>997</v>
      </c>
    </row>
    <row r="545" spans="1:11" x14ac:dyDescent="0.2">
      <c r="A545" s="9" t="s">
        <v>68</v>
      </c>
      <c r="B545" s="9" t="s">
        <v>212</v>
      </c>
      <c r="C545" s="9"/>
      <c r="D545" s="9" t="s">
        <v>76</v>
      </c>
      <c r="E545" s="38">
        <v>1828</v>
      </c>
      <c r="F545" s="39">
        <v>99900</v>
      </c>
      <c r="G545" s="40">
        <v>54.649890590809633</v>
      </c>
      <c r="H545" s="41"/>
      <c r="I545" s="40"/>
      <c r="J545" s="41"/>
      <c r="K545" s="9" t="s">
        <v>998</v>
      </c>
    </row>
    <row r="546" spans="1:11" x14ac:dyDescent="0.2">
      <c r="A546" s="9" t="s">
        <v>68</v>
      </c>
      <c r="B546" s="9" t="s">
        <v>999</v>
      </c>
      <c r="C546" s="9"/>
      <c r="D546" s="9" t="s">
        <v>80</v>
      </c>
      <c r="E546" s="38">
        <v>334</v>
      </c>
      <c r="F546" s="39">
        <v>16800</v>
      </c>
      <c r="G546" s="40">
        <v>50.299401197604787</v>
      </c>
      <c r="H546" s="41"/>
      <c r="I546" s="40"/>
      <c r="J546" s="41"/>
      <c r="K546" s="9" t="s">
        <v>1000</v>
      </c>
    </row>
    <row r="547" spans="1:11" x14ac:dyDescent="0.2">
      <c r="A547" s="9" t="s">
        <v>68</v>
      </c>
      <c r="B547" s="9" t="s">
        <v>1001</v>
      </c>
      <c r="C547" s="9"/>
      <c r="D547" s="9" t="s">
        <v>76</v>
      </c>
      <c r="E547" s="38">
        <v>3400</v>
      </c>
      <c r="F547" s="39">
        <v>95000</v>
      </c>
      <c r="G547" s="40">
        <v>27.941176470588239</v>
      </c>
      <c r="H547" s="41"/>
      <c r="I547" s="40"/>
      <c r="J547" s="41"/>
      <c r="K547" s="9" t="s">
        <v>1002</v>
      </c>
    </row>
    <row r="548" spans="1:11" x14ac:dyDescent="0.2">
      <c r="A548" s="9" t="s">
        <v>68</v>
      </c>
      <c r="B548" s="9" t="s">
        <v>228</v>
      </c>
      <c r="C548" s="9"/>
      <c r="D548" s="9" t="s">
        <v>76</v>
      </c>
      <c r="E548" s="38">
        <v>6006</v>
      </c>
      <c r="F548" s="39">
        <v>138900</v>
      </c>
      <c r="G548" s="40">
        <v>23.126873126873129</v>
      </c>
      <c r="H548" s="41"/>
      <c r="I548" s="40"/>
      <c r="J548" s="41"/>
      <c r="K548" s="9" t="s">
        <v>1003</v>
      </c>
    </row>
    <row r="549" spans="1:11" x14ac:dyDescent="0.2">
      <c r="A549" s="9" t="s">
        <v>68</v>
      </c>
      <c r="B549" s="9" t="s">
        <v>1004</v>
      </c>
      <c r="C549" s="9"/>
      <c r="D549" s="9" t="s">
        <v>82</v>
      </c>
      <c r="E549" s="38">
        <v>1532</v>
      </c>
      <c r="F549" s="39">
        <v>52200</v>
      </c>
      <c r="G549" s="40">
        <v>34.073107049608353</v>
      </c>
      <c r="H549" s="41"/>
      <c r="I549" s="40"/>
      <c r="J549" s="41"/>
      <c r="K549" s="9" t="s">
        <v>1005</v>
      </c>
    </row>
    <row r="550" spans="1:11" x14ac:dyDescent="0.2">
      <c r="A550" s="9" t="s">
        <v>68</v>
      </c>
      <c r="B550" s="9" t="s">
        <v>231</v>
      </c>
      <c r="C550" s="9"/>
      <c r="D550" s="9" t="s">
        <v>76</v>
      </c>
      <c r="E550" s="38">
        <v>7201</v>
      </c>
      <c r="F550" s="39">
        <v>11100</v>
      </c>
      <c r="G550" s="40">
        <v>1.5414525760311071</v>
      </c>
      <c r="H550" s="41"/>
      <c r="I550" s="40"/>
      <c r="J550" s="41"/>
      <c r="K550" s="9" t="s">
        <v>1006</v>
      </c>
    </row>
    <row r="551" spans="1:11" x14ac:dyDescent="0.2">
      <c r="A551" s="9" t="s">
        <v>68</v>
      </c>
      <c r="B551" s="9" t="s">
        <v>235</v>
      </c>
      <c r="C551" s="9"/>
      <c r="D551" s="9" t="s">
        <v>77</v>
      </c>
      <c r="E551" s="38">
        <v>3378</v>
      </c>
      <c r="F551" s="39">
        <v>194100</v>
      </c>
      <c r="G551" s="40">
        <v>57.460035523978682</v>
      </c>
      <c r="H551" s="41"/>
      <c r="I551" s="40"/>
      <c r="J551" s="41"/>
      <c r="K551" s="9" t="s">
        <v>1007</v>
      </c>
    </row>
    <row r="552" spans="1:11" x14ac:dyDescent="0.2">
      <c r="A552" s="9" t="s">
        <v>68</v>
      </c>
      <c r="B552" s="9" t="s">
        <v>256</v>
      </c>
      <c r="C552" s="9"/>
      <c r="D552" s="9" t="s">
        <v>76</v>
      </c>
      <c r="E552" s="38">
        <v>2245</v>
      </c>
      <c r="F552" s="39">
        <v>77800</v>
      </c>
      <c r="G552" s="40">
        <v>34.654788418708243</v>
      </c>
      <c r="H552" s="41"/>
      <c r="I552" s="40"/>
      <c r="J552" s="41"/>
      <c r="K552" s="9" t="s">
        <v>1008</v>
      </c>
    </row>
    <row r="553" spans="1:11" x14ac:dyDescent="0.2">
      <c r="A553" s="9" t="s">
        <v>68</v>
      </c>
      <c r="B553" s="9" t="s">
        <v>258</v>
      </c>
      <c r="C553" s="9"/>
      <c r="D553" s="9" t="s">
        <v>78</v>
      </c>
      <c r="E553" s="38">
        <v>1300</v>
      </c>
      <c r="F553" s="39">
        <v>28700</v>
      </c>
      <c r="G553" s="40">
        <v>22.07692307692308</v>
      </c>
      <c r="H553" s="41"/>
      <c r="I553" s="40"/>
      <c r="J553" s="41"/>
      <c r="K553" s="9" t="s">
        <v>1009</v>
      </c>
    </row>
    <row r="554" spans="1:11" x14ac:dyDescent="0.2">
      <c r="A554" s="9" t="s">
        <v>68</v>
      </c>
      <c r="B554" s="9" t="s">
        <v>1010</v>
      </c>
      <c r="C554" s="9"/>
      <c r="D554" s="9" t="s">
        <v>84</v>
      </c>
      <c r="E554" s="38">
        <v>160</v>
      </c>
      <c r="F554" s="39">
        <v>12000</v>
      </c>
      <c r="G554" s="40">
        <v>75</v>
      </c>
      <c r="H554" s="41"/>
      <c r="I554" s="40"/>
      <c r="J554" s="41"/>
      <c r="K554" s="9" t="s">
        <v>1011</v>
      </c>
    </row>
    <row r="555" spans="1:11" x14ac:dyDescent="0.2">
      <c r="A555" s="9" t="s">
        <v>68</v>
      </c>
      <c r="B555" s="9" t="s">
        <v>262</v>
      </c>
      <c r="C555" s="9"/>
      <c r="D555" s="9" t="s">
        <v>76</v>
      </c>
      <c r="E555" s="38">
        <v>6527</v>
      </c>
      <c r="F555" s="39">
        <v>175300</v>
      </c>
      <c r="G555" s="40">
        <v>26.857668147694191</v>
      </c>
      <c r="H555" s="41"/>
      <c r="I555" s="40"/>
      <c r="J555" s="41"/>
      <c r="K555" s="9" t="s">
        <v>1012</v>
      </c>
    </row>
    <row r="556" spans="1:11" x14ac:dyDescent="0.2">
      <c r="A556" s="9" t="s">
        <v>68</v>
      </c>
      <c r="B556" s="9" t="s">
        <v>267</v>
      </c>
      <c r="C556" s="9"/>
      <c r="D556" s="9" t="s">
        <v>77</v>
      </c>
      <c r="E556" s="38">
        <v>2504</v>
      </c>
      <c r="F556" s="39">
        <v>108800</v>
      </c>
      <c r="G556" s="40">
        <v>43.450479233226837</v>
      </c>
      <c r="H556" s="41"/>
      <c r="I556" s="40"/>
      <c r="J556" s="41"/>
      <c r="K556" s="9" t="s">
        <v>1013</v>
      </c>
    </row>
    <row r="557" spans="1:11" x14ac:dyDescent="0.2">
      <c r="A557" s="9" t="s">
        <v>68</v>
      </c>
      <c r="B557" s="9" t="s">
        <v>484</v>
      </c>
      <c r="C557" s="9"/>
      <c r="D557" s="9" t="s">
        <v>77</v>
      </c>
      <c r="E557" s="38">
        <v>1309</v>
      </c>
      <c r="F557" s="39">
        <v>40300</v>
      </c>
      <c r="G557" s="40">
        <v>30.7868601986249</v>
      </c>
      <c r="H557" s="41"/>
      <c r="I557" s="40"/>
      <c r="J557" s="41"/>
      <c r="K557" s="9" t="s">
        <v>1014</v>
      </c>
    </row>
    <row r="558" spans="1:11" x14ac:dyDescent="0.2">
      <c r="A558" s="9" t="s">
        <v>68</v>
      </c>
      <c r="B558" s="9" t="s">
        <v>271</v>
      </c>
      <c r="C558" s="9"/>
      <c r="D558" s="9" t="s">
        <v>78</v>
      </c>
      <c r="E558" s="38">
        <v>2170</v>
      </c>
      <c r="F558" s="39">
        <v>241400</v>
      </c>
      <c r="G558" s="40">
        <v>111.2442396313364</v>
      </c>
      <c r="H558" s="41"/>
      <c r="I558" s="40"/>
      <c r="J558" s="41"/>
      <c r="K558" s="9" t="s">
        <v>1015</v>
      </c>
    </row>
    <row r="559" spans="1:11" x14ac:dyDescent="0.2">
      <c r="A559" s="9" t="s">
        <v>68</v>
      </c>
      <c r="B559" s="9" t="s">
        <v>275</v>
      </c>
      <c r="C559" s="9"/>
      <c r="D559" s="9" t="s">
        <v>83</v>
      </c>
      <c r="E559" s="38">
        <v>6684</v>
      </c>
      <c r="F559" s="39">
        <v>287600</v>
      </c>
      <c r="G559" s="40">
        <v>43.02812687013764</v>
      </c>
      <c r="H559" s="41"/>
      <c r="I559" s="40"/>
      <c r="J559" s="41"/>
      <c r="K559" s="9" t="s">
        <v>1016</v>
      </c>
    </row>
    <row r="560" spans="1:11" x14ac:dyDescent="0.2">
      <c r="A560" s="9" t="s">
        <v>68</v>
      </c>
      <c r="B560" s="9" t="s">
        <v>277</v>
      </c>
      <c r="C560" s="9"/>
      <c r="D560" s="9" t="s">
        <v>76</v>
      </c>
      <c r="E560" s="38">
        <v>450</v>
      </c>
      <c r="F560" s="39">
        <v>40000</v>
      </c>
      <c r="G560" s="40">
        <v>88.888888888888886</v>
      </c>
      <c r="H560" s="41"/>
      <c r="I560" s="40"/>
      <c r="J560" s="41"/>
      <c r="K560" s="9" t="s">
        <v>1017</v>
      </c>
    </row>
    <row r="561" spans="1:11" x14ac:dyDescent="0.2">
      <c r="A561" s="9" t="s">
        <v>68</v>
      </c>
      <c r="B561" s="9" t="s">
        <v>279</v>
      </c>
      <c r="C561" s="9"/>
      <c r="D561" s="9" t="s">
        <v>76</v>
      </c>
      <c r="E561" s="38">
        <v>4856</v>
      </c>
      <c r="F561" s="39">
        <v>61700</v>
      </c>
      <c r="G561" s="40">
        <v>12.705930807248761</v>
      </c>
      <c r="H561" s="41"/>
      <c r="I561" s="40"/>
      <c r="J561" s="41"/>
      <c r="K561" s="9" t="s">
        <v>1018</v>
      </c>
    </row>
    <row r="562" spans="1:11" x14ac:dyDescent="0.2">
      <c r="A562" s="9" t="s">
        <v>68</v>
      </c>
      <c r="B562" s="9" t="s">
        <v>283</v>
      </c>
      <c r="C562" s="9"/>
      <c r="D562" s="9" t="s">
        <v>78</v>
      </c>
      <c r="E562" s="38">
        <v>841</v>
      </c>
      <c r="F562" s="39">
        <v>17900</v>
      </c>
      <c r="G562" s="40">
        <v>21.284185493460171</v>
      </c>
      <c r="H562" s="41"/>
      <c r="I562" s="40"/>
      <c r="J562" s="41"/>
      <c r="K562" s="9" t="s">
        <v>1019</v>
      </c>
    </row>
    <row r="563" spans="1:11" x14ac:dyDescent="0.2">
      <c r="A563" s="9" t="s">
        <v>68</v>
      </c>
      <c r="B563" s="9" t="s">
        <v>287</v>
      </c>
      <c r="C563" s="9"/>
      <c r="D563" s="9" t="s">
        <v>79</v>
      </c>
      <c r="E563" s="38">
        <v>765</v>
      </c>
      <c r="F563" s="39">
        <v>99300</v>
      </c>
      <c r="G563" s="40">
        <v>129.80392156862749</v>
      </c>
      <c r="H563" s="41"/>
      <c r="I563" s="40"/>
      <c r="J563" s="41"/>
      <c r="K563" s="9" t="s">
        <v>1020</v>
      </c>
    </row>
    <row r="564" spans="1:11" x14ac:dyDescent="0.2">
      <c r="A564" s="9" t="s">
        <v>68</v>
      </c>
      <c r="B564" s="9" t="s">
        <v>508</v>
      </c>
      <c r="C564" s="9"/>
      <c r="D564" s="9" t="s">
        <v>76</v>
      </c>
      <c r="E564" s="38">
        <v>2147</v>
      </c>
      <c r="F564" s="39">
        <v>39900</v>
      </c>
      <c r="G564" s="40">
        <v>18.584070796460178</v>
      </c>
      <c r="H564" s="41"/>
      <c r="I564" s="40"/>
      <c r="J564" s="41"/>
      <c r="K564" s="9" t="s">
        <v>1021</v>
      </c>
    </row>
    <row r="565" spans="1:11" x14ac:dyDescent="0.2">
      <c r="A565" s="9" t="s">
        <v>68</v>
      </c>
      <c r="B565" s="9" t="s">
        <v>708</v>
      </c>
      <c r="C565" s="9"/>
      <c r="D565" s="9" t="s">
        <v>80</v>
      </c>
      <c r="E565" s="38">
        <v>150</v>
      </c>
      <c r="F565" s="39">
        <v>34600</v>
      </c>
      <c r="G565" s="40">
        <v>230.66666666666671</v>
      </c>
      <c r="H565" s="41"/>
      <c r="I565" s="40"/>
      <c r="J565" s="41"/>
      <c r="K565" s="9" t="s">
        <v>1022</v>
      </c>
    </row>
    <row r="566" spans="1:11" x14ac:dyDescent="0.2">
      <c r="A566" s="9" t="s">
        <v>68</v>
      </c>
      <c r="B566" s="9" t="s">
        <v>1023</v>
      </c>
      <c r="C566" s="9"/>
      <c r="D566" s="9" t="s">
        <v>83</v>
      </c>
      <c r="E566" s="38">
        <v>995</v>
      </c>
      <c r="F566" s="39">
        <v>19100</v>
      </c>
      <c r="G566" s="40">
        <v>19.195979899497491</v>
      </c>
      <c r="H566" s="41"/>
      <c r="I566" s="40"/>
      <c r="J566" s="41"/>
      <c r="K566" s="9" t="s">
        <v>1024</v>
      </c>
    </row>
    <row r="567" spans="1:11" x14ac:dyDescent="0.2">
      <c r="A567" s="9" t="s">
        <v>68</v>
      </c>
      <c r="B567" s="9" t="s">
        <v>603</v>
      </c>
      <c r="C567" s="9"/>
      <c r="D567" s="9" t="s">
        <v>81</v>
      </c>
      <c r="E567" s="38">
        <v>6470</v>
      </c>
      <c r="F567" s="39">
        <v>284200</v>
      </c>
      <c r="G567" s="40">
        <v>43.925811437403397</v>
      </c>
      <c r="H567" s="41"/>
      <c r="I567" s="40"/>
      <c r="J567" s="41"/>
      <c r="K567" s="9" t="s">
        <v>1025</v>
      </c>
    </row>
    <row r="568" spans="1:11" x14ac:dyDescent="0.2">
      <c r="A568" s="9" t="s">
        <v>68</v>
      </c>
      <c r="B568" s="9" t="s">
        <v>317</v>
      </c>
      <c r="C568" s="9"/>
      <c r="D568" s="9" t="s">
        <v>76</v>
      </c>
      <c r="E568" s="38">
        <v>3698</v>
      </c>
      <c r="F568" s="39">
        <v>102000</v>
      </c>
      <c r="G568" s="40">
        <v>27.582477014602489</v>
      </c>
      <c r="H568" s="41"/>
      <c r="I568" s="40"/>
      <c r="J568" s="41"/>
      <c r="K568" s="9" t="s">
        <v>1026</v>
      </c>
    </row>
    <row r="569" spans="1:11" x14ac:dyDescent="0.2">
      <c r="A569" s="9" t="s">
        <v>68</v>
      </c>
      <c r="B569" s="9" t="s">
        <v>319</v>
      </c>
      <c r="C569" s="9"/>
      <c r="D569" s="9" t="s">
        <v>81</v>
      </c>
      <c r="E569" s="38">
        <v>1942</v>
      </c>
      <c r="F569" s="39">
        <v>207100</v>
      </c>
      <c r="G569" s="40">
        <v>106.64263645726059</v>
      </c>
      <c r="H569" s="41"/>
      <c r="I569" s="40"/>
      <c r="J569" s="41"/>
      <c r="K569" s="9" t="s">
        <v>1027</v>
      </c>
    </row>
    <row r="570" spans="1:11" x14ac:dyDescent="0.2">
      <c r="A570" s="9" t="s">
        <v>68</v>
      </c>
      <c r="B570" s="9" t="s">
        <v>321</v>
      </c>
      <c r="C570" s="9"/>
      <c r="D570" s="9" t="s">
        <v>78</v>
      </c>
      <c r="E570" s="38">
        <v>931</v>
      </c>
      <c r="F570" s="39">
        <v>118100</v>
      </c>
      <c r="G570" s="40">
        <v>126.85284640171859</v>
      </c>
      <c r="H570" s="41"/>
      <c r="I570" s="40"/>
      <c r="J570" s="41"/>
      <c r="K570" s="9" t="s">
        <v>1028</v>
      </c>
    </row>
    <row r="571" spans="1:11" x14ac:dyDescent="0.2">
      <c r="A571" s="9" t="s">
        <v>68</v>
      </c>
      <c r="B571" s="9" t="s">
        <v>1029</v>
      </c>
      <c r="C571" s="9"/>
      <c r="D571" s="9" t="s">
        <v>83</v>
      </c>
      <c r="E571" s="38">
        <v>2598</v>
      </c>
      <c r="F571" s="39">
        <v>82800</v>
      </c>
      <c r="G571" s="40">
        <v>31.87066974595843</v>
      </c>
      <c r="H571" s="41"/>
      <c r="I571" s="40"/>
      <c r="J571" s="41"/>
      <c r="K571" s="9" t="s">
        <v>1030</v>
      </c>
    </row>
    <row r="572" spans="1:11" x14ac:dyDescent="0.2">
      <c r="A572" s="9" t="s">
        <v>68</v>
      </c>
      <c r="B572" s="9" t="s">
        <v>1031</v>
      </c>
      <c r="C572" s="9"/>
      <c r="D572" s="9" t="s">
        <v>80</v>
      </c>
      <c r="E572" s="38">
        <v>240</v>
      </c>
      <c r="F572" s="39">
        <v>32200</v>
      </c>
      <c r="G572" s="40">
        <v>134.16666666666671</v>
      </c>
      <c r="H572" s="41"/>
      <c r="I572" s="40"/>
      <c r="J572" s="41"/>
      <c r="K572" s="9" t="s">
        <v>1032</v>
      </c>
    </row>
    <row r="573" spans="1:11" x14ac:dyDescent="0.2">
      <c r="A573" s="9" t="s">
        <v>68</v>
      </c>
      <c r="B573" s="9" t="s">
        <v>343</v>
      </c>
      <c r="C573" s="9"/>
      <c r="D573" s="9" t="s">
        <v>79</v>
      </c>
      <c r="E573" s="38">
        <v>5191</v>
      </c>
      <c r="F573" s="39">
        <v>466500</v>
      </c>
      <c r="G573" s="40">
        <v>89.867077634367178</v>
      </c>
      <c r="H573" s="41"/>
      <c r="I573" s="40"/>
      <c r="J573" s="41"/>
      <c r="K573" s="9" t="s">
        <v>1033</v>
      </c>
    </row>
    <row r="574" spans="1:11" x14ac:dyDescent="0.2">
      <c r="A574" s="9" t="s">
        <v>68</v>
      </c>
      <c r="B574" s="9" t="s">
        <v>1034</v>
      </c>
      <c r="C574" s="9"/>
      <c r="D574" s="9" t="s">
        <v>83</v>
      </c>
      <c r="E574" s="38">
        <v>4681</v>
      </c>
      <c r="F574" s="39">
        <v>90100</v>
      </c>
      <c r="G574" s="40">
        <v>19.248023926511429</v>
      </c>
      <c r="H574" s="41"/>
      <c r="I574" s="40"/>
      <c r="J574" s="41"/>
      <c r="K574" s="9" t="s">
        <v>1035</v>
      </c>
    </row>
    <row r="575" spans="1:11" x14ac:dyDescent="0.2">
      <c r="A575" s="9" t="s">
        <v>68</v>
      </c>
      <c r="B575" s="9" t="s">
        <v>355</v>
      </c>
      <c r="C575" s="9"/>
      <c r="D575" s="9" t="s">
        <v>82</v>
      </c>
      <c r="E575" s="38">
        <v>1932</v>
      </c>
      <c r="F575" s="39">
        <v>89900</v>
      </c>
      <c r="G575" s="40">
        <v>46.532091097308488</v>
      </c>
      <c r="H575" s="41"/>
      <c r="I575" s="40"/>
      <c r="J575" s="41"/>
      <c r="K575" s="9" t="s">
        <v>1036</v>
      </c>
    </row>
    <row r="576" spans="1:11" x14ac:dyDescent="0.2">
      <c r="A576" s="9" t="s">
        <v>68</v>
      </c>
      <c r="B576" s="9" t="s">
        <v>357</v>
      </c>
      <c r="C576" s="9"/>
      <c r="D576" s="9" t="s">
        <v>76</v>
      </c>
      <c r="E576" s="38">
        <v>605</v>
      </c>
      <c r="F576" s="39">
        <v>54500</v>
      </c>
      <c r="G576" s="40">
        <v>90.082644628099175</v>
      </c>
      <c r="H576" s="41"/>
      <c r="I576" s="40"/>
      <c r="J576" s="41"/>
      <c r="K576" s="9" t="s">
        <v>1037</v>
      </c>
    </row>
    <row r="577" spans="1:11" x14ac:dyDescent="0.2">
      <c r="A577" s="9" t="s">
        <v>68</v>
      </c>
      <c r="B577" s="9" t="s">
        <v>1038</v>
      </c>
      <c r="C577" s="9"/>
      <c r="D577" s="9" t="s">
        <v>80</v>
      </c>
      <c r="E577" s="38">
        <v>676</v>
      </c>
      <c r="F577" s="39">
        <v>15400</v>
      </c>
      <c r="G577" s="40">
        <v>22.781065088757401</v>
      </c>
      <c r="H577" s="41"/>
      <c r="I577" s="40"/>
      <c r="J577" s="41"/>
      <c r="K577" s="9" t="s">
        <v>1039</v>
      </c>
    </row>
    <row r="578" spans="1:11" x14ac:dyDescent="0.2">
      <c r="A578" s="9" t="s">
        <v>68</v>
      </c>
      <c r="B578" s="9" t="s">
        <v>1040</v>
      </c>
      <c r="C578" s="9"/>
      <c r="D578" s="9" t="s">
        <v>80</v>
      </c>
      <c r="E578" s="38">
        <v>571</v>
      </c>
      <c r="F578" s="39">
        <v>26900</v>
      </c>
      <c r="G578" s="40">
        <v>47.110332749562168</v>
      </c>
      <c r="H578" s="41"/>
      <c r="I578" s="40"/>
      <c r="J578" s="41"/>
      <c r="K578" s="9" t="s">
        <v>1041</v>
      </c>
    </row>
    <row r="579" spans="1:11" x14ac:dyDescent="0.2">
      <c r="A579" s="9" t="s">
        <v>68</v>
      </c>
      <c r="B579" s="9" t="s">
        <v>545</v>
      </c>
      <c r="C579" s="9"/>
      <c r="D579" s="9" t="s">
        <v>76</v>
      </c>
      <c r="E579" s="38">
        <v>4958</v>
      </c>
      <c r="F579" s="39">
        <v>81300</v>
      </c>
      <c r="G579" s="40">
        <v>16.397741024606699</v>
      </c>
      <c r="H579" s="41"/>
      <c r="I579" s="40"/>
      <c r="J579" s="41"/>
      <c r="K579" s="9" t="s">
        <v>1042</v>
      </c>
    </row>
    <row r="580" spans="1:11" x14ac:dyDescent="0.2">
      <c r="A580" s="9" t="s">
        <v>68</v>
      </c>
      <c r="B580" s="9" t="s">
        <v>1043</v>
      </c>
      <c r="C580" s="9"/>
      <c r="D580" s="9" t="s">
        <v>78</v>
      </c>
      <c r="E580" s="38">
        <v>886</v>
      </c>
      <c r="F580" s="39">
        <v>103400</v>
      </c>
      <c r="G580" s="40">
        <v>116.70428893905191</v>
      </c>
      <c r="H580" s="41"/>
      <c r="I580" s="40"/>
      <c r="J580" s="41"/>
      <c r="K580" s="9" t="s">
        <v>1044</v>
      </c>
    </row>
    <row r="581" spans="1:11" x14ac:dyDescent="0.2">
      <c r="A581" s="9" t="s">
        <v>68</v>
      </c>
      <c r="B581" s="9" t="s">
        <v>1045</v>
      </c>
      <c r="C581" s="9"/>
      <c r="D581" s="9" t="s">
        <v>76</v>
      </c>
      <c r="E581" s="38">
        <v>5699</v>
      </c>
      <c r="F581" s="39">
        <v>313200</v>
      </c>
      <c r="G581" s="40">
        <v>54.957010001754703</v>
      </c>
      <c r="H581" s="41"/>
      <c r="I581" s="40"/>
      <c r="J581" s="41"/>
      <c r="K581" s="9" t="s">
        <v>1046</v>
      </c>
    </row>
    <row r="582" spans="1:11" x14ac:dyDescent="0.2">
      <c r="A582" s="9" t="s">
        <v>68</v>
      </c>
      <c r="B582" s="9" t="s">
        <v>964</v>
      </c>
      <c r="C582" s="9"/>
      <c r="D582" s="9" t="s">
        <v>78</v>
      </c>
      <c r="E582" s="38">
        <v>1160</v>
      </c>
      <c r="F582" s="39">
        <v>20200</v>
      </c>
      <c r="G582" s="40">
        <v>17.413793103448281</v>
      </c>
      <c r="H582" s="41"/>
      <c r="I582" s="40"/>
      <c r="J582" s="41"/>
      <c r="K582" s="9" t="s">
        <v>1047</v>
      </c>
    </row>
    <row r="583" spans="1:11" x14ac:dyDescent="0.2">
      <c r="A583" s="9" t="s">
        <v>68</v>
      </c>
      <c r="B583" s="9" t="s">
        <v>369</v>
      </c>
      <c r="C583" s="9"/>
      <c r="D583" s="9" t="s">
        <v>84</v>
      </c>
      <c r="E583" s="38">
        <v>2625</v>
      </c>
      <c r="F583" s="39">
        <v>103400</v>
      </c>
      <c r="G583" s="40">
        <v>39.390476190476193</v>
      </c>
      <c r="H583" s="41"/>
      <c r="I583" s="40"/>
      <c r="J583" s="41"/>
      <c r="K583" s="9" t="s">
        <v>1048</v>
      </c>
    </row>
    <row r="584" spans="1:11" x14ac:dyDescent="0.2">
      <c r="A584" s="9" t="s">
        <v>68</v>
      </c>
      <c r="B584" s="9" t="s">
        <v>371</v>
      </c>
      <c r="C584" s="9"/>
      <c r="D584" s="9" t="s">
        <v>76</v>
      </c>
      <c r="E584" s="38">
        <v>4575</v>
      </c>
      <c r="F584" s="39">
        <v>57300</v>
      </c>
      <c r="G584" s="40">
        <v>12.52459016393443</v>
      </c>
      <c r="H584" s="41"/>
      <c r="I584" s="40"/>
      <c r="J584" s="41"/>
      <c r="K584" s="9" t="s">
        <v>1049</v>
      </c>
    </row>
    <row r="585" spans="1:11" x14ac:dyDescent="0.2">
      <c r="A585" s="9" t="s">
        <v>68</v>
      </c>
      <c r="B585" s="9" t="s">
        <v>1050</v>
      </c>
      <c r="C585" s="9"/>
      <c r="D585" s="9" t="s">
        <v>77</v>
      </c>
      <c r="E585" s="38">
        <v>2052</v>
      </c>
      <c r="F585" s="39">
        <v>84800</v>
      </c>
      <c r="G585" s="40">
        <v>41.32553606237817</v>
      </c>
      <c r="H585" s="41"/>
      <c r="I585" s="40"/>
      <c r="J585" s="41"/>
      <c r="K585" s="9" t="s">
        <v>1051</v>
      </c>
    </row>
    <row r="586" spans="1:11" x14ac:dyDescent="0.2">
      <c r="A586" s="9" t="s">
        <v>68</v>
      </c>
      <c r="B586" s="9" t="s">
        <v>1052</v>
      </c>
      <c r="C586" s="9"/>
      <c r="D586" s="9" t="s">
        <v>83</v>
      </c>
      <c r="E586" s="38">
        <v>6242</v>
      </c>
      <c r="F586" s="39">
        <v>289000</v>
      </c>
      <c r="G586" s="40">
        <v>46.29926305671259</v>
      </c>
      <c r="H586" s="41"/>
      <c r="I586" s="40"/>
      <c r="J586" s="41"/>
      <c r="K586" s="9" t="s">
        <v>1053</v>
      </c>
    </row>
    <row r="587" spans="1:11" x14ac:dyDescent="0.2">
      <c r="A587" s="9" t="s">
        <v>68</v>
      </c>
      <c r="B587" s="9" t="s">
        <v>565</v>
      </c>
      <c r="C587" s="9"/>
      <c r="D587" s="9" t="s">
        <v>76</v>
      </c>
      <c r="E587" s="38">
        <v>7880</v>
      </c>
      <c r="F587" s="39">
        <v>173000</v>
      </c>
      <c r="G587" s="40">
        <v>21.954314720812182</v>
      </c>
      <c r="H587" s="41"/>
      <c r="I587" s="40"/>
      <c r="J587" s="41"/>
      <c r="K587" s="9" t="s">
        <v>1054</v>
      </c>
    </row>
    <row r="588" spans="1:11" x14ac:dyDescent="0.2">
      <c r="A588" s="9" t="s">
        <v>68</v>
      </c>
      <c r="B588" s="9" t="s">
        <v>384</v>
      </c>
      <c r="C588" s="9"/>
      <c r="D588" s="9" t="s">
        <v>77</v>
      </c>
      <c r="E588" s="38">
        <v>3000</v>
      </c>
      <c r="F588" s="39">
        <v>91600</v>
      </c>
      <c r="G588" s="40">
        <v>30.533333333333331</v>
      </c>
      <c r="H588" s="41"/>
      <c r="I588" s="40"/>
      <c r="J588" s="41"/>
      <c r="K588" s="9" t="s">
        <v>1055</v>
      </c>
    </row>
    <row r="589" spans="1:11" x14ac:dyDescent="0.2">
      <c r="A589" s="9" t="s">
        <v>68</v>
      </c>
      <c r="B589" s="9" t="s">
        <v>568</v>
      </c>
      <c r="C589" s="9"/>
      <c r="D589" s="9" t="s">
        <v>76</v>
      </c>
      <c r="E589" s="38">
        <v>2461</v>
      </c>
      <c r="F589" s="39">
        <v>30900</v>
      </c>
      <c r="G589" s="40">
        <v>12.555871596911819</v>
      </c>
      <c r="H589" s="41"/>
      <c r="I589" s="40"/>
      <c r="J589" s="41"/>
      <c r="K589" s="9" t="s">
        <v>1056</v>
      </c>
    </row>
    <row r="590" spans="1:11" x14ac:dyDescent="0.2">
      <c r="A590" s="9" t="s">
        <v>68</v>
      </c>
      <c r="B590" s="9" t="s">
        <v>1057</v>
      </c>
      <c r="C590" s="9"/>
      <c r="D590" s="9" t="s">
        <v>77</v>
      </c>
      <c r="E590" s="38">
        <v>4762</v>
      </c>
      <c r="F590" s="39">
        <v>122300</v>
      </c>
      <c r="G590" s="40">
        <v>25.682486350272999</v>
      </c>
      <c r="H590" s="41"/>
      <c r="I590" s="40"/>
      <c r="J590" s="41"/>
      <c r="K590" s="9" t="s">
        <v>1058</v>
      </c>
    </row>
    <row r="591" spans="1:11" x14ac:dyDescent="0.2">
      <c r="A591" s="9" t="s">
        <v>68</v>
      </c>
      <c r="B591" s="9" t="s">
        <v>1059</v>
      </c>
      <c r="C591" s="9"/>
      <c r="D591" s="9" t="s">
        <v>80</v>
      </c>
      <c r="E591" s="38">
        <v>623</v>
      </c>
      <c r="F591" s="39">
        <v>3400</v>
      </c>
      <c r="G591" s="40">
        <v>5.4574638844301768</v>
      </c>
      <c r="H591" s="41"/>
      <c r="I591" s="40"/>
      <c r="J591" s="41"/>
      <c r="K591" s="9" t="s">
        <v>1060</v>
      </c>
    </row>
    <row r="592" spans="1:11" x14ac:dyDescent="0.2">
      <c r="A592" s="9" t="s">
        <v>68</v>
      </c>
      <c r="B592" s="9" t="s">
        <v>571</v>
      </c>
      <c r="C592" s="9"/>
      <c r="D592" s="9" t="s">
        <v>76</v>
      </c>
      <c r="E592" s="38">
        <v>2466</v>
      </c>
      <c r="F592" s="39">
        <v>52400</v>
      </c>
      <c r="G592" s="40">
        <v>21.248986212489861</v>
      </c>
      <c r="H592" s="41"/>
      <c r="I592" s="40"/>
      <c r="J592" s="41"/>
      <c r="K592" s="9" t="s">
        <v>1061</v>
      </c>
    </row>
    <row r="593" spans="1:11" x14ac:dyDescent="0.2">
      <c r="A593" s="9" t="s">
        <v>68</v>
      </c>
      <c r="B593" s="9" t="s">
        <v>392</v>
      </c>
      <c r="C593" s="9"/>
      <c r="D593" s="9" t="s">
        <v>76</v>
      </c>
      <c r="E593" s="38">
        <v>4581</v>
      </c>
      <c r="F593" s="39">
        <v>95700</v>
      </c>
      <c r="G593" s="40">
        <v>20.890635232481991</v>
      </c>
      <c r="H593" s="41"/>
      <c r="I593" s="40"/>
      <c r="J593" s="41"/>
      <c r="K593" s="9" t="s">
        <v>1062</v>
      </c>
    </row>
    <row r="594" spans="1:11" x14ac:dyDescent="0.2">
      <c r="A594" s="9" t="s">
        <v>68</v>
      </c>
      <c r="B594" s="9" t="s">
        <v>396</v>
      </c>
      <c r="C594" s="9"/>
      <c r="D594" s="9" t="s">
        <v>78</v>
      </c>
      <c r="E594" s="38">
        <v>1499</v>
      </c>
      <c r="F594" s="39">
        <v>51000</v>
      </c>
      <c r="G594" s="40">
        <v>34.022681787858573</v>
      </c>
      <c r="H594" s="41"/>
      <c r="I594" s="40"/>
      <c r="J594" s="41"/>
      <c r="K594" s="9" t="s">
        <v>1063</v>
      </c>
    </row>
    <row r="595" spans="1:11" x14ac:dyDescent="0.2">
      <c r="A595" s="9" t="s">
        <v>68</v>
      </c>
      <c r="B595" s="9" t="s">
        <v>398</v>
      </c>
      <c r="C595" s="9"/>
      <c r="D595" s="9" t="s">
        <v>76</v>
      </c>
      <c r="E595" s="38">
        <v>2699</v>
      </c>
      <c r="F595" s="39">
        <v>53200</v>
      </c>
      <c r="G595" s="40">
        <v>19.711004075583549</v>
      </c>
      <c r="H595" s="41"/>
      <c r="I595" s="40"/>
      <c r="J595" s="41"/>
      <c r="K595" s="9" t="s">
        <v>1064</v>
      </c>
    </row>
    <row r="596" spans="1:11" x14ac:dyDescent="0.2">
      <c r="A596" s="9" t="s">
        <v>23</v>
      </c>
      <c r="B596" s="9" t="s">
        <v>1065</v>
      </c>
      <c r="C596" s="9"/>
      <c r="D596" s="9" t="s">
        <v>85</v>
      </c>
      <c r="E596" s="38">
        <v>10785</v>
      </c>
      <c r="F596" s="39">
        <v>0</v>
      </c>
      <c r="G596" s="40"/>
      <c r="H596" s="41"/>
      <c r="I596" s="40">
        <v>22.00055632823366</v>
      </c>
      <c r="J596" s="41"/>
      <c r="K596" s="9" t="s">
        <v>1066</v>
      </c>
    </row>
    <row r="597" spans="1:11" x14ac:dyDescent="0.2">
      <c r="A597" s="9" t="s">
        <v>23</v>
      </c>
      <c r="B597" s="9" t="s">
        <v>1067</v>
      </c>
      <c r="C597" s="9"/>
      <c r="D597" s="9" t="s">
        <v>81</v>
      </c>
      <c r="E597" s="38">
        <v>6068</v>
      </c>
      <c r="F597" s="39">
        <v>4602854</v>
      </c>
      <c r="G597" s="40">
        <v>758.54548450889911</v>
      </c>
      <c r="H597" s="41"/>
      <c r="I597" s="40">
        <v>61.548450889914307</v>
      </c>
      <c r="J597" s="41">
        <v>8.1140092646866488E-2</v>
      </c>
      <c r="K597" s="9" t="s">
        <v>1068</v>
      </c>
    </row>
    <row r="598" spans="1:11" x14ac:dyDescent="0.2">
      <c r="A598" s="9" t="s">
        <v>23</v>
      </c>
      <c r="B598" s="9" t="s">
        <v>981</v>
      </c>
      <c r="C598" s="9"/>
      <c r="D598" s="9" t="s">
        <v>76</v>
      </c>
      <c r="E598" s="38">
        <v>6960</v>
      </c>
      <c r="F598" s="39">
        <v>2326939</v>
      </c>
      <c r="G598" s="40">
        <v>334.33031609195399</v>
      </c>
      <c r="H598" s="41">
        <v>3.7398615339071109E-3</v>
      </c>
      <c r="I598" s="40">
        <v>34.372413793103448</v>
      </c>
      <c r="J598" s="41">
        <v>0.10280974275647101</v>
      </c>
      <c r="K598" s="9" t="s">
        <v>1069</v>
      </c>
    </row>
    <row r="599" spans="1:11" x14ac:dyDescent="0.2">
      <c r="A599" s="9" t="s">
        <v>23</v>
      </c>
      <c r="B599" s="9" t="s">
        <v>1070</v>
      </c>
      <c r="C599" s="9"/>
      <c r="D599" s="9" t="s">
        <v>76</v>
      </c>
      <c r="E599" s="38">
        <v>3038</v>
      </c>
      <c r="F599" s="39">
        <v>0</v>
      </c>
      <c r="G599" s="40"/>
      <c r="H599" s="41"/>
      <c r="I599" s="40">
        <v>28.001316655694531</v>
      </c>
      <c r="J599" s="41"/>
      <c r="K599" s="9" t="s">
        <v>1071</v>
      </c>
    </row>
    <row r="600" spans="1:11" x14ac:dyDescent="0.2">
      <c r="A600" s="9" t="s">
        <v>23</v>
      </c>
      <c r="B600" s="9" t="s">
        <v>582</v>
      </c>
      <c r="C600" s="9"/>
      <c r="D600" s="9" t="s">
        <v>76</v>
      </c>
      <c r="E600" s="38">
        <v>10455</v>
      </c>
      <c r="F600" s="39">
        <v>2399159</v>
      </c>
      <c r="G600" s="40">
        <v>229.4747967479675</v>
      </c>
      <c r="H600" s="41">
        <v>4.9229189608123447E-2</v>
      </c>
      <c r="I600" s="40">
        <v>16.06312769010043</v>
      </c>
      <c r="J600" s="41">
        <v>6.9999529001620986E-2</v>
      </c>
      <c r="K600" s="9" t="s">
        <v>1072</v>
      </c>
    </row>
    <row r="601" spans="1:11" x14ac:dyDescent="0.2">
      <c r="A601" s="9" t="s">
        <v>23</v>
      </c>
      <c r="B601" s="9" t="s">
        <v>87</v>
      </c>
      <c r="C601" s="9"/>
      <c r="D601" s="9" t="s">
        <v>87</v>
      </c>
      <c r="E601" s="38">
        <v>4497</v>
      </c>
      <c r="F601" s="39">
        <v>33761195</v>
      </c>
      <c r="G601" s="40">
        <v>7507.4927729597512</v>
      </c>
      <c r="H601" s="41">
        <v>0.18897172370384191</v>
      </c>
      <c r="I601" s="40">
        <v>45.771847898599063</v>
      </c>
      <c r="J601" s="41">
        <v>6.0968221059710713E-3</v>
      </c>
      <c r="K601" s="9" t="s">
        <v>1073</v>
      </c>
    </row>
    <row r="602" spans="1:11" x14ac:dyDescent="0.2">
      <c r="A602" s="9" t="s">
        <v>23</v>
      </c>
      <c r="B602" s="9" t="s">
        <v>1074</v>
      </c>
      <c r="C602" s="9"/>
      <c r="D602" s="9" t="s">
        <v>87</v>
      </c>
      <c r="E602" s="38">
        <v>420</v>
      </c>
      <c r="F602" s="39">
        <v>0</v>
      </c>
      <c r="G602" s="40"/>
      <c r="H602" s="41"/>
      <c r="I602" s="40">
        <v>66.028571428571425</v>
      </c>
      <c r="J602" s="41"/>
      <c r="K602" s="9" t="s">
        <v>1075</v>
      </c>
    </row>
    <row r="603" spans="1:11" x14ac:dyDescent="0.2">
      <c r="A603" s="9" t="s">
        <v>23</v>
      </c>
      <c r="B603" s="9" t="s">
        <v>171</v>
      </c>
      <c r="C603" s="9"/>
      <c r="D603" s="9" t="s">
        <v>84</v>
      </c>
      <c r="E603" s="38">
        <v>5225</v>
      </c>
      <c r="F603" s="39">
        <v>0</v>
      </c>
      <c r="G603" s="40"/>
      <c r="H603" s="41"/>
      <c r="I603" s="40">
        <v>68.058947368421059</v>
      </c>
      <c r="J603" s="41"/>
      <c r="K603" s="9" t="s">
        <v>1076</v>
      </c>
    </row>
    <row r="604" spans="1:11" x14ac:dyDescent="0.2">
      <c r="A604" s="9" t="s">
        <v>23</v>
      </c>
      <c r="B604" s="9" t="s">
        <v>985</v>
      </c>
      <c r="C604" s="9"/>
      <c r="D604" s="9" t="s">
        <v>76</v>
      </c>
      <c r="E604" s="38">
        <v>3518</v>
      </c>
      <c r="F604" s="39">
        <v>1411124</v>
      </c>
      <c r="G604" s="40">
        <v>401.11540648095507</v>
      </c>
      <c r="H604" s="41">
        <v>3.8446797637974109E-3</v>
      </c>
      <c r="I604" s="40">
        <v>30</v>
      </c>
      <c r="J604" s="41">
        <v>7.4791442849813344E-2</v>
      </c>
      <c r="K604" s="9" t="s">
        <v>1077</v>
      </c>
    </row>
    <row r="605" spans="1:11" x14ac:dyDescent="0.2">
      <c r="A605" s="9" t="s">
        <v>23</v>
      </c>
      <c r="B605" s="9" t="s">
        <v>177</v>
      </c>
      <c r="C605" s="9"/>
      <c r="D605" s="9" t="s">
        <v>85</v>
      </c>
      <c r="E605" s="38">
        <v>27300</v>
      </c>
      <c r="F605" s="39">
        <v>4631355</v>
      </c>
      <c r="G605" s="40">
        <v>169.64670329670329</v>
      </c>
      <c r="H605" s="41">
        <v>0.75291292160807222</v>
      </c>
      <c r="I605" s="40">
        <v>17.30769230769231</v>
      </c>
      <c r="J605" s="41">
        <v>0.1020219784490716</v>
      </c>
      <c r="K605" s="9" t="s">
        <v>1078</v>
      </c>
    </row>
    <row r="606" spans="1:11" x14ac:dyDescent="0.2">
      <c r="A606" s="9" t="s">
        <v>23</v>
      </c>
      <c r="B606" s="9" t="s">
        <v>179</v>
      </c>
      <c r="C606" s="9"/>
      <c r="D606" s="9" t="s">
        <v>79</v>
      </c>
      <c r="E606" s="38">
        <v>3936</v>
      </c>
      <c r="F606" s="39">
        <v>4420027</v>
      </c>
      <c r="G606" s="40">
        <v>1122.9743394308939</v>
      </c>
      <c r="H606" s="41">
        <v>2.252925515419086E-2</v>
      </c>
      <c r="I606" s="40">
        <v>70.408536585365852</v>
      </c>
      <c r="J606" s="41">
        <v>6.2698259535518677E-2</v>
      </c>
      <c r="K606" s="9" t="s">
        <v>1079</v>
      </c>
    </row>
    <row r="607" spans="1:11" x14ac:dyDescent="0.2">
      <c r="A607" s="9" t="s">
        <v>23</v>
      </c>
      <c r="B607" s="9" t="s">
        <v>1080</v>
      </c>
      <c r="C607" s="9"/>
      <c r="D607" s="9" t="s">
        <v>85</v>
      </c>
      <c r="E607" s="38">
        <v>30000</v>
      </c>
      <c r="F607" s="39">
        <v>0</v>
      </c>
      <c r="G607" s="40"/>
      <c r="H607" s="41"/>
      <c r="I607" s="40">
        <v>12.04</v>
      </c>
      <c r="J607" s="41"/>
      <c r="K607" s="9" t="s">
        <v>1081</v>
      </c>
    </row>
    <row r="608" spans="1:11" x14ac:dyDescent="0.2">
      <c r="A608" s="9" t="s">
        <v>23</v>
      </c>
      <c r="B608" s="9" t="s">
        <v>1082</v>
      </c>
      <c r="C608" s="9"/>
      <c r="D608" s="9" t="s">
        <v>86</v>
      </c>
      <c r="E608" s="38">
        <v>169507</v>
      </c>
      <c r="F608" s="39">
        <v>20222267</v>
      </c>
      <c r="G608" s="40">
        <v>119.300483165887</v>
      </c>
      <c r="H608" s="41">
        <v>0.12846329567992351</v>
      </c>
      <c r="I608" s="40">
        <v>2.7297987693723562</v>
      </c>
      <c r="J608" s="41">
        <v>2.288170757512004E-2</v>
      </c>
      <c r="K608" s="9" t="s">
        <v>1083</v>
      </c>
    </row>
    <row r="609" spans="1:11" x14ac:dyDescent="0.2">
      <c r="A609" s="9" t="s">
        <v>23</v>
      </c>
      <c r="B609" s="9" t="s">
        <v>665</v>
      </c>
      <c r="C609" s="9"/>
      <c r="D609" s="9" t="s">
        <v>81</v>
      </c>
      <c r="E609" s="38">
        <v>9011</v>
      </c>
      <c r="F609" s="39">
        <v>3674104</v>
      </c>
      <c r="G609" s="40">
        <v>407.73543446898242</v>
      </c>
      <c r="H609" s="41">
        <v>7.9854895730779557E-2</v>
      </c>
      <c r="I609" s="40">
        <v>42.360226389967821</v>
      </c>
      <c r="J609" s="41">
        <v>0.10389145217446211</v>
      </c>
      <c r="K609" s="9" t="s">
        <v>1084</v>
      </c>
    </row>
    <row r="610" spans="1:11" x14ac:dyDescent="0.2">
      <c r="A610" s="9" t="s">
        <v>23</v>
      </c>
      <c r="B610" s="9" t="s">
        <v>1085</v>
      </c>
      <c r="C610" s="9"/>
      <c r="D610" s="9" t="s">
        <v>80</v>
      </c>
      <c r="E610" s="38">
        <v>6699</v>
      </c>
      <c r="F610" s="39">
        <v>4280653</v>
      </c>
      <c r="G610" s="40">
        <v>638.99880579190926</v>
      </c>
      <c r="H610" s="41">
        <v>-5.4882793961966277E-2</v>
      </c>
      <c r="I610" s="40">
        <v>42.038513210927007</v>
      </c>
      <c r="J610" s="41">
        <v>6.5788093545540827E-2</v>
      </c>
      <c r="K610" s="9" t="s">
        <v>1086</v>
      </c>
    </row>
    <row r="611" spans="1:11" x14ac:dyDescent="0.2">
      <c r="A611" s="9" t="s">
        <v>23</v>
      </c>
      <c r="B611" s="9" t="s">
        <v>420</v>
      </c>
      <c r="C611" s="9"/>
      <c r="D611" s="9" t="s">
        <v>78</v>
      </c>
      <c r="E611" s="38">
        <v>1644</v>
      </c>
      <c r="F611" s="39">
        <v>736052</v>
      </c>
      <c r="G611" s="40">
        <v>447.72019464720188</v>
      </c>
      <c r="H611" s="41">
        <v>3.0315521081601501E-2</v>
      </c>
      <c r="I611" s="40">
        <v>70.576642335766422</v>
      </c>
      <c r="J611" s="41">
        <v>0.15763560183247921</v>
      </c>
      <c r="K611" s="9" t="s">
        <v>1087</v>
      </c>
    </row>
    <row r="612" spans="1:11" x14ac:dyDescent="0.2">
      <c r="A612" s="9" t="s">
        <v>23</v>
      </c>
      <c r="B612" s="9" t="s">
        <v>191</v>
      </c>
      <c r="C612" s="9"/>
      <c r="D612" s="9" t="s">
        <v>76</v>
      </c>
      <c r="E612" s="38">
        <v>4572</v>
      </c>
      <c r="F612" s="39">
        <v>1604448</v>
      </c>
      <c r="G612" s="40">
        <v>350.92913385826768</v>
      </c>
      <c r="H612" s="41">
        <v>4.5625888976915982E-2</v>
      </c>
      <c r="I612" s="40">
        <v>42.354330708661408</v>
      </c>
      <c r="J612" s="41">
        <v>0.1206919763058697</v>
      </c>
      <c r="K612" s="9" t="s">
        <v>1088</v>
      </c>
    </row>
    <row r="613" spans="1:11" x14ac:dyDescent="0.2">
      <c r="A613" s="9" t="s">
        <v>23</v>
      </c>
      <c r="B613" s="9" t="s">
        <v>1089</v>
      </c>
      <c r="C613" s="9"/>
      <c r="D613" s="9" t="s">
        <v>83</v>
      </c>
      <c r="E613" s="38">
        <v>2932</v>
      </c>
      <c r="F613" s="39">
        <v>484787</v>
      </c>
      <c r="G613" s="40">
        <v>165.34345156889489</v>
      </c>
      <c r="H613" s="41">
        <v>-9.308684539023955E-3</v>
      </c>
      <c r="I613" s="40">
        <v>59.283765347885399</v>
      </c>
      <c r="J613" s="41">
        <v>0.35854921852277388</v>
      </c>
      <c r="K613" s="9" t="s">
        <v>1090</v>
      </c>
    </row>
    <row r="614" spans="1:11" x14ac:dyDescent="0.2">
      <c r="A614" s="9" t="s">
        <v>23</v>
      </c>
      <c r="B614" s="9" t="s">
        <v>1091</v>
      </c>
      <c r="C614" s="9"/>
      <c r="D614" s="9" t="s">
        <v>81</v>
      </c>
      <c r="E614" s="38">
        <v>7405</v>
      </c>
      <c r="F614" s="39">
        <v>10260561</v>
      </c>
      <c r="G614" s="40">
        <v>1385.626063470628</v>
      </c>
      <c r="H614" s="41"/>
      <c r="I614" s="40">
        <v>74.811613774476712</v>
      </c>
      <c r="J614" s="41">
        <v>5.3991199896379932E-2</v>
      </c>
      <c r="K614" s="9" t="s">
        <v>1092</v>
      </c>
    </row>
    <row r="615" spans="1:11" x14ac:dyDescent="0.2">
      <c r="A615" s="9" t="s">
        <v>23</v>
      </c>
      <c r="B615" s="9" t="s">
        <v>759</v>
      </c>
      <c r="C615" s="9"/>
      <c r="D615" s="9" t="s">
        <v>76</v>
      </c>
      <c r="E615" s="38">
        <v>4995</v>
      </c>
      <c r="F615" s="39">
        <v>727513</v>
      </c>
      <c r="G615" s="40">
        <v>145.64824824824831</v>
      </c>
      <c r="H615" s="41">
        <v>0.46196424790538698</v>
      </c>
      <c r="I615" s="40">
        <v>43.630030030030028</v>
      </c>
      <c r="J615" s="41">
        <v>0.29955753367981047</v>
      </c>
      <c r="K615" s="9" t="s">
        <v>1093</v>
      </c>
    </row>
    <row r="616" spans="1:11" x14ac:dyDescent="0.2">
      <c r="A616" s="9" t="s">
        <v>23</v>
      </c>
      <c r="B616" s="9" t="s">
        <v>1094</v>
      </c>
      <c r="C616" s="9"/>
      <c r="D616" s="9" t="s">
        <v>80</v>
      </c>
      <c r="E616" s="38">
        <v>945</v>
      </c>
      <c r="F616" s="39">
        <v>690214</v>
      </c>
      <c r="G616" s="40">
        <v>730.38518518518515</v>
      </c>
      <c r="H616" s="41">
        <v>-3.6956383611651829E-2</v>
      </c>
      <c r="I616" s="40">
        <v>86.742857142857147</v>
      </c>
      <c r="J616" s="41">
        <v>0.1187631662064229</v>
      </c>
      <c r="K616" s="9" t="s">
        <v>1095</v>
      </c>
    </row>
    <row r="617" spans="1:11" x14ac:dyDescent="0.2">
      <c r="A617" s="9" t="s">
        <v>23</v>
      </c>
      <c r="B617" s="9" t="s">
        <v>1096</v>
      </c>
      <c r="C617" s="9"/>
      <c r="D617" s="9" t="s">
        <v>85</v>
      </c>
      <c r="E617" s="38">
        <v>77246</v>
      </c>
      <c r="F617" s="39">
        <v>9322525</v>
      </c>
      <c r="G617" s="40">
        <v>120.68618439789761</v>
      </c>
      <c r="H617" s="41">
        <v>0.68335379853080769</v>
      </c>
      <c r="I617" s="40">
        <v>31.343914247986952</v>
      </c>
      <c r="J617" s="41">
        <v>0.25971418687533693</v>
      </c>
      <c r="K617" s="9" t="s">
        <v>1097</v>
      </c>
    </row>
    <row r="618" spans="1:11" x14ac:dyDescent="0.2">
      <c r="A618" s="9" t="s">
        <v>23</v>
      </c>
      <c r="B618" s="9" t="s">
        <v>208</v>
      </c>
      <c r="C618" s="9"/>
      <c r="D618" s="9" t="s">
        <v>78</v>
      </c>
      <c r="E618" s="38">
        <v>1222</v>
      </c>
      <c r="F618" s="39">
        <v>753048</v>
      </c>
      <c r="G618" s="40">
        <v>616.24222585924713</v>
      </c>
      <c r="H618" s="41">
        <v>-4.6737998345049367E-2</v>
      </c>
      <c r="I618" s="40">
        <v>95.95090016366612</v>
      </c>
      <c r="J618" s="41">
        <v>0.1557032221053638</v>
      </c>
      <c r="K618" s="9" t="s">
        <v>1098</v>
      </c>
    </row>
    <row r="619" spans="1:11" x14ac:dyDescent="0.2">
      <c r="A619" s="9" t="s">
        <v>23</v>
      </c>
      <c r="B619" s="9" t="s">
        <v>1099</v>
      </c>
      <c r="C619" s="9"/>
      <c r="D619" s="9" t="s">
        <v>81</v>
      </c>
      <c r="E619" s="38">
        <v>7106</v>
      </c>
      <c r="F619" s="39">
        <v>10516234</v>
      </c>
      <c r="G619" s="40">
        <v>1479.909090909091</v>
      </c>
      <c r="H619" s="41">
        <v>0.12954962684357471</v>
      </c>
      <c r="I619" s="40">
        <v>111.14438502673799</v>
      </c>
      <c r="J619" s="41">
        <v>7.5102170605941251E-2</v>
      </c>
      <c r="K619" s="9" t="s">
        <v>1100</v>
      </c>
    </row>
    <row r="620" spans="1:11" x14ac:dyDescent="0.2">
      <c r="A620" s="9" t="s">
        <v>23</v>
      </c>
      <c r="B620" s="9" t="s">
        <v>1101</v>
      </c>
      <c r="C620" s="9"/>
      <c r="D620" s="9" t="s">
        <v>80</v>
      </c>
      <c r="E620" s="38">
        <v>1584</v>
      </c>
      <c r="F620" s="39">
        <v>684473</v>
      </c>
      <c r="G620" s="40">
        <v>432.11679292929301</v>
      </c>
      <c r="H620" s="41">
        <v>9.3480916918780549E-2</v>
      </c>
      <c r="I620" s="40">
        <v>42</v>
      </c>
      <c r="J620" s="41">
        <v>9.7195944909441279E-2</v>
      </c>
      <c r="K620" s="9" t="s">
        <v>1102</v>
      </c>
    </row>
    <row r="621" spans="1:11" x14ac:dyDescent="0.2">
      <c r="A621" s="9" t="s">
        <v>23</v>
      </c>
      <c r="B621" s="9" t="s">
        <v>766</v>
      </c>
      <c r="C621" s="9"/>
      <c r="D621" s="9" t="s">
        <v>86</v>
      </c>
      <c r="E621" s="38">
        <v>47084</v>
      </c>
      <c r="F621" s="39">
        <v>0</v>
      </c>
      <c r="G621" s="40"/>
      <c r="H621" s="41"/>
      <c r="I621" s="40">
        <v>18.416192337099648</v>
      </c>
      <c r="J621" s="41"/>
      <c r="K621" s="9" t="s">
        <v>1103</v>
      </c>
    </row>
    <row r="622" spans="1:11" x14ac:dyDescent="0.2">
      <c r="A622" s="9" t="s">
        <v>23</v>
      </c>
      <c r="B622" s="9" t="s">
        <v>1001</v>
      </c>
      <c r="C622" s="9"/>
      <c r="D622" s="9" t="s">
        <v>76</v>
      </c>
      <c r="E622" s="38">
        <v>3780</v>
      </c>
      <c r="F622" s="39">
        <v>0</v>
      </c>
      <c r="G622" s="40"/>
      <c r="H622" s="41"/>
      <c r="I622" s="40">
        <v>49.38095238095238</v>
      </c>
      <c r="J622" s="41"/>
      <c r="K622" s="9" t="s">
        <v>1104</v>
      </c>
    </row>
    <row r="623" spans="1:11" x14ac:dyDescent="0.2">
      <c r="A623" s="9" t="s">
        <v>23</v>
      </c>
      <c r="B623" s="9" t="s">
        <v>768</v>
      </c>
      <c r="C623" s="9"/>
      <c r="D623" s="9" t="s">
        <v>77</v>
      </c>
      <c r="E623" s="38">
        <v>15991</v>
      </c>
      <c r="F623" s="39">
        <v>4608857</v>
      </c>
      <c r="G623" s="40">
        <v>288.21568382215003</v>
      </c>
      <c r="H623" s="41">
        <v>-7.5966917806373976E-2</v>
      </c>
      <c r="I623" s="40">
        <v>23.070227002689009</v>
      </c>
      <c r="J623" s="41">
        <v>8.0045008990298469E-2</v>
      </c>
      <c r="K623" s="9" t="s">
        <v>1105</v>
      </c>
    </row>
    <row r="624" spans="1:11" x14ac:dyDescent="0.2">
      <c r="A624" s="9" t="s">
        <v>23</v>
      </c>
      <c r="B624" s="9" t="s">
        <v>1106</v>
      </c>
      <c r="C624" s="9"/>
      <c r="D624" s="9" t="s">
        <v>83</v>
      </c>
      <c r="E624" s="38">
        <v>997</v>
      </c>
      <c r="F624" s="39">
        <v>191378</v>
      </c>
      <c r="G624" s="40">
        <v>191.95386158475429</v>
      </c>
      <c r="H624" s="41">
        <v>-0.2333298350395466</v>
      </c>
      <c r="I624" s="40">
        <v>53.043129388164488</v>
      </c>
      <c r="J624" s="41">
        <v>0.2763327028185058</v>
      </c>
      <c r="K624" s="9" t="s">
        <v>1107</v>
      </c>
    </row>
    <row r="625" spans="1:11" x14ac:dyDescent="0.2">
      <c r="A625" s="9" t="s">
        <v>23</v>
      </c>
      <c r="B625" s="9" t="s">
        <v>1108</v>
      </c>
      <c r="C625" s="9"/>
      <c r="D625" s="9" t="s">
        <v>80</v>
      </c>
      <c r="E625" s="38">
        <v>1207</v>
      </c>
      <c r="F625" s="39">
        <v>0</v>
      </c>
      <c r="G625" s="40"/>
      <c r="H625" s="41"/>
      <c r="I625" s="40">
        <v>60.268434134217067</v>
      </c>
      <c r="J625" s="41"/>
      <c r="K625" s="9" t="s">
        <v>1109</v>
      </c>
    </row>
    <row r="626" spans="1:11" x14ac:dyDescent="0.2">
      <c r="A626" s="9" t="s">
        <v>23</v>
      </c>
      <c r="B626" s="9" t="s">
        <v>456</v>
      </c>
      <c r="C626" s="9"/>
      <c r="D626" s="9" t="s">
        <v>76</v>
      </c>
      <c r="E626" s="38">
        <v>1613</v>
      </c>
      <c r="F626" s="39">
        <v>497550</v>
      </c>
      <c r="G626" s="40">
        <v>308.46249225046489</v>
      </c>
      <c r="H626" s="41">
        <v>3.34266500956183E-2</v>
      </c>
      <c r="I626" s="40">
        <v>32.235585864848112</v>
      </c>
      <c r="J626" s="41">
        <v>0.1045040699427193</v>
      </c>
      <c r="K626" s="9" t="s">
        <v>1110</v>
      </c>
    </row>
    <row r="627" spans="1:11" x14ac:dyDescent="0.2">
      <c r="A627" s="9" t="s">
        <v>23</v>
      </c>
      <c r="B627" s="9" t="s">
        <v>908</v>
      </c>
      <c r="C627" s="9"/>
      <c r="D627" s="9" t="s">
        <v>80</v>
      </c>
      <c r="E627" s="38">
        <v>693</v>
      </c>
      <c r="F627" s="39">
        <v>742398</v>
      </c>
      <c r="G627" s="40">
        <v>1071.2813852813849</v>
      </c>
      <c r="H627" s="41">
        <v>-4.1335987520418498E-2</v>
      </c>
      <c r="I627" s="40">
        <v>109.8354978354978</v>
      </c>
      <c r="J627" s="41">
        <v>0.1025272158599565</v>
      </c>
      <c r="K627" s="9" t="s">
        <v>1111</v>
      </c>
    </row>
    <row r="628" spans="1:11" x14ac:dyDescent="0.2">
      <c r="A628" s="9" t="s">
        <v>23</v>
      </c>
      <c r="B628" s="9" t="s">
        <v>1112</v>
      </c>
      <c r="C628" s="9"/>
      <c r="D628" s="9" t="s">
        <v>78</v>
      </c>
      <c r="E628" s="38">
        <v>3266</v>
      </c>
      <c r="F628" s="39">
        <v>3065379</v>
      </c>
      <c r="G628" s="40">
        <v>938.57287201469683</v>
      </c>
      <c r="H628" s="41">
        <v>0.1338881099328699</v>
      </c>
      <c r="I628" s="40">
        <v>63.608083282302509</v>
      </c>
      <c r="J628" s="41">
        <v>6.7771065176606221E-2</v>
      </c>
      <c r="K628" s="9" t="s">
        <v>1113</v>
      </c>
    </row>
    <row r="629" spans="1:11" x14ac:dyDescent="0.2">
      <c r="A629" s="9" t="s">
        <v>23</v>
      </c>
      <c r="B629" s="9" t="s">
        <v>247</v>
      </c>
      <c r="C629" s="9"/>
      <c r="D629" s="9" t="s">
        <v>76</v>
      </c>
      <c r="E629" s="38">
        <v>20804</v>
      </c>
      <c r="F629" s="39">
        <v>5757828</v>
      </c>
      <c r="G629" s="40">
        <v>276.76542972505291</v>
      </c>
      <c r="H629" s="41">
        <v>0.25460532363915811</v>
      </c>
      <c r="I629" s="40">
        <v>22.141511247836959</v>
      </c>
      <c r="J629" s="41">
        <v>8.0001000377225573E-2</v>
      </c>
      <c r="K629" s="9" t="s">
        <v>1114</v>
      </c>
    </row>
    <row r="630" spans="1:11" x14ac:dyDescent="0.2">
      <c r="A630" s="9" t="s">
        <v>23</v>
      </c>
      <c r="B630" s="9" t="s">
        <v>1115</v>
      </c>
      <c r="C630" s="9"/>
      <c r="D630" s="9" t="s">
        <v>85</v>
      </c>
      <c r="E630" s="38">
        <v>18213</v>
      </c>
      <c r="F630" s="39">
        <v>0</v>
      </c>
      <c r="G630" s="40"/>
      <c r="H630" s="41"/>
      <c r="I630" s="40">
        <v>24.189754570910889</v>
      </c>
      <c r="J630" s="41"/>
      <c r="K630" s="9" t="s">
        <v>1116</v>
      </c>
    </row>
    <row r="631" spans="1:11" x14ac:dyDescent="0.2">
      <c r="A631" s="9" t="s">
        <v>23</v>
      </c>
      <c r="B631" s="9" t="s">
        <v>1117</v>
      </c>
      <c r="C631" s="9"/>
      <c r="D631" s="9" t="s">
        <v>85</v>
      </c>
      <c r="E631" s="38">
        <v>10137</v>
      </c>
      <c r="F631" s="39">
        <v>0</v>
      </c>
      <c r="G631" s="40"/>
      <c r="H631" s="41"/>
      <c r="I631" s="40">
        <v>24.293577981651371</v>
      </c>
      <c r="J631" s="41"/>
      <c r="K631" s="9" t="s">
        <v>1118</v>
      </c>
    </row>
    <row r="632" spans="1:11" x14ac:dyDescent="0.2">
      <c r="A632" s="9" t="s">
        <v>23</v>
      </c>
      <c r="B632" s="9" t="s">
        <v>1119</v>
      </c>
      <c r="C632" s="9"/>
      <c r="D632" s="9" t="s">
        <v>80</v>
      </c>
      <c r="E632" s="38">
        <v>1703</v>
      </c>
      <c r="F632" s="39">
        <v>886852</v>
      </c>
      <c r="G632" s="40">
        <v>520.75866118614215</v>
      </c>
      <c r="H632" s="41">
        <v>2.4261307440657329E-2</v>
      </c>
      <c r="I632" s="40">
        <v>66.369935408103345</v>
      </c>
      <c r="J632" s="41">
        <v>0.12744854834854069</v>
      </c>
      <c r="K632" s="9" t="s">
        <v>1120</v>
      </c>
    </row>
    <row r="633" spans="1:11" x14ac:dyDescent="0.2">
      <c r="A633" s="9" t="s">
        <v>23</v>
      </c>
      <c r="B633" s="9" t="s">
        <v>260</v>
      </c>
      <c r="C633" s="9"/>
      <c r="D633" s="9" t="s">
        <v>76</v>
      </c>
      <c r="E633" s="38">
        <v>3405</v>
      </c>
      <c r="F633" s="39">
        <v>1437083</v>
      </c>
      <c r="G633" s="40">
        <v>422.05080763582959</v>
      </c>
      <c r="H633" s="41">
        <v>0.1437717036661538</v>
      </c>
      <c r="I633" s="40">
        <v>53.399118942731278</v>
      </c>
      <c r="J633" s="41">
        <v>0.12652296353098599</v>
      </c>
      <c r="K633" s="9" t="s">
        <v>1121</v>
      </c>
    </row>
    <row r="634" spans="1:11" x14ac:dyDescent="0.2">
      <c r="A634" s="9" t="s">
        <v>23</v>
      </c>
      <c r="B634" s="9" t="s">
        <v>477</v>
      </c>
      <c r="C634" s="9"/>
      <c r="D634" s="9" t="s">
        <v>78</v>
      </c>
      <c r="E634" s="38">
        <v>4571</v>
      </c>
      <c r="F634" s="39">
        <v>0</v>
      </c>
      <c r="G634" s="40"/>
      <c r="H634" s="41"/>
      <c r="I634" s="40">
        <v>28.877707285057969</v>
      </c>
      <c r="J634" s="41"/>
      <c r="K634" s="9" t="s">
        <v>1122</v>
      </c>
    </row>
    <row r="635" spans="1:11" x14ac:dyDescent="0.2">
      <c r="A635" s="9" t="s">
        <v>23</v>
      </c>
      <c r="B635" s="9" t="s">
        <v>1123</v>
      </c>
      <c r="C635" s="9"/>
      <c r="D635" s="9" t="s">
        <v>76</v>
      </c>
      <c r="E635" s="38">
        <v>5796</v>
      </c>
      <c r="F635" s="39">
        <v>1740435</v>
      </c>
      <c r="G635" s="40">
        <v>300.28209109730852</v>
      </c>
      <c r="H635" s="41">
        <v>0.45250268806054439</v>
      </c>
      <c r="I635" s="40">
        <v>39.826086956521742</v>
      </c>
      <c r="J635" s="41">
        <v>0.13262891173758279</v>
      </c>
      <c r="K635" s="9" t="s">
        <v>1124</v>
      </c>
    </row>
    <row r="636" spans="1:11" x14ac:dyDescent="0.2">
      <c r="A636" s="9" t="s">
        <v>23</v>
      </c>
      <c r="B636" s="9" t="s">
        <v>267</v>
      </c>
      <c r="C636" s="9"/>
      <c r="D636" s="9" t="s">
        <v>77</v>
      </c>
      <c r="E636" s="38">
        <v>2497</v>
      </c>
      <c r="F636" s="39">
        <v>0</v>
      </c>
      <c r="G636" s="40"/>
      <c r="H636" s="41"/>
      <c r="I636" s="40">
        <v>51.830196235482582</v>
      </c>
      <c r="J636" s="41"/>
      <c r="K636" s="9" t="s">
        <v>1125</v>
      </c>
    </row>
    <row r="637" spans="1:11" x14ac:dyDescent="0.2">
      <c r="A637" s="9" t="s">
        <v>23</v>
      </c>
      <c r="B637" s="9" t="s">
        <v>597</v>
      </c>
      <c r="C637" s="9"/>
      <c r="D637" s="9" t="s">
        <v>78</v>
      </c>
      <c r="E637" s="38">
        <v>1154</v>
      </c>
      <c r="F637" s="39">
        <v>1935729</v>
      </c>
      <c r="G637" s="40">
        <v>1677.408145580589</v>
      </c>
      <c r="H637" s="41">
        <v>0.15251148773374609</v>
      </c>
      <c r="I637" s="40">
        <v>92.017331022530328</v>
      </c>
      <c r="J637" s="41">
        <v>5.4856852379646118E-2</v>
      </c>
      <c r="K637" s="9" t="s">
        <v>1126</v>
      </c>
    </row>
    <row r="638" spans="1:11" x14ac:dyDescent="0.2">
      <c r="A638" s="9" t="s">
        <v>23</v>
      </c>
      <c r="B638" s="9" t="s">
        <v>1127</v>
      </c>
      <c r="C638" s="9"/>
      <c r="D638" s="9" t="s">
        <v>81</v>
      </c>
      <c r="E638" s="38">
        <v>6989</v>
      </c>
      <c r="F638" s="39">
        <v>3234875</v>
      </c>
      <c r="G638" s="40">
        <v>462.85233939047072</v>
      </c>
      <c r="H638" s="41">
        <v>-5.2333865523273078E-2</v>
      </c>
      <c r="I638" s="40">
        <v>50.639004149377591</v>
      </c>
      <c r="J638" s="41">
        <v>0.10940639128250711</v>
      </c>
      <c r="K638" s="9" t="s">
        <v>1128</v>
      </c>
    </row>
    <row r="639" spans="1:11" x14ac:dyDescent="0.2">
      <c r="A639" s="9" t="s">
        <v>23</v>
      </c>
      <c r="B639" s="9" t="s">
        <v>1129</v>
      </c>
      <c r="C639" s="9"/>
      <c r="D639" s="9" t="s">
        <v>80</v>
      </c>
      <c r="E639" s="38">
        <v>1005</v>
      </c>
      <c r="F639" s="39">
        <v>597559</v>
      </c>
      <c r="G639" s="40">
        <v>594.58606965174124</v>
      </c>
      <c r="H639" s="41">
        <v>-8.6325060020907771E-3</v>
      </c>
      <c r="I639" s="40">
        <v>75.916417910447763</v>
      </c>
      <c r="J639" s="41">
        <v>0.1276794425320345</v>
      </c>
      <c r="K639" s="9" t="s">
        <v>1130</v>
      </c>
    </row>
    <row r="640" spans="1:11" x14ac:dyDescent="0.2">
      <c r="A640" s="9" t="s">
        <v>23</v>
      </c>
      <c r="B640" s="9" t="s">
        <v>275</v>
      </c>
      <c r="C640" s="9"/>
      <c r="D640" s="9" t="s">
        <v>83</v>
      </c>
      <c r="E640" s="38">
        <v>4346</v>
      </c>
      <c r="F640" s="39">
        <v>0</v>
      </c>
      <c r="G640" s="40"/>
      <c r="H640" s="41"/>
      <c r="I640" s="40">
        <v>43.231477220432581</v>
      </c>
      <c r="J640" s="41"/>
      <c r="K640" s="9" t="s">
        <v>1131</v>
      </c>
    </row>
    <row r="641" spans="1:11" x14ac:dyDescent="0.2">
      <c r="A641" s="9" t="s">
        <v>23</v>
      </c>
      <c r="B641" s="9" t="s">
        <v>279</v>
      </c>
      <c r="C641" s="9"/>
      <c r="D641" s="9" t="s">
        <v>76</v>
      </c>
      <c r="E641" s="38">
        <v>5132</v>
      </c>
      <c r="F641" s="39">
        <v>1404820</v>
      </c>
      <c r="G641" s="40">
        <v>273.73733437256431</v>
      </c>
      <c r="H641" s="41">
        <v>0.65454279415962446</v>
      </c>
      <c r="I641" s="40">
        <v>27.374123148869831</v>
      </c>
      <c r="J641" s="41">
        <v>0.1000014236699364</v>
      </c>
      <c r="K641" s="9" t="s">
        <v>1132</v>
      </c>
    </row>
    <row r="642" spans="1:11" x14ac:dyDescent="0.2">
      <c r="A642" s="9" t="s">
        <v>23</v>
      </c>
      <c r="B642" s="9" t="s">
        <v>494</v>
      </c>
      <c r="C642" s="9"/>
      <c r="D642" s="9" t="s">
        <v>85</v>
      </c>
      <c r="E642" s="38">
        <v>1104</v>
      </c>
      <c r="F642" s="39">
        <v>0</v>
      </c>
      <c r="G642" s="40"/>
      <c r="H642" s="41"/>
      <c r="I642" s="40">
        <v>60.5</v>
      </c>
      <c r="J642" s="41"/>
      <c r="K642" s="9" t="s">
        <v>1133</v>
      </c>
    </row>
    <row r="643" spans="1:11" x14ac:dyDescent="0.2">
      <c r="A643" s="9" t="s">
        <v>23</v>
      </c>
      <c r="B643" s="9" t="s">
        <v>497</v>
      </c>
      <c r="C643" s="9"/>
      <c r="D643" s="9" t="s">
        <v>76</v>
      </c>
      <c r="E643" s="38">
        <v>2456</v>
      </c>
      <c r="F643" s="39">
        <v>793925</v>
      </c>
      <c r="G643" s="40">
        <v>323.25936482084688</v>
      </c>
      <c r="H643" s="41">
        <v>0.13346330668780951</v>
      </c>
      <c r="I643" s="40">
        <v>38.789902280130292</v>
      </c>
      <c r="J643" s="41">
        <v>0.1199962213055389</v>
      </c>
      <c r="K643" s="9" t="s">
        <v>1134</v>
      </c>
    </row>
    <row r="644" spans="1:11" x14ac:dyDescent="0.2">
      <c r="A644" s="9" t="s">
        <v>23</v>
      </c>
      <c r="B644" s="9" t="s">
        <v>285</v>
      </c>
      <c r="C644" s="9"/>
      <c r="D644" s="9" t="s">
        <v>76</v>
      </c>
      <c r="E644" s="38">
        <v>5062</v>
      </c>
      <c r="F644" s="39">
        <v>6500000</v>
      </c>
      <c r="G644" s="40">
        <v>1284.077439747135</v>
      </c>
      <c r="H644" s="41"/>
      <c r="I644" s="40">
        <v>48.687475306203083</v>
      </c>
      <c r="J644" s="41">
        <v>3.7916307692307687E-2</v>
      </c>
      <c r="K644" s="9" t="s">
        <v>1135</v>
      </c>
    </row>
    <row r="645" spans="1:11" x14ac:dyDescent="0.2">
      <c r="A645" s="9" t="s">
        <v>23</v>
      </c>
      <c r="B645" s="9" t="s">
        <v>287</v>
      </c>
      <c r="C645" s="9"/>
      <c r="D645" s="9" t="s">
        <v>79</v>
      </c>
      <c r="E645" s="38">
        <v>1536</v>
      </c>
      <c r="F645" s="39">
        <v>1110281</v>
      </c>
      <c r="G645" s="40">
        <v>722.83919270833337</v>
      </c>
      <c r="H645" s="41">
        <v>-4.4901887471784863E-2</v>
      </c>
      <c r="I645" s="40">
        <v>69.0859375</v>
      </c>
      <c r="J645" s="41">
        <v>9.5575804683679183E-2</v>
      </c>
      <c r="K645" s="9" t="s">
        <v>1136</v>
      </c>
    </row>
    <row r="646" spans="1:11" x14ac:dyDescent="0.2">
      <c r="A646" s="9" t="s">
        <v>23</v>
      </c>
      <c r="B646" s="9" t="s">
        <v>1137</v>
      </c>
      <c r="C646" s="9"/>
      <c r="D646" s="9" t="s">
        <v>80</v>
      </c>
      <c r="E646" s="38">
        <v>1115</v>
      </c>
      <c r="F646" s="39">
        <v>401621</v>
      </c>
      <c r="G646" s="40">
        <v>360.19820627802687</v>
      </c>
      <c r="H646" s="41">
        <v>-9.6712885686426817E-2</v>
      </c>
      <c r="I646" s="40">
        <v>70.245739910313901</v>
      </c>
      <c r="J646" s="41">
        <v>0.19501968273571349</v>
      </c>
      <c r="K646" s="9" t="s">
        <v>1138</v>
      </c>
    </row>
    <row r="647" spans="1:11" x14ac:dyDescent="0.2">
      <c r="A647" s="9" t="s">
        <v>23</v>
      </c>
      <c r="B647" s="9" t="s">
        <v>1139</v>
      </c>
      <c r="C647" s="9"/>
      <c r="D647" s="9" t="s">
        <v>79</v>
      </c>
      <c r="E647" s="38">
        <v>1821</v>
      </c>
      <c r="F647" s="39">
        <v>0</v>
      </c>
      <c r="G647" s="40"/>
      <c r="H647" s="41"/>
      <c r="I647" s="40">
        <v>49.278418451400327</v>
      </c>
      <c r="J647" s="41"/>
      <c r="K647" s="9" t="s">
        <v>1140</v>
      </c>
    </row>
    <row r="648" spans="1:11" x14ac:dyDescent="0.2">
      <c r="A648" s="9" t="s">
        <v>23</v>
      </c>
      <c r="B648" s="9" t="s">
        <v>1141</v>
      </c>
      <c r="C648" s="9"/>
      <c r="D648" s="9" t="s">
        <v>85</v>
      </c>
      <c r="E648" s="38">
        <v>49554</v>
      </c>
      <c r="F648" s="39">
        <v>8330927</v>
      </c>
      <c r="G648" s="40">
        <v>168.11815393308311</v>
      </c>
      <c r="H648" s="41"/>
      <c r="I648" s="40">
        <v>18.454050127134039</v>
      </c>
      <c r="J648" s="41">
        <v>0.1097683367049069</v>
      </c>
      <c r="K648" s="9" t="s">
        <v>1142</v>
      </c>
    </row>
    <row r="649" spans="1:11" x14ac:dyDescent="0.2">
      <c r="A649" s="9" t="s">
        <v>23</v>
      </c>
      <c r="B649" s="9" t="s">
        <v>1143</v>
      </c>
      <c r="C649" s="9"/>
      <c r="D649" s="9" t="s">
        <v>83</v>
      </c>
      <c r="E649" s="38">
        <v>3314</v>
      </c>
      <c r="F649" s="39">
        <v>0</v>
      </c>
      <c r="G649" s="40"/>
      <c r="H649" s="41"/>
      <c r="I649" s="40">
        <v>23.398913699456848</v>
      </c>
      <c r="J649" s="41"/>
      <c r="K649" s="9" t="s">
        <v>1144</v>
      </c>
    </row>
    <row r="650" spans="1:11" x14ac:dyDescent="0.2">
      <c r="A650" s="9" t="s">
        <v>23</v>
      </c>
      <c r="B650" s="9" t="s">
        <v>1143</v>
      </c>
      <c r="C650" s="9"/>
      <c r="D650" s="9" t="s">
        <v>83</v>
      </c>
      <c r="E650" s="38">
        <v>6000</v>
      </c>
      <c r="F650" s="39">
        <v>0</v>
      </c>
      <c r="G650" s="40"/>
      <c r="H650" s="41"/>
      <c r="I650" s="40">
        <v>6.1139999999999999</v>
      </c>
      <c r="J650" s="41"/>
      <c r="K650" s="9" t="s">
        <v>1144</v>
      </c>
    </row>
    <row r="651" spans="1:11" x14ac:dyDescent="0.2">
      <c r="A651" s="9" t="s">
        <v>23</v>
      </c>
      <c r="B651" s="9" t="s">
        <v>1143</v>
      </c>
      <c r="C651" s="9"/>
      <c r="D651" s="9" t="s">
        <v>83</v>
      </c>
      <c r="E651" s="38">
        <v>1587</v>
      </c>
      <c r="F651" s="39">
        <v>0</v>
      </c>
      <c r="G651" s="40"/>
      <c r="H651" s="41"/>
      <c r="I651" s="40">
        <v>86.956521739130437</v>
      </c>
      <c r="J651" s="41"/>
      <c r="K651" s="9" t="s">
        <v>1144</v>
      </c>
    </row>
    <row r="652" spans="1:11" x14ac:dyDescent="0.2">
      <c r="A652" s="9" t="s">
        <v>23</v>
      </c>
      <c r="B652" s="9" t="s">
        <v>1145</v>
      </c>
      <c r="C652" s="9"/>
      <c r="D652" s="9" t="s">
        <v>81</v>
      </c>
      <c r="E652" s="38">
        <v>2128</v>
      </c>
      <c r="F652" s="39">
        <v>1057582</v>
      </c>
      <c r="G652" s="40">
        <v>496.98402255639098</v>
      </c>
      <c r="H652" s="41">
        <v>0.13786101803534839</v>
      </c>
      <c r="I652" s="40">
        <v>66.642857142857139</v>
      </c>
      <c r="J652" s="41">
        <v>0.13409456666244321</v>
      </c>
      <c r="K652" s="9" t="s">
        <v>1146</v>
      </c>
    </row>
    <row r="653" spans="1:11" x14ac:dyDescent="0.2">
      <c r="A653" s="9" t="s">
        <v>23</v>
      </c>
      <c r="B653" s="9" t="s">
        <v>1147</v>
      </c>
      <c r="C653" s="9"/>
      <c r="D653" s="9" t="s">
        <v>76</v>
      </c>
      <c r="E653" s="38">
        <v>4406</v>
      </c>
      <c r="F653" s="39">
        <v>2968437</v>
      </c>
      <c r="G653" s="40">
        <v>673.72605537902859</v>
      </c>
      <c r="H653" s="41">
        <v>0.1122114132898573</v>
      </c>
      <c r="I653" s="40">
        <v>61.827507943713123</v>
      </c>
      <c r="J653" s="41">
        <v>9.1769506982967805E-2</v>
      </c>
      <c r="K653" s="9" t="s">
        <v>1148</v>
      </c>
    </row>
    <row r="654" spans="1:11" x14ac:dyDescent="0.2">
      <c r="A654" s="9" t="s">
        <v>23</v>
      </c>
      <c r="B654" s="9" t="s">
        <v>1149</v>
      </c>
      <c r="C654" s="9"/>
      <c r="D654" s="9" t="s">
        <v>76</v>
      </c>
      <c r="E654" s="38">
        <v>15000</v>
      </c>
      <c r="F654" s="39">
        <v>5567617</v>
      </c>
      <c r="G654" s="40">
        <v>371.17446666666672</v>
      </c>
      <c r="H654" s="41">
        <v>-9.9865743606087118E-2</v>
      </c>
      <c r="I654" s="40">
        <v>23.961600000000001</v>
      </c>
      <c r="J654" s="41">
        <v>6.4556164693081439E-2</v>
      </c>
      <c r="K654" s="9" t="s">
        <v>1150</v>
      </c>
    </row>
    <row r="655" spans="1:11" x14ac:dyDescent="0.2">
      <c r="A655" s="9" t="s">
        <v>23</v>
      </c>
      <c r="B655" s="9" t="s">
        <v>1151</v>
      </c>
      <c r="C655" s="9"/>
      <c r="D655" s="9" t="s">
        <v>76</v>
      </c>
      <c r="E655" s="38">
        <v>5252</v>
      </c>
      <c r="F655" s="39">
        <v>1129962</v>
      </c>
      <c r="G655" s="40">
        <v>215.14889565879659</v>
      </c>
      <c r="H655" s="41">
        <v>3.2399215745556237E-2</v>
      </c>
      <c r="I655" s="40">
        <v>42.143945163747141</v>
      </c>
      <c r="J655" s="41">
        <v>0.195882693400309</v>
      </c>
      <c r="K655" s="9" t="s">
        <v>1152</v>
      </c>
    </row>
    <row r="656" spans="1:11" x14ac:dyDescent="0.2">
      <c r="A656" s="9" t="s">
        <v>23</v>
      </c>
      <c r="B656" s="9" t="s">
        <v>603</v>
      </c>
      <c r="C656" s="9"/>
      <c r="D656" s="9" t="s">
        <v>81</v>
      </c>
      <c r="E656" s="38">
        <v>6476</v>
      </c>
      <c r="F656" s="39">
        <v>3226573</v>
      </c>
      <c r="G656" s="40">
        <v>498.23548486720199</v>
      </c>
      <c r="H656" s="41">
        <v>-9.4423875864465198E-2</v>
      </c>
      <c r="I656" s="40">
        <v>29.221741815935761</v>
      </c>
      <c r="J656" s="41">
        <v>5.8650462890503331E-2</v>
      </c>
      <c r="K656" s="9" t="s">
        <v>1153</v>
      </c>
    </row>
    <row r="657" spans="1:11" x14ac:dyDescent="0.2">
      <c r="A657" s="9" t="s">
        <v>23</v>
      </c>
      <c r="B657" s="9" t="s">
        <v>321</v>
      </c>
      <c r="C657" s="9"/>
      <c r="D657" s="9" t="s">
        <v>78</v>
      </c>
      <c r="E657" s="38">
        <v>1500</v>
      </c>
      <c r="F657" s="39">
        <v>1558283</v>
      </c>
      <c r="G657" s="40">
        <v>1038.855333333333</v>
      </c>
      <c r="H657" s="41">
        <v>-5.2914984635777547E-2</v>
      </c>
      <c r="I657" s="40">
        <v>80.808000000000007</v>
      </c>
      <c r="J657" s="41">
        <v>7.7785614038014914E-2</v>
      </c>
      <c r="K657" s="9" t="s">
        <v>1154</v>
      </c>
    </row>
    <row r="658" spans="1:11" x14ac:dyDescent="0.2">
      <c r="A658" s="9" t="s">
        <v>23</v>
      </c>
      <c r="B658" s="9" t="s">
        <v>323</v>
      </c>
      <c r="C658" s="9"/>
      <c r="D658" s="9" t="s">
        <v>81</v>
      </c>
      <c r="E658" s="38">
        <v>4153</v>
      </c>
      <c r="F658" s="39">
        <v>3076709</v>
      </c>
      <c r="G658" s="40">
        <v>740.84011557909946</v>
      </c>
      <c r="H658" s="41">
        <v>0.13490214037432149</v>
      </c>
      <c r="I658" s="40">
        <v>40.715627257404293</v>
      </c>
      <c r="J658" s="41">
        <v>5.4958723753205131E-2</v>
      </c>
      <c r="K658" s="9" t="s">
        <v>1155</v>
      </c>
    </row>
    <row r="659" spans="1:11" x14ac:dyDescent="0.2">
      <c r="A659" s="9" t="s">
        <v>23</v>
      </c>
      <c r="B659" s="9" t="s">
        <v>1156</v>
      </c>
      <c r="C659" s="9"/>
      <c r="D659" s="9" t="s">
        <v>81</v>
      </c>
      <c r="E659" s="38">
        <v>8121</v>
      </c>
      <c r="F659" s="39">
        <v>0</v>
      </c>
      <c r="G659" s="40"/>
      <c r="H659" s="41"/>
      <c r="I659" s="40">
        <v>32.499445881049127</v>
      </c>
      <c r="J659" s="41"/>
      <c r="K659" s="9" t="s">
        <v>1157</v>
      </c>
    </row>
    <row r="660" spans="1:11" x14ac:dyDescent="0.2">
      <c r="A660" s="9" t="s">
        <v>23</v>
      </c>
      <c r="B660" s="9" t="s">
        <v>1158</v>
      </c>
      <c r="C660" s="9"/>
      <c r="D660" s="9" t="s">
        <v>81</v>
      </c>
      <c r="E660" s="38">
        <v>2383</v>
      </c>
      <c r="F660" s="39">
        <v>827900</v>
      </c>
      <c r="G660" s="40">
        <v>347.41921947125468</v>
      </c>
      <c r="H660" s="41">
        <v>-0.18349830462713709</v>
      </c>
      <c r="I660" s="40">
        <v>54.586655476290389</v>
      </c>
      <c r="J660" s="41">
        <v>0.15712042517212221</v>
      </c>
      <c r="K660" s="9" t="s">
        <v>1159</v>
      </c>
    </row>
    <row r="661" spans="1:11" x14ac:dyDescent="0.2">
      <c r="A661" s="9" t="s">
        <v>23</v>
      </c>
      <c r="B661" s="9" t="s">
        <v>1160</v>
      </c>
      <c r="C661" s="9"/>
      <c r="D661" s="9" t="s">
        <v>80</v>
      </c>
      <c r="E661" s="38">
        <v>1062</v>
      </c>
      <c r="F661" s="39">
        <v>620900</v>
      </c>
      <c r="G661" s="40">
        <v>584.65160075329572</v>
      </c>
      <c r="H661" s="41">
        <v>0.4471474080509702</v>
      </c>
      <c r="I661" s="40">
        <v>66.146892655367225</v>
      </c>
      <c r="J661" s="41">
        <v>0.1131389917861169</v>
      </c>
      <c r="K661" s="9" t="s">
        <v>1161</v>
      </c>
    </row>
    <row r="662" spans="1:11" x14ac:dyDescent="0.2">
      <c r="A662" s="9" t="s">
        <v>23</v>
      </c>
      <c r="B662" s="9" t="s">
        <v>1162</v>
      </c>
      <c r="C662" s="9"/>
      <c r="D662" s="9" t="s">
        <v>85</v>
      </c>
      <c r="E662" s="38">
        <v>10163</v>
      </c>
      <c r="F662" s="39">
        <v>0</v>
      </c>
      <c r="G662" s="40"/>
      <c r="H662" s="41"/>
      <c r="I662" s="40">
        <v>25.000098396142871</v>
      </c>
      <c r="J662" s="41"/>
      <c r="K662" s="9" t="s">
        <v>1163</v>
      </c>
    </row>
    <row r="663" spans="1:11" x14ac:dyDescent="0.2">
      <c r="A663" s="9" t="s">
        <v>23</v>
      </c>
      <c r="B663" s="9" t="s">
        <v>944</v>
      </c>
      <c r="C663" s="9"/>
      <c r="D663" s="9" t="s">
        <v>81</v>
      </c>
      <c r="E663" s="38">
        <v>5679</v>
      </c>
      <c r="F663" s="39">
        <v>2468683</v>
      </c>
      <c r="G663" s="40">
        <v>434.70382109526332</v>
      </c>
      <c r="H663" s="41">
        <v>2.545144450415672E-2</v>
      </c>
      <c r="I663" s="40">
        <v>56.251452720549388</v>
      </c>
      <c r="J663" s="41">
        <v>0.12940179034732291</v>
      </c>
      <c r="K663" s="9" t="s">
        <v>1164</v>
      </c>
    </row>
    <row r="664" spans="1:11" x14ac:dyDescent="0.2">
      <c r="A664" s="9" t="s">
        <v>23</v>
      </c>
      <c r="B664" s="9" t="s">
        <v>946</v>
      </c>
      <c r="C664" s="9"/>
      <c r="D664" s="9" t="s">
        <v>78</v>
      </c>
      <c r="E664" s="38">
        <v>3500</v>
      </c>
      <c r="F664" s="39">
        <v>4446068</v>
      </c>
      <c r="G664" s="40">
        <v>1270.305142857143</v>
      </c>
      <c r="H664" s="41">
        <v>0.13365623004516419</v>
      </c>
      <c r="I664" s="40">
        <v>74.358857142857147</v>
      </c>
      <c r="J664" s="41">
        <v>5.8536216720032168E-2</v>
      </c>
      <c r="K664" s="9" t="s">
        <v>1165</v>
      </c>
    </row>
    <row r="665" spans="1:11" x14ac:dyDescent="0.2">
      <c r="A665" s="9" t="s">
        <v>23</v>
      </c>
      <c r="B665" s="9" t="s">
        <v>343</v>
      </c>
      <c r="C665" s="9"/>
      <c r="D665" s="9" t="s">
        <v>79</v>
      </c>
      <c r="E665" s="38">
        <v>3500</v>
      </c>
      <c r="F665" s="39">
        <v>5122071</v>
      </c>
      <c r="G665" s="40">
        <v>1463.4488571428569</v>
      </c>
      <c r="H665" s="41">
        <v>0.39542472603753293</v>
      </c>
      <c r="I665" s="40">
        <v>78.610285714285709</v>
      </c>
      <c r="J665" s="41">
        <v>5.3715772389722832E-2</v>
      </c>
      <c r="K665" s="9" t="s">
        <v>1166</v>
      </c>
    </row>
    <row r="666" spans="1:11" x14ac:dyDescent="0.2">
      <c r="A666" s="9" t="s">
        <v>23</v>
      </c>
      <c r="B666" s="9" t="s">
        <v>1167</v>
      </c>
      <c r="C666" s="9"/>
      <c r="D666" s="9" t="s">
        <v>83</v>
      </c>
      <c r="E666" s="38">
        <v>3808</v>
      </c>
      <c r="F666" s="39">
        <v>1313015</v>
      </c>
      <c r="G666" s="40">
        <v>344.80435924369749</v>
      </c>
      <c r="H666" s="41">
        <v>-0.14319982814588511</v>
      </c>
      <c r="I666" s="40">
        <v>49.326680672268907</v>
      </c>
      <c r="J666" s="41">
        <v>0.14305701001130991</v>
      </c>
      <c r="K666" s="9" t="s">
        <v>1168</v>
      </c>
    </row>
    <row r="667" spans="1:11" x14ac:dyDescent="0.2">
      <c r="A667" s="9" t="s">
        <v>23</v>
      </c>
      <c r="B667" s="9" t="s">
        <v>353</v>
      </c>
      <c r="C667" s="9"/>
      <c r="D667" s="9" t="s">
        <v>76</v>
      </c>
      <c r="E667" s="38">
        <v>2013</v>
      </c>
      <c r="F667" s="39">
        <v>733288</v>
      </c>
      <c r="G667" s="40">
        <v>364.27620466964731</v>
      </c>
      <c r="H667" s="41">
        <v>-0.20853423578883881</v>
      </c>
      <c r="I667" s="40">
        <v>42.980625931445601</v>
      </c>
      <c r="J667" s="41">
        <v>0.11798911205419969</v>
      </c>
      <c r="K667" s="9" t="s">
        <v>1169</v>
      </c>
    </row>
    <row r="668" spans="1:11" x14ac:dyDescent="0.2">
      <c r="A668" s="9" t="s">
        <v>23</v>
      </c>
      <c r="B668" s="9" t="s">
        <v>1170</v>
      </c>
      <c r="C668" s="9"/>
      <c r="D668" s="9" t="s">
        <v>82</v>
      </c>
      <c r="E668" s="38">
        <v>5528</v>
      </c>
      <c r="F668" s="39">
        <v>661857</v>
      </c>
      <c r="G668" s="40">
        <v>119.7281114327062</v>
      </c>
      <c r="H668" s="41">
        <v>-4.5324971081026691E-2</v>
      </c>
      <c r="I668" s="40">
        <v>26.049204052098411</v>
      </c>
      <c r="J668" s="41">
        <v>0.21756965628527011</v>
      </c>
      <c r="K668" s="9" t="s">
        <v>1171</v>
      </c>
    </row>
    <row r="669" spans="1:11" x14ac:dyDescent="0.2">
      <c r="A669" s="9" t="s">
        <v>23</v>
      </c>
      <c r="B669" s="9" t="s">
        <v>357</v>
      </c>
      <c r="C669" s="9"/>
      <c r="D669" s="9" t="s">
        <v>76</v>
      </c>
      <c r="E669" s="38">
        <v>714</v>
      </c>
      <c r="F669" s="39">
        <v>668375</v>
      </c>
      <c r="G669" s="40">
        <v>936.09943977591035</v>
      </c>
      <c r="H669" s="41"/>
      <c r="I669" s="40">
        <v>95.865546218487395</v>
      </c>
      <c r="J669" s="41">
        <v>0.10240957546287641</v>
      </c>
      <c r="K669" s="9" t="s">
        <v>1172</v>
      </c>
    </row>
    <row r="670" spans="1:11" x14ac:dyDescent="0.2">
      <c r="A670" s="9" t="s">
        <v>23</v>
      </c>
      <c r="B670" s="9" t="s">
        <v>1173</v>
      </c>
      <c r="C670" s="9"/>
      <c r="D670" s="9" t="s">
        <v>81</v>
      </c>
      <c r="E670" s="38">
        <v>8105</v>
      </c>
      <c r="F670" s="39">
        <v>3686454</v>
      </c>
      <c r="G670" s="40">
        <v>454.83701418877229</v>
      </c>
      <c r="H670" s="41">
        <v>0.10682633770825981</v>
      </c>
      <c r="I670" s="40">
        <v>44.955953115360892</v>
      </c>
      <c r="J670" s="41">
        <v>9.8839697986194866E-2</v>
      </c>
      <c r="K670" s="9" t="s">
        <v>1174</v>
      </c>
    </row>
    <row r="671" spans="1:11" x14ac:dyDescent="0.2">
      <c r="A671" s="9" t="s">
        <v>23</v>
      </c>
      <c r="B671" s="9" t="s">
        <v>1175</v>
      </c>
      <c r="C671" s="9"/>
      <c r="D671" s="9" t="s">
        <v>81</v>
      </c>
      <c r="E671" s="38">
        <v>1500</v>
      </c>
      <c r="F671" s="39">
        <v>0</v>
      </c>
      <c r="G671" s="40"/>
      <c r="H671" s="41"/>
      <c r="I671" s="40">
        <v>71.927999999999997</v>
      </c>
      <c r="J671" s="41"/>
      <c r="K671" s="9" t="s">
        <v>1176</v>
      </c>
    </row>
    <row r="672" spans="1:11" x14ac:dyDescent="0.2">
      <c r="A672" s="9" t="s">
        <v>23</v>
      </c>
      <c r="B672" s="9" t="s">
        <v>376</v>
      </c>
      <c r="C672" s="9"/>
      <c r="D672" s="9" t="s">
        <v>79</v>
      </c>
      <c r="E672" s="38">
        <v>10124</v>
      </c>
      <c r="F672" s="39">
        <v>0</v>
      </c>
      <c r="G672" s="40"/>
      <c r="H672" s="41"/>
      <c r="I672" s="40">
        <v>52.934413275385232</v>
      </c>
      <c r="J672" s="41"/>
      <c r="K672" s="9" t="s">
        <v>1177</v>
      </c>
    </row>
    <row r="673" spans="1:11" x14ac:dyDescent="0.2">
      <c r="A673" s="9" t="s">
        <v>23</v>
      </c>
      <c r="B673" s="9" t="s">
        <v>1178</v>
      </c>
      <c r="C673" s="9"/>
      <c r="D673" s="9" t="s">
        <v>83</v>
      </c>
      <c r="E673" s="38">
        <v>8805</v>
      </c>
      <c r="F673" s="39">
        <v>0</v>
      </c>
      <c r="G673" s="40"/>
      <c r="H673" s="41"/>
      <c r="I673" s="40">
        <v>26.549914821124361</v>
      </c>
      <c r="J673" s="41"/>
      <c r="K673" s="9" t="s">
        <v>1179</v>
      </c>
    </row>
    <row r="674" spans="1:11" x14ac:dyDescent="0.2">
      <c r="A674" s="9" t="s">
        <v>23</v>
      </c>
      <c r="B674" s="9" t="s">
        <v>1180</v>
      </c>
      <c r="C674" s="9"/>
      <c r="D674" s="9" t="s">
        <v>81</v>
      </c>
      <c r="E674" s="38">
        <v>3199</v>
      </c>
      <c r="F674" s="39">
        <v>2830730</v>
      </c>
      <c r="G674" s="40">
        <v>884.87964989059083</v>
      </c>
      <c r="H674" s="41">
        <v>0.1113439688466531</v>
      </c>
      <c r="I674" s="40">
        <v>58.218193185370431</v>
      </c>
      <c r="J674" s="41">
        <v>6.5792216142125881E-2</v>
      </c>
      <c r="K674" s="9" t="s">
        <v>1181</v>
      </c>
    </row>
    <row r="675" spans="1:11" x14ac:dyDescent="0.2">
      <c r="A675" s="9" t="s">
        <v>23</v>
      </c>
      <c r="B675" s="9" t="s">
        <v>384</v>
      </c>
      <c r="C675" s="9"/>
      <c r="D675" s="9" t="s">
        <v>77</v>
      </c>
      <c r="E675" s="38">
        <v>2750</v>
      </c>
      <c r="F675" s="39">
        <v>0</v>
      </c>
      <c r="G675" s="40"/>
      <c r="H675" s="41"/>
      <c r="I675" s="40">
        <v>60.929454545454547</v>
      </c>
      <c r="J675" s="41"/>
      <c r="K675" s="9" t="s">
        <v>1182</v>
      </c>
    </row>
    <row r="676" spans="1:11" x14ac:dyDescent="0.2">
      <c r="A676" s="9" t="s">
        <v>23</v>
      </c>
      <c r="B676" s="9" t="s">
        <v>388</v>
      </c>
      <c r="C676" s="9"/>
      <c r="D676" s="9" t="s">
        <v>76</v>
      </c>
      <c r="E676" s="38">
        <v>8163</v>
      </c>
      <c r="F676" s="39">
        <v>3719411</v>
      </c>
      <c r="G676" s="40">
        <v>455.64265588631628</v>
      </c>
      <c r="H676" s="41">
        <v>-3.7608830485661271E-2</v>
      </c>
      <c r="I676" s="40">
        <v>43.867695700110247</v>
      </c>
      <c r="J676" s="41">
        <v>9.6276534107147607E-2</v>
      </c>
      <c r="K676" s="9" t="s">
        <v>1183</v>
      </c>
    </row>
    <row r="677" spans="1:11" x14ac:dyDescent="0.2">
      <c r="A677" s="9" t="s">
        <v>23</v>
      </c>
      <c r="B677" s="9" t="s">
        <v>1184</v>
      </c>
      <c r="C677" s="9"/>
      <c r="D677" s="9" t="s">
        <v>80</v>
      </c>
      <c r="E677" s="38">
        <v>1984</v>
      </c>
      <c r="F677" s="39">
        <v>877545</v>
      </c>
      <c r="G677" s="40">
        <v>442.31098790322579</v>
      </c>
      <c r="H677" s="41">
        <v>1.2773963520290751E-2</v>
      </c>
      <c r="I677" s="40">
        <v>77.104838709677423</v>
      </c>
      <c r="J677" s="41">
        <v>0.17432268430678771</v>
      </c>
      <c r="K677" s="9" t="s">
        <v>1185</v>
      </c>
    </row>
    <row r="678" spans="1:11" x14ac:dyDescent="0.2">
      <c r="A678" s="9" t="s">
        <v>23</v>
      </c>
      <c r="B678" s="9" t="s">
        <v>1186</v>
      </c>
      <c r="C678" s="9"/>
      <c r="D678" s="9" t="s">
        <v>83</v>
      </c>
      <c r="E678" s="38">
        <v>5009</v>
      </c>
      <c r="F678" s="39">
        <v>0</v>
      </c>
      <c r="G678" s="40"/>
      <c r="H678" s="41"/>
      <c r="I678" s="40">
        <v>26.503493711319621</v>
      </c>
      <c r="J678" s="41"/>
      <c r="K678" s="9" t="s">
        <v>1187</v>
      </c>
    </row>
    <row r="679" spans="1:11" x14ac:dyDescent="0.2">
      <c r="A679" s="9" t="s">
        <v>23</v>
      </c>
      <c r="B679" s="9" t="s">
        <v>571</v>
      </c>
      <c r="C679" s="9"/>
      <c r="D679" s="9" t="s">
        <v>76</v>
      </c>
      <c r="E679" s="38">
        <v>3460</v>
      </c>
      <c r="F679" s="39">
        <v>989823</v>
      </c>
      <c r="G679" s="40">
        <v>286.07601156069359</v>
      </c>
      <c r="H679" s="41">
        <v>0.33355099908580382</v>
      </c>
      <c r="I679" s="40">
        <v>42.537572254335259</v>
      </c>
      <c r="J679" s="41">
        <v>0.1486932512176419</v>
      </c>
      <c r="K679" s="9" t="s">
        <v>1188</v>
      </c>
    </row>
    <row r="680" spans="1:11" x14ac:dyDescent="0.2">
      <c r="A680" s="9" t="s">
        <v>23</v>
      </c>
      <c r="B680" s="9" t="s">
        <v>394</v>
      </c>
      <c r="C680" s="9"/>
      <c r="D680" s="9" t="s">
        <v>84</v>
      </c>
      <c r="E680" s="38">
        <v>3898</v>
      </c>
      <c r="F680" s="39">
        <v>0</v>
      </c>
      <c r="G680" s="40"/>
      <c r="H680" s="41"/>
      <c r="I680" s="40">
        <v>50.34889687018984</v>
      </c>
      <c r="J680" s="41"/>
      <c r="K680" s="9" t="s">
        <v>1189</v>
      </c>
    </row>
    <row r="681" spans="1:11" x14ac:dyDescent="0.2">
      <c r="A681" s="9" t="s">
        <v>53</v>
      </c>
      <c r="B681" s="9" t="s">
        <v>650</v>
      </c>
      <c r="C681" s="9"/>
      <c r="D681" s="9" t="s">
        <v>76</v>
      </c>
      <c r="E681" s="38">
        <v>6049</v>
      </c>
      <c r="F681" s="39">
        <v>2702269</v>
      </c>
      <c r="G681" s="40">
        <v>446.72987270623241</v>
      </c>
      <c r="H681" s="41">
        <v>2.3908564523601579E-2</v>
      </c>
      <c r="I681" s="40">
        <v>83.506073731195244</v>
      </c>
      <c r="J681" s="41">
        <v>0.18692744504710671</v>
      </c>
      <c r="K681" s="9" t="s">
        <v>1190</v>
      </c>
    </row>
    <row r="682" spans="1:11" x14ac:dyDescent="0.2">
      <c r="A682" s="9" t="s">
        <v>53</v>
      </c>
      <c r="B682" s="9" t="s">
        <v>652</v>
      </c>
      <c r="C682" s="9"/>
      <c r="D682" s="9" t="s">
        <v>76</v>
      </c>
      <c r="E682" s="38">
        <v>4572</v>
      </c>
      <c r="F682" s="39">
        <v>1456271</v>
      </c>
      <c r="G682" s="40">
        <v>318.51946631671041</v>
      </c>
      <c r="H682" s="41">
        <v>3.3417570521009257E-2</v>
      </c>
      <c r="I682" s="40">
        <v>0</v>
      </c>
      <c r="J682" s="41">
        <v>0</v>
      </c>
      <c r="K682" s="9" t="s">
        <v>1191</v>
      </c>
    </row>
    <row r="683" spans="1:11" x14ac:dyDescent="0.2">
      <c r="A683" s="9" t="s">
        <v>53</v>
      </c>
      <c r="B683" s="9" t="s">
        <v>1192</v>
      </c>
      <c r="C683" s="9"/>
      <c r="D683" s="9" t="s">
        <v>76</v>
      </c>
      <c r="E683" s="38">
        <v>3610</v>
      </c>
      <c r="F683" s="39">
        <v>834465</v>
      </c>
      <c r="G683" s="40">
        <v>231.15373961218839</v>
      </c>
      <c r="H683" s="41">
        <v>0.35438271622361528</v>
      </c>
      <c r="I683" s="40">
        <v>15.14958448753463</v>
      </c>
      <c r="J683" s="41">
        <v>6.5538998040660781E-2</v>
      </c>
      <c r="K683" s="9" t="s">
        <v>1193</v>
      </c>
    </row>
    <row r="684" spans="1:11" x14ac:dyDescent="0.2">
      <c r="A684" s="9" t="s">
        <v>53</v>
      </c>
      <c r="B684" s="9" t="s">
        <v>164</v>
      </c>
      <c r="C684" s="9"/>
      <c r="D684" s="9" t="s">
        <v>76</v>
      </c>
      <c r="E684" s="38">
        <v>2907</v>
      </c>
      <c r="F684" s="39">
        <v>2096775</v>
      </c>
      <c r="G684" s="40">
        <v>721.28482972136226</v>
      </c>
      <c r="H684" s="41">
        <v>8.9390982441125463E-2</v>
      </c>
      <c r="I684" s="40">
        <v>109.2467285861713</v>
      </c>
      <c r="J684" s="41">
        <v>0.15146128697642811</v>
      </c>
      <c r="K684" s="9" t="s">
        <v>1194</v>
      </c>
    </row>
    <row r="685" spans="1:11" x14ac:dyDescent="0.2">
      <c r="A685" s="9" t="s">
        <v>53</v>
      </c>
      <c r="B685" s="9" t="s">
        <v>166</v>
      </c>
      <c r="C685" s="9"/>
      <c r="D685" s="9" t="s">
        <v>76</v>
      </c>
      <c r="E685" s="38">
        <v>3425</v>
      </c>
      <c r="F685" s="39">
        <v>1833594</v>
      </c>
      <c r="G685" s="40">
        <v>535.35591240875908</v>
      </c>
      <c r="H685" s="41">
        <v>9.597165663749839E-2</v>
      </c>
      <c r="I685" s="40">
        <v>74.515935766423368</v>
      </c>
      <c r="J685" s="41">
        <v>0.13918952614373739</v>
      </c>
      <c r="K685" s="9" t="s">
        <v>1195</v>
      </c>
    </row>
    <row r="686" spans="1:11" x14ac:dyDescent="0.2">
      <c r="A686" s="9" t="s">
        <v>53</v>
      </c>
      <c r="B686" s="9" t="s">
        <v>403</v>
      </c>
      <c r="C686" s="9"/>
      <c r="D686" s="9" t="s">
        <v>86</v>
      </c>
      <c r="E686" s="38">
        <v>33013</v>
      </c>
      <c r="F686" s="39">
        <v>2610735</v>
      </c>
      <c r="G686" s="40">
        <v>79.08202829188501</v>
      </c>
      <c r="H686" s="41">
        <v>-0.71980724927130257</v>
      </c>
      <c r="I686" s="40">
        <v>39.890707297125367</v>
      </c>
      <c r="J686" s="41">
        <v>0.50442190417641009</v>
      </c>
      <c r="K686" s="9" t="s">
        <v>1196</v>
      </c>
    </row>
    <row r="687" spans="1:11" x14ac:dyDescent="0.2">
      <c r="A687" s="9" t="s">
        <v>53</v>
      </c>
      <c r="B687" s="9" t="s">
        <v>169</v>
      </c>
      <c r="C687" s="9"/>
      <c r="D687" s="9" t="s">
        <v>76</v>
      </c>
      <c r="E687" s="38">
        <v>5500</v>
      </c>
      <c r="F687" s="39">
        <v>3396801</v>
      </c>
      <c r="G687" s="40">
        <v>617.6001818181818</v>
      </c>
      <c r="H687" s="41">
        <v>-0.16021618458114811</v>
      </c>
      <c r="I687" s="40">
        <v>135.76431272727271</v>
      </c>
      <c r="J687" s="41">
        <v>0.21982557117711629</v>
      </c>
      <c r="K687" s="9" t="s">
        <v>1197</v>
      </c>
    </row>
    <row r="688" spans="1:11" x14ac:dyDescent="0.2">
      <c r="A688" s="9" t="s">
        <v>53</v>
      </c>
      <c r="B688" s="9" t="s">
        <v>408</v>
      </c>
      <c r="C688" s="9"/>
      <c r="D688" s="9" t="s">
        <v>76</v>
      </c>
      <c r="E688" s="38">
        <v>5090</v>
      </c>
      <c r="F688" s="39">
        <v>1196612</v>
      </c>
      <c r="G688" s="40">
        <v>235.09076620825149</v>
      </c>
      <c r="H688" s="41">
        <v>-0.26905768005880482</v>
      </c>
      <c r="I688" s="40">
        <v>39.439992141453828</v>
      </c>
      <c r="J688" s="41">
        <v>0.1677649563935511</v>
      </c>
      <c r="K688" s="9" t="s">
        <v>1198</v>
      </c>
    </row>
    <row r="689" spans="1:11" x14ac:dyDescent="0.2">
      <c r="A689" s="9" t="s">
        <v>53</v>
      </c>
      <c r="B689" s="9" t="s">
        <v>87</v>
      </c>
      <c r="C689" s="9"/>
      <c r="D689" s="9" t="s">
        <v>87</v>
      </c>
      <c r="E689" s="38">
        <v>8498</v>
      </c>
      <c r="F689" s="39">
        <v>45239247</v>
      </c>
      <c r="G689" s="40">
        <v>5323.5169451635666</v>
      </c>
      <c r="H689" s="41">
        <v>1.1089463751063729E-2</v>
      </c>
      <c r="I689" s="40">
        <v>73.024236290891963</v>
      </c>
      <c r="J689" s="41">
        <v>1.3717291978798851E-2</v>
      </c>
      <c r="K689" s="9" t="s">
        <v>1199</v>
      </c>
    </row>
    <row r="690" spans="1:11" x14ac:dyDescent="0.2">
      <c r="A690" s="9" t="s">
        <v>53</v>
      </c>
      <c r="B690" s="9" t="s">
        <v>171</v>
      </c>
      <c r="C690" s="9"/>
      <c r="D690" s="9" t="s">
        <v>84</v>
      </c>
      <c r="E690" s="38">
        <v>4042</v>
      </c>
      <c r="F690" s="39">
        <v>0</v>
      </c>
      <c r="G690" s="40"/>
      <c r="H690" s="41"/>
      <c r="I690" s="40">
        <v>160.08225630875799</v>
      </c>
      <c r="J690" s="41"/>
      <c r="K690" s="9" t="s">
        <v>1200</v>
      </c>
    </row>
    <row r="691" spans="1:11" x14ac:dyDescent="0.2">
      <c r="A691" s="9" t="s">
        <v>53</v>
      </c>
      <c r="B691" s="9" t="s">
        <v>985</v>
      </c>
      <c r="C691" s="9"/>
      <c r="D691" s="9" t="s">
        <v>76</v>
      </c>
      <c r="E691" s="38">
        <v>3575</v>
      </c>
      <c r="F691" s="39">
        <v>2856407</v>
      </c>
      <c r="G691" s="40">
        <v>798.99496503496505</v>
      </c>
      <c r="H691" s="41">
        <v>-8.1720643049314465E-2</v>
      </c>
      <c r="I691" s="40">
        <v>117.27266013986009</v>
      </c>
      <c r="J691" s="41">
        <v>0.14677521795738491</v>
      </c>
      <c r="K691" s="9" t="s">
        <v>1201</v>
      </c>
    </row>
    <row r="692" spans="1:11" x14ac:dyDescent="0.2">
      <c r="A692" s="9" t="s">
        <v>53</v>
      </c>
      <c r="B692" s="9" t="s">
        <v>173</v>
      </c>
      <c r="C692" s="9"/>
      <c r="D692" s="9" t="s">
        <v>80</v>
      </c>
      <c r="E692" s="38">
        <v>100</v>
      </c>
      <c r="F692" s="39">
        <v>938682</v>
      </c>
      <c r="G692" s="40">
        <v>9386.82</v>
      </c>
      <c r="H692" s="41">
        <v>0.18479500444896141</v>
      </c>
      <c r="I692" s="40">
        <v>1415.2536</v>
      </c>
      <c r="J692" s="41">
        <v>0.1507702928148191</v>
      </c>
      <c r="K692" s="9" t="s">
        <v>1202</v>
      </c>
    </row>
    <row r="693" spans="1:11" x14ac:dyDescent="0.2">
      <c r="A693" s="9" t="s">
        <v>53</v>
      </c>
      <c r="B693" s="9" t="s">
        <v>173</v>
      </c>
      <c r="C693" s="9"/>
      <c r="D693" s="9" t="s">
        <v>80</v>
      </c>
      <c r="E693" s="38">
        <v>692</v>
      </c>
      <c r="F693" s="39">
        <v>742864</v>
      </c>
      <c r="G693" s="40">
        <v>1073.5028901734099</v>
      </c>
      <c r="H693" s="41">
        <v>0.2345607585567665</v>
      </c>
      <c r="I693" s="40">
        <v>199.65797687861269</v>
      </c>
      <c r="J693" s="41">
        <v>0.18598736780891251</v>
      </c>
      <c r="K693" s="9" t="s">
        <v>1202</v>
      </c>
    </row>
    <row r="694" spans="1:11" x14ac:dyDescent="0.2">
      <c r="A694" s="9" t="s">
        <v>53</v>
      </c>
      <c r="B694" s="9" t="s">
        <v>661</v>
      </c>
      <c r="C694" s="9"/>
      <c r="D694" s="9" t="s">
        <v>76</v>
      </c>
      <c r="E694" s="38">
        <v>9000</v>
      </c>
      <c r="F694" s="39">
        <v>1432509</v>
      </c>
      <c r="G694" s="40">
        <v>159.16766666666669</v>
      </c>
      <c r="H694" s="41">
        <v>-0.40564090967099309</v>
      </c>
      <c r="I694" s="40">
        <v>47</v>
      </c>
      <c r="J694" s="41">
        <v>0.29528610291453672</v>
      </c>
      <c r="K694" s="9" t="s">
        <v>1203</v>
      </c>
    </row>
    <row r="695" spans="1:11" x14ac:dyDescent="0.2">
      <c r="A695" s="9" t="s">
        <v>53</v>
      </c>
      <c r="B695" s="9" t="s">
        <v>175</v>
      </c>
      <c r="C695" s="9"/>
      <c r="D695" s="9" t="s">
        <v>78</v>
      </c>
      <c r="E695" s="38">
        <v>0</v>
      </c>
      <c r="F695" s="39">
        <v>718753</v>
      </c>
      <c r="G695" s="40"/>
      <c r="H695" s="41">
        <v>4.1876625385418177E-2</v>
      </c>
      <c r="I695" s="40"/>
      <c r="J695" s="41">
        <v>0.1158681772458689</v>
      </c>
      <c r="K695" s="9" t="s">
        <v>1204</v>
      </c>
    </row>
    <row r="696" spans="1:11" x14ac:dyDescent="0.2">
      <c r="A696" s="9" t="s">
        <v>53</v>
      </c>
      <c r="B696" s="9" t="s">
        <v>179</v>
      </c>
      <c r="C696" s="9"/>
      <c r="D696" s="9" t="s">
        <v>79</v>
      </c>
      <c r="E696" s="38">
        <v>4350</v>
      </c>
      <c r="F696" s="39">
        <v>4414290</v>
      </c>
      <c r="G696" s="40">
        <v>1014.779310344828</v>
      </c>
      <c r="H696" s="41">
        <v>0.1916550312758743</v>
      </c>
      <c r="I696" s="40">
        <v>137.08995862068971</v>
      </c>
      <c r="J696" s="41">
        <v>0.13509337175400801</v>
      </c>
      <c r="K696" s="9" t="s">
        <v>1205</v>
      </c>
    </row>
    <row r="697" spans="1:11" x14ac:dyDescent="0.2">
      <c r="A697" s="9" t="s">
        <v>53</v>
      </c>
      <c r="B697" s="9" t="s">
        <v>1206</v>
      </c>
      <c r="C697" s="9"/>
      <c r="D697" s="9" t="s">
        <v>86</v>
      </c>
      <c r="E697" s="38">
        <v>150525</v>
      </c>
      <c r="F697" s="39">
        <v>20205324</v>
      </c>
      <c r="G697" s="40">
        <v>134.23234678624809</v>
      </c>
      <c r="H697" s="41">
        <v>1.051551735215241E-2</v>
      </c>
      <c r="I697" s="40">
        <v>4.0637767812655703</v>
      </c>
      <c r="J697" s="41">
        <v>3.027419901804099E-2</v>
      </c>
      <c r="K697" s="9" t="s">
        <v>1207</v>
      </c>
    </row>
    <row r="698" spans="1:11" x14ac:dyDescent="0.2">
      <c r="A698" s="9" t="s">
        <v>53</v>
      </c>
      <c r="B698" s="9" t="s">
        <v>1208</v>
      </c>
      <c r="C698" s="9"/>
      <c r="D698" s="9" t="s">
        <v>79</v>
      </c>
      <c r="E698" s="38">
        <v>2281</v>
      </c>
      <c r="F698" s="39">
        <v>638756</v>
      </c>
      <c r="G698" s="40">
        <v>280.03331871985972</v>
      </c>
      <c r="H698" s="41">
        <v>-0.28983898163758998</v>
      </c>
      <c r="I698" s="40">
        <v>35.358018412976747</v>
      </c>
      <c r="J698" s="41">
        <v>0.12626361239659589</v>
      </c>
      <c r="K698" s="9" t="s">
        <v>1209</v>
      </c>
    </row>
    <row r="699" spans="1:11" x14ac:dyDescent="0.2">
      <c r="A699" s="9" t="s">
        <v>53</v>
      </c>
      <c r="B699" s="9" t="s">
        <v>420</v>
      </c>
      <c r="C699" s="9"/>
      <c r="D699" s="9" t="s">
        <v>78</v>
      </c>
      <c r="E699" s="38">
        <v>1576</v>
      </c>
      <c r="F699" s="39">
        <v>684998</v>
      </c>
      <c r="G699" s="40">
        <v>434.64340101522839</v>
      </c>
      <c r="H699" s="41">
        <v>-0.27460383339672623</v>
      </c>
      <c r="I699" s="40">
        <v>134.21596446700511</v>
      </c>
      <c r="J699" s="41">
        <v>0.30879558772434368</v>
      </c>
      <c r="K699" s="9" t="s">
        <v>1210</v>
      </c>
    </row>
    <row r="700" spans="1:11" x14ac:dyDescent="0.2">
      <c r="A700" s="9" t="s">
        <v>53</v>
      </c>
      <c r="B700" s="9" t="s">
        <v>193</v>
      </c>
      <c r="C700" s="9"/>
      <c r="D700" s="9" t="s">
        <v>82</v>
      </c>
      <c r="E700" s="38">
        <v>2323</v>
      </c>
      <c r="F700" s="39">
        <v>736574</v>
      </c>
      <c r="G700" s="40">
        <v>317.07877744296172</v>
      </c>
      <c r="H700" s="41">
        <v>0.13381381800242639</v>
      </c>
      <c r="I700" s="40">
        <v>16.375634954799828</v>
      </c>
      <c r="J700" s="41">
        <v>5.1645320090038471E-2</v>
      </c>
      <c r="K700" s="9" t="s">
        <v>1211</v>
      </c>
    </row>
    <row r="701" spans="1:11" x14ac:dyDescent="0.2">
      <c r="A701" s="9" t="s">
        <v>53</v>
      </c>
      <c r="B701" s="9" t="s">
        <v>426</v>
      </c>
      <c r="C701" s="9"/>
      <c r="D701" s="9" t="s">
        <v>81</v>
      </c>
      <c r="E701" s="38">
        <v>5542</v>
      </c>
      <c r="F701" s="39">
        <v>2368988</v>
      </c>
      <c r="G701" s="40">
        <v>427.4608444604836</v>
      </c>
      <c r="H701" s="41">
        <v>-0.32365822962492191</v>
      </c>
      <c r="I701" s="40">
        <v>35.68386863948033</v>
      </c>
      <c r="J701" s="41">
        <v>8.3478683724864791E-2</v>
      </c>
      <c r="K701" s="9" t="s">
        <v>1212</v>
      </c>
    </row>
    <row r="702" spans="1:11" x14ac:dyDescent="0.2">
      <c r="A702" s="9" t="s">
        <v>53</v>
      </c>
      <c r="B702" s="9" t="s">
        <v>1213</v>
      </c>
      <c r="C702" s="9"/>
      <c r="D702" s="9" t="s">
        <v>85</v>
      </c>
      <c r="E702" s="38">
        <v>3112</v>
      </c>
      <c r="F702" s="39">
        <v>795504</v>
      </c>
      <c r="G702" s="40">
        <v>255.62467866323911</v>
      </c>
      <c r="H702" s="41">
        <v>2.269947699209313E-2</v>
      </c>
      <c r="I702" s="40">
        <v>90.165886889460154</v>
      </c>
      <c r="J702" s="41">
        <v>0.35272762927653412</v>
      </c>
      <c r="K702" s="9" t="s">
        <v>1214</v>
      </c>
    </row>
    <row r="703" spans="1:11" x14ac:dyDescent="0.2">
      <c r="A703" s="9" t="s">
        <v>53</v>
      </c>
      <c r="B703" s="9" t="s">
        <v>1215</v>
      </c>
      <c r="C703" s="9"/>
      <c r="D703" s="9" t="s">
        <v>81</v>
      </c>
      <c r="E703" s="38">
        <v>3311</v>
      </c>
      <c r="F703" s="39">
        <v>2975649</v>
      </c>
      <c r="G703" s="40">
        <v>898.71609785563271</v>
      </c>
      <c r="H703" s="41">
        <v>0.72047223951643824</v>
      </c>
      <c r="I703" s="40">
        <v>61.822615524010871</v>
      </c>
      <c r="J703" s="41">
        <v>6.8789927844312274E-2</v>
      </c>
      <c r="K703" s="9" t="s">
        <v>1216</v>
      </c>
    </row>
    <row r="704" spans="1:11" x14ac:dyDescent="0.2">
      <c r="A704" s="9" t="s">
        <v>53</v>
      </c>
      <c r="B704" s="9" t="s">
        <v>200</v>
      </c>
      <c r="C704" s="9"/>
      <c r="D704" s="9" t="s">
        <v>77</v>
      </c>
      <c r="E704" s="38">
        <v>3494</v>
      </c>
      <c r="F704" s="39">
        <v>2475802</v>
      </c>
      <c r="G704" s="40">
        <v>708.58672009158556</v>
      </c>
      <c r="H704" s="41">
        <v>0.1535303622624806</v>
      </c>
      <c r="I704" s="40">
        <v>171.62146536920429</v>
      </c>
      <c r="J704" s="41">
        <v>0.24220248630544769</v>
      </c>
      <c r="K704" s="9" t="s">
        <v>1217</v>
      </c>
    </row>
    <row r="705" spans="1:11" x14ac:dyDescent="0.2">
      <c r="A705" s="9" t="s">
        <v>53</v>
      </c>
      <c r="B705" s="9" t="s">
        <v>1218</v>
      </c>
      <c r="C705" s="9"/>
      <c r="D705" s="9" t="s">
        <v>83</v>
      </c>
      <c r="E705" s="38">
        <v>5217</v>
      </c>
      <c r="F705" s="39">
        <v>0</v>
      </c>
      <c r="G705" s="40"/>
      <c r="H705" s="41"/>
      <c r="I705" s="40">
        <v>75.673237492811964</v>
      </c>
      <c r="J705" s="41"/>
      <c r="K705" s="9" t="s">
        <v>1219</v>
      </c>
    </row>
    <row r="706" spans="1:11" x14ac:dyDescent="0.2">
      <c r="A706" s="9" t="s">
        <v>53</v>
      </c>
      <c r="B706" s="9" t="s">
        <v>202</v>
      </c>
      <c r="C706" s="9"/>
      <c r="D706" s="9" t="s">
        <v>81</v>
      </c>
      <c r="E706" s="38">
        <v>692</v>
      </c>
      <c r="F706" s="39">
        <v>1046701</v>
      </c>
      <c r="G706" s="40">
        <v>1512.5736994219651</v>
      </c>
      <c r="H706" s="41">
        <v>-9.8366131315940838E-2</v>
      </c>
      <c r="I706" s="40">
        <v>283.59346820809247</v>
      </c>
      <c r="J706" s="41">
        <v>0.18749067785356091</v>
      </c>
      <c r="K706" s="9" t="s">
        <v>1220</v>
      </c>
    </row>
    <row r="707" spans="1:11" x14ac:dyDescent="0.2">
      <c r="A707" s="9" t="s">
        <v>53</v>
      </c>
      <c r="B707" s="9" t="s">
        <v>759</v>
      </c>
      <c r="C707" s="9"/>
      <c r="D707" s="9" t="s">
        <v>76</v>
      </c>
      <c r="E707" s="38">
        <v>4239</v>
      </c>
      <c r="F707" s="39">
        <v>1033995</v>
      </c>
      <c r="G707" s="40">
        <v>243.92427459306441</v>
      </c>
      <c r="H707" s="41">
        <v>-0.3856533414123926</v>
      </c>
      <c r="I707" s="40">
        <v>126.7310403397028</v>
      </c>
      <c r="J707" s="41">
        <v>0.51955075217965274</v>
      </c>
      <c r="K707" s="9" t="s">
        <v>1221</v>
      </c>
    </row>
    <row r="708" spans="1:11" x14ac:dyDescent="0.2">
      <c r="A708" s="9" t="s">
        <v>53</v>
      </c>
      <c r="B708" s="9" t="s">
        <v>204</v>
      </c>
      <c r="C708" s="9"/>
      <c r="D708" s="9" t="s">
        <v>81</v>
      </c>
      <c r="E708" s="38">
        <v>2632</v>
      </c>
      <c r="F708" s="39">
        <v>3188158</v>
      </c>
      <c r="G708" s="40">
        <v>1211.30623100304</v>
      </c>
      <c r="H708" s="41">
        <v>9.4558594123246728E-2</v>
      </c>
      <c r="I708" s="40">
        <v>121.38</v>
      </c>
      <c r="J708" s="41">
        <v>0.1002058743638176</v>
      </c>
      <c r="K708" s="9" t="s">
        <v>1222</v>
      </c>
    </row>
    <row r="709" spans="1:11" x14ac:dyDescent="0.2">
      <c r="A709" s="9" t="s">
        <v>53</v>
      </c>
      <c r="B709" s="9" t="s">
        <v>208</v>
      </c>
      <c r="C709" s="9"/>
      <c r="D709" s="9" t="s">
        <v>78</v>
      </c>
      <c r="E709" s="38">
        <v>1800</v>
      </c>
      <c r="F709" s="39">
        <v>1327746</v>
      </c>
      <c r="G709" s="40">
        <v>737.63666666666666</v>
      </c>
      <c r="H709" s="41">
        <v>7.678295504937073E-2</v>
      </c>
      <c r="I709" s="40">
        <v>173.1035333333333</v>
      </c>
      <c r="J709" s="41">
        <v>0.23467316791012741</v>
      </c>
      <c r="K709" s="9" t="s">
        <v>1223</v>
      </c>
    </row>
    <row r="710" spans="1:11" x14ac:dyDescent="0.2">
      <c r="A710" s="9" t="s">
        <v>53</v>
      </c>
      <c r="B710" s="9" t="s">
        <v>437</v>
      </c>
      <c r="C710" s="9"/>
      <c r="D710" s="9" t="s">
        <v>77</v>
      </c>
      <c r="E710" s="38">
        <v>2365</v>
      </c>
      <c r="F710" s="39">
        <v>676257</v>
      </c>
      <c r="G710" s="40">
        <v>285.94376321353059</v>
      </c>
      <c r="H710" s="41">
        <v>-0.28457695913006781</v>
      </c>
      <c r="I710" s="40">
        <v>150.69092600422829</v>
      </c>
      <c r="J710" s="41">
        <v>0.5269949738043378</v>
      </c>
      <c r="K710" s="9" t="s">
        <v>1224</v>
      </c>
    </row>
    <row r="711" spans="1:11" x14ac:dyDescent="0.2">
      <c r="A711" s="9" t="s">
        <v>53</v>
      </c>
      <c r="B711" s="9" t="s">
        <v>1225</v>
      </c>
      <c r="C711" s="9"/>
      <c r="D711" s="9" t="s">
        <v>83</v>
      </c>
      <c r="E711" s="38">
        <v>764</v>
      </c>
      <c r="F711" s="39">
        <v>762093</v>
      </c>
      <c r="G711" s="40">
        <v>997.50392670157066</v>
      </c>
      <c r="H711" s="41">
        <v>0.26535645351746689</v>
      </c>
      <c r="I711" s="40">
        <v>180.59513089005239</v>
      </c>
      <c r="J711" s="41">
        <v>0.18104703756628129</v>
      </c>
      <c r="K711" s="9" t="s">
        <v>1226</v>
      </c>
    </row>
    <row r="712" spans="1:11" x14ac:dyDescent="0.2">
      <c r="A712" s="9" t="s">
        <v>53</v>
      </c>
      <c r="B712" s="9" t="s">
        <v>1227</v>
      </c>
      <c r="C712" s="9"/>
      <c r="D712" s="9" t="s">
        <v>82</v>
      </c>
      <c r="E712" s="38">
        <v>1805</v>
      </c>
      <c r="F712" s="39">
        <v>367482</v>
      </c>
      <c r="G712" s="40">
        <v>203.591135734072</v>
      </c>
      <c r="H712" s="41">
        <v>0.61079769710875587</v>
      </c>
      <c r="I712" s="40">
        <v>36.322238227146798</v>
      </c>
      <c r="J712" s="41">
        <v>0.1784077587473672</v>
      </c>
      <c r="K712" s="9" t="s">
        <v>1228</v>
      </c>
    </row>
    <row r="713" spans="1:11" x14ac:dyDescent="0.2">
      <c r="A713" s="9" t="s">
        <v>53</v>
      </c>
      <c r="B713" s="9" t="s">
        <v>884</v>
      </c>
      <c r="C713" s="9"/>
      <c r="D713" s="9" t="s">
        <v>76</v>
      </c>
      <c r="E713" s="38">
        <v>4339</v>
      </c>
      <c r="F713" s="39">
        <v>2296794</v>
      </c>
      <c r="G713" s="40">
        <v>529.33717446416222</v>
      </c>
      <c r="H713" s="41">
        <v>2.8590014517921519E-2</v>
      </c>
      <c r="I713" s="40">
        <v>0</v>
      </c>
      <c r="J713" s="41">
        <v>0</v>
      </c>
      <c r="K713" s="9" t="s">
        <v>1229</v>
      </c>
    </row>
    <row r="714" spans="1:11" x14ac:dyDescent="0.2">
      <c r="A714" s="9" t="s">
        <v>53</v>
      </c>
      <c r="B714" s="9" t="s">
        <v>228</v>
      </c>
      <c r="C714" s="9"/>
      <c r="D714" s="9" t="s">
        <v>76</v>
      </c>
      <c r="E714" s="38">
        <v>3249</v>
      </c>
      <c r="F714" s="39">
        <v>1185652</v>
      </c>
      <c r="G714" s="40">
        <v>364.92828562634662</v>
      </c>
      <c r="H714" s="41">
        <v>0.2744106362125352</v>
      </c>
      <c r="I714" s="40">
        <v>45.119409048938131</v>
      </c>
      <c r="J714" s="41">
        <v>0.12363911164490091</v>
      </c>
      <c r="K714" s="9" t="s">
        <v>1230</v>
      </c>
    </row>
    <row r="715" spans="1:11" x14ac:dyDescent="0.2">
      <c r="A715" s="9" t="s">
        <v>53</v>
      </c>
      <c r="B715" s="9" t="s">
        <v>1231</v>
      </c>
      <c r="C715" s="9"/>
      <c r="D715" s="9" t="s">
        <v>76</v>
      </c>
      <c r="E715" s="38">
        <v>2151</v>
      </c>
      <c r="F715" s="39">
        <v>828964</v>
      </c>
      <c r="G715" s="40">
        <v>385.3854021385402</v>
      </c>
      <c r="H715" s="41">
        <v>0.1257059235432266</v>
      </c>
      <c r="I715" s="40">
        <v>68.092663877266375</v>
      </c>
      <c r="J715" s="41">
        <v>0.17668719027605539</v>
      </c>
      <c r="K715" s="9" t="s">
        <v>1232</v>
      </c>
    </row>
    <row r="716" spans="1:11" x14ac:dyDescent="0.2">
      <c r="A716" s="9" t="s">
        <v>53</v>
      </c>
      <c r="B716" s="9" t="s">
        <v>1233</v>
      </c>
      <c r="C716" s="9"/>
      <c r="D716" s="9" t="s">
        <v>83</v>
      </c>
      <c r="E716" s="38">
        <v>18</v>
      </c>
      <c r="F716" s="39">
        <v>0</v>
      </c>
      <c r="G716" s="40"/>
      <c r="H716" s="41"/>
      <c r="I716" s="40">
        <v>333.33333333333331</v>
      </c>
      <c r="J716" s="41"/>
      <c r="K716" s="9" t="s">
        <v>1234</v>
      </c>
    </row>
    <row r="717" spans="1:11" x14ac:dyDescent="0.2">
      <c r="A717" s="9" t="s">
        <v>53</v>
      </c>
      <c r="B717" s="9" t="s">
        <v>231</v>
      </c>
      <c r="C717" s="9"/>
      <c r="D717" s="9" t="s">
        <v>76</v>
      </c>
      <c r="E717" s="38">
        <v>10440</v>
      </c>
      <c r="F717" s="39">
        <v>4363990</v>
      </c>
      <c r="G717" s="40">
        <v>418.00670498084293</v>
      </c>
      <c r="H717" s="41">
        <v>-3.2316142353285802E-2</v>
      </c>
      <c r="I717" s="40">
        <v>117.327183908046</v>
      </c>
      <c r="J717" s="41">
        <v>0.28068254051911212</v>
      </c>
      <c r="K717" s="9" t="s">
        <v>1235</v>
      </c>
    </row>
    <row r="718" spans="1:11" x14ac:dyDescent="0.2">
      <c r="A718" s="9" t="s">
        <v>53</v>
      </c>
      <c r="B718" s="9" t="s">
        <v>1236</v>
      </c>
      <c r="C718" s="9"/>
      <c r="D718" s="9" t="s">
        <v>76</v>
      </c>
      <c r="E718" s="38">
        <v>1879</v>
      </c>
      <c r="F718" s="39">
        <v>993503</v>
      </c>
      <c r="G718" s="40">
        <v>528.74028738690788</v>
      </c>
      <c r="H718" s="41">
        <v>-8.8335917307889422E-2</v>
      </c>
      <c r="I718" s="40">
        <v>125.6406386375732</v>
      </c>
      <c r="J718" s="41">
        <v>0.23762259399317359</v>
      </c>
      <c r="K718" s="9" t="s">
        <v>1237</v>
      </c>
    </row>
    <row r="719" spans="1:11" x14ac:dyDescent="0.2">
      <c r="A719" s="9" t="s">
        <v>53</v>
      </c>
      <c r="B719" s="9" t="s">
        <v>454</v>
      </c>
      <c r="C719" s="9"/>
      <c r="D719" s="9" t="s">
        <v>76</v>
      </c>
      <c r="E719" s="38">
        <v>4339</v>
      </c>
      <c r="F719" s="39">
        <v>1747080</v>
      </c>
      <c r="G719" s="40">
        <v>402.64577091495738</v>
      </c>
      <c r="H719" s="41">
        <v>-1.676169771685625E-2</v>
      </c>
      <c r="I719" s="40">
        <v>1.3159345471306749</v>
      </c>
      <c r="J719" s="41">
        <v>3.268218971083179E-3</v>
      </c>
      <c r="K719" s="9" t="s">
        <v>1238</v>
      </c>
    </row>
    <row r="720" spans="1:11" x14ac:dyDescent="0.2">
      <c r="A720" s="9" t="s">
        <v>53</v>
      </c>
      <c r="B720" s="9" t="s">
        <v>456</v>
      </c>
      <c r="C720" s="9"/>
      <c r="D720" s="9" t="s">
        <v>76</v>
      </c>
      <c r="E720" s="38">
        <v>1499</v>
      </c>
      <c r="F720" s="39">
        <v>991260</v>
      </c>
      <c r="G720" s="40">
        <v>661.28085390260173</v>
      </c>
      <c r="H720" s="41">
        <v>-2.2774265038357361E-2</v>
      </c>
      <c r="I720" s="40">
        <v>102.5589326217478</v>
      </c>
      <c r="J720" s="41">
        <v>0.15509133829671329</v>
      </c>
      <c r="K720" s="9" t="s">
        <v>1239</v>
      </c>
    </row>
    <row r="721" spans="1:11" x14ac:dyDescent="0.2">
      <c r="A721" s="9" t="s">
        <v>53</v>
      </c>
      <c r="B721" s="9" t="s">
        <v>458</v>
      </c>
      <c r="C721" s="9"/>
      <c r="D721" s="9" t="s">
        <v>76</v>
      </c>
      <c r="E721" s="38">
        <v>2375</v>
      </c>
      <c r="F721" s="39">
        <v>953207</v>
      </c>
      <c r="G721" s="40">
        <v>401.35031578947371</v>
      </c>
      <c r="H721" s="41">
        <v>-0.94224741031011261</v>
      </c>
      <c r="I721" s="40">
        <v>104.67400421052631</v>
      </c>
      <c r="J721" s="41">
        <v>0.26080458913960969</v>
      </c>
      <c r="K721" s="9" t="s">
        <v>1240</v>
      </c>
    </row>
    <row r="722" spans="1:11" x14ac:dyDescent="0.2">
      <c r="A722" s="9" t="s">
        <v>53</v>
      </c>
      <c r="B722" s="9" t="s">
        <v>461</v>
      </c>
      <c r="C722" s="9"/>
      <c r="D722" s="9" t="s">
        <v>76</v>
      </c>
      <c r="E722" s="38">
        <v>3247</v>
      </c>
      <c r="F722" s="39">
        <v>2267050</v>
      </c>
      <c r="G722" s="40">
        <v>698.19833692639361</v>
      </c>
      <c r="H722" s="41">
        <v>0.43865590370464252</v>
      </c>
      <c r="I722" s="40">
        <v>44.874234678164463</v>
      </c>
      <c r="J722" s="41">
        <v>6.4271471736397509E-2</v>
      </c>
      <c r="K722" s="9" t="s">
        <v>1241</v>
      </c>
    </row>
    <row r="723" spans="1:11" x14ac:dyDescent="0.2">
      <c r="A723" s="9" t="s">
        <v>53</v>
      </c>
      <c r="B723" s="9" t="s">
        <v>1242</v>
      </c>
      <c r="C723" s="9"/>
      <c r="D723" s="9" t="s">
        <v>80</v>
      </c>
      <c r="E723" s="38">
        <v>1432</v>
      </c>
      <c r="F723" s="39">
        <v>0</v>
      </c>
      <c r="G723" s="40"/>
      <c r="H723" s="41"/>
      <c r="I723" s="40">
        <v>76.819944134078213</v>
      </c>
      <c r="J723" s="41"/>
      <c r="K723" s="9" t="s">
        <v>1243</v>
      </c>
    </row>
    <row r="724" spans="1:11" x14ac:dyDescent="0.2">
      <c r="A724" s="9" t="s">
        <v>53</v>
      </c>
      <c r="B724" s="9" t="s">
        <v>1244</v>
      </c>
      <c r="C724" s="9"/>
      <c r="D724" s="9" t="s">
        <v>82</v>
      </c>
      <c r="E724" s="38">
        <v>6596</v>
      </c>
      <c r="F724" s="39">
        <v>777184</v>
      </c>
      <c r="G724" s="40">
        <v>117.826561552456</v>
      </c>
      <c r="H724" s="41"/>
      <c r="I724" s="40">
        <v>3.6385688295936931</v>
      </c>
      <c r="J724" s="41">
        <v>3.0880718079631081E-2</v>
      </c>
      <c r="K724" s="9" t="s">
        <v>1245</v>
      </c>
    </row>
    <row r="725" spans="1:11" x14ac:dyDescent="0.2">
      <c r="A725" s="9" t="s">
        <v>53</v>
      </c>
      <c r="B725" s="9" t="s">
        <v>1246</v>
      </c>
      <c r="C725" s="9"/>
      <c r="D725" s="9" t="s">
        <v>80</v>
      </c>
      <c r="E725" s="38">
        <v>1198</v>
      </c>
      <c r="F725" s="39">
        <v>0</v>
      </c>
      <c r="G725" s="40"/>
      <c r="H725" s="41"/>
      <c r="I725" s="40">
        <v>56.750083472454087</v>
      </c>
      <c r="J725" s="41"/>
      <c r="K725" s="9" t="s">
        <v>1247</v>
      </c>
    </row>
    <row r="726" spans="1:11" x14ac:dyDescent="0.2">
      <c r="A726" s="9" t="s">
        <v>53</v>
      </c>
      <c r="B726" s="9" t="s">
        <v>464</v>
      </c>
      <c r="C726" s="9"/>
      <c r="D726" s="9" t="s">
        <v>80</v>
      </c>
      <c r="E726" s="38">
        <v>511</v>
      </c>
      <c r="F726" s="39">
        <v>614262</v>
      </c>
      <c r="G726" s="40">
        <v>1202.0782778864971</v>
      </c>
      <c r="H726" s="41">
        <v>-0.13491253040198109</v>
      </c>
      <c r="I726" s="40">
        <v>313.51279843444229</v>
      </c>
      <c r="J726" s="41">
        <v>0.26080897076491788</v>
      </c>
      <c r="K726" s="9" t="s">
        <v>1248</v>
      </c>
    </row>
    <row r="727" spans="1:11" x14ac:dyDescent="0.2">
      <c r="A727" s="9" t="s">
        <v>53</v>
      </c>
      <c r="B727" s="9" t="s">
        <v>140</v>
      </c>
      <c r="C727" s="9"/>
      <c r="D727" s="9" t="s">
        <v>83</v>
      </c>
      <c r="E727" s="38">
        <v>8629</v>
      </c>
      <c r="F727" s="39">
        <v>4520366</v>
      </c>
      <c r="G727" s="40">
        <v>523.85745741105575</v>
      </c>
      <c r="H727" s="41">
        <v>0.27788741550435359</v>
      </c>
      <c r="I727" s="40">
        <v>93.925636806118902</v>
      </c>
      <c r="J727" s="41">
        <v>0.1792961720356272</v>
      </c>
      <c r="K727" s="9" t="s">
        <v>1249</v>
      </c>
    </row>
    <row r="728" spans="1:11" x14ac:dyDescent="0.2">
      <c r="A728" s="9" t="s">
        <v>53</v>
      </c>
      <c r="B728" s="9" t="s">
        <v>256</v>
      </c>
      <c r="C728" s="9"/>
      <c r="D728" s="9" t="s">
        <v>76</v>
      </c>
      <c r="E728" s="38">
        <v>1772</v>
      </c>
      <c r="F728" s="39">
        <v>1072143</v>
      </c>
      <c r="G728" s="40">
        <v>605.0468397291196</v>
      </c>
      <c r="H728" s="41">
        <v>0.32838990104535348</v>
      </c>
      <c r="I728" s="40">
        <v>47.647042889390519</v>
      </c>
      <c r="J728" s="41">
        <v>7.8749345936129783E-2</v>
      </c>
      <c r="K728" s="9" t="s">
        <v>1250</v>
      </c>
    </row>
    <row r="729" spans="1:11" x14ac:dyDescent="0.2">
      <c r="A729" s="9" t="s">
        <v>53</v>
      </c>
      <c r="B729" s="9" t="s">
        <v>1251</v>
      </c>
      <c r="C729" s="9"/>
      <c r="D729" s="9" t="s">
        <v>77</v>
      </c>
      <c r="E729" s="38">
        <v>4276</v>
      </c>
      <c r="F729" s="39">
        <v>2970660</v>
      </c>
      <c r="G729" s="40">
        <v>694.72871842843779</v>
      </c>
      <c r="H729" s="41">
        <v>4.5450611215543987E-2</v>
      </c>
      <c r="I729" s="40">
        <v>127.77881197380729</v>
      </c>
      <c r="J729" s="41">
        <v>0.1839261982185777</v>
      </c>
      <c r="K729" s="9" t="s">
        <v>1252</v>
      </c>
    </row>
    <row r="730" spans="1:11" x14ac:dyDescent="0.2">
      <c r="A730" s="9" t="s">
        <v>53</v>
      </c>
      <c r="B730" s="9" t="s">
        <v>262</v>
      </c>
      <c r="C730" s="9"/>
      <c r="D730" s="9" t="s">
        <v>76</v>
      </c>
      <c r="E730" s="38">
        <v>5328</v>
      </c>
      <c r="F730" s="39">
        <v>2195121</v>
      </c>
      <c r="G730" s="40">
        <v>411.99718468468473</v>
      </c>
      <c r="H730" s="41">
        <v>-0.19178333736722261</v>
      </c>
      <c r="I730" s="40">
        <v>11.367387387387391</v>
      </c>
      <c r="J730" s="41">
        <v>2.7590934622738341E-2</v>
      </c>
      <c r="K730" s="9" t="s">
        <v>1253</v>
      </c>
    </row>
    <row r="731" spans="1:11" x14ac:dyDescent="0.2">
      <c r="A731" s="9" t="s">
        <v>53</v>
      </c>
      <c r="B731" s="9" t="s">
        <v>475</v>
      </c>
      <c r="C731" s="9"/>
      <c r="D731" s="9" t="s">
        <v>76</v>
      </c>
      <c r="E731" s="38">
        <v>1530</v>
      </c>
      <c r="F731" s="39">
        <v>522651</v>
      </c>
      <c r="G731" s="40">
        <v>341.60196078431369</v>
      </c>
      <c r="H731" s="41">
        <v>-0.36547380485948588</v>
      </c>
      <c r="I731" s="40">
        <v>119.90313725490191</v>
      </c>
      <c r="J731" s="41">
        <v>0.35100248540613138</v>
      </c>
      <c r="K731" s="9" t="s">
        <v>1254</v>
      </c>
    </row>
    <row r="732" spans="1:11" x14ac:dyDescent="0.2">
      <c r="A732" s="9" t="s">
        <v>53</v>
      </c>
      <c r="B732" s="9" t="s">
        <v>481</v>
      </c>
      <c r="C732" s="9"/>
      <c r="D732" s="9" t="s">
        <v>77</v>
      </c>
      <c r="E732" s="38">
        <v>1273</v>
      </c>
      <c r="F732" s="39">
        <v>887038</v>
      </c>
      <c r="G732" s="40">
        <v>696.80911233307154</v>
      </c>
      <c r="H732" s="41">
        <v>-0.1699954507408673</v>
      </c>
      <c r="I732" s="40">
        <v>135.68936370777689</v>
      </c>
      <c r="J732" s="41">
        <v>0.1947296057215136</v>
      </c>
      <c r="K732" s="9" t="s">
        <v>1255</v>
      </c>
    </row>
    <row r="733" spans="1:11" x14ac:dyDescent="0.2">
      <c r="A733" s="9" t="s">
        <v>53</v>
      </c>
      <c r="B733" s="9" t="s">
        <v>267</v>
      </c>
      <c r="C733" s="9"/>
      <c r="D733" s="9" t="s">
        <v>77</v>
      </c>
      <c r="E733" s="38">
        <v>2544</v>
      </c>
      <c r="F733" s="39">
        <v>1056084</v>
      </c>
      <c r="G733" s="40">
        <v>415.12735849056611</v>
      </c>
      <c r="H733" s="41">
        <v>-0.17341240305790331</v>
      </c>
      <c r="I733" s="40">
        <v>132.49132075471701</v>
      </c>
      <c r="J733" s="41">
        <v>0.31915824877566562</v>
      </c>
      <c r="K733" s="9" t="s">
        <v>1256</v>
      </c>
    </row>
    <row r="734" spans="1:11" x14ac:dyDescent="0.2">
      <c r="A734" s="9" t="s">
        <v>53</v>
      </c>
      <c r="B734" s="9" t="s">
        <v>484</v>
      </c>
      <c r="C734" s="9"/>
      <c r="D734" s="9" t="s">
        <v>77</v>
      </c>
      <c r="E734" s="38">
        <v>1511</v>
      </c>
      <c r="F734" s="39">
        <v>522079</v>
      </c>
      <c r="G734" s="40">
        <v>345.51886168100589</v>
      </c>
      <c r="H734" s="41">
        <v>-0.15995782159149519</v>
      </c>
      <c r="I734" s="40">
        <v>88.782289874255468</v>
      </c>
      <c r="J734" s="41">
        <v>0.25695352619048079</v>
      </c>
      <c r="K734" s="9" t="s">
        <v>1257</v>
      </c>
    </row>
    <row r="735" spans="1:11" x14ac:dyDescent="0.2">
      <c r="A735" s="9" t="s">
        <v>53</v>
      </c>
      <c r="B735" s="9" t="s">
        <v>271</v>
      </c>
      <c r="C735" s="9"/>
      <c r="D735" s="9" t="s">
        <v>78</v>
      </c>
      <c r="E735" s="38">
        <v>1258</v>
      </c>
      <c r="F735" s="39">
        <v>1723116</v>
      </c>
      <c r="G735" s="40">
        <v>1369.7265500794911</v>
      </c>
      <c r="H735" s="41">
        <v>-1.169285224118651E-2</v>
      </c>
      <c r="I735" s="40">
        <v>154.88585055643881</v>
      </c>
      <c r="J735" s="41">
        <v>0.11307793555396151</v>
      </c>
      <c r="K735" s="9" t="s">
        <v>1258</v>
      </c>
    </row>
    <row r="736" spans="1:11" x14ac:dyDescent="0.2">
      <c r="A736" s="9" t="s">
        <v>53</v>
      </c>
      <c r="B736" s="9" t="s">
        <v>489</v>
      </c>
      <c r="C736" s="9"/>
      <c r="D736" s="9" t="s">
        <v>82</v>
      </c>
      <c r="E736" s="38">
        <v>2160</v>
      </c>
      <c r="F736" s="39">
        <v>3616986</v>
      </c>
      <c r="G736" s="40">
        <v>1674.530555555556</v>
      </c>
      <c r="H736" s="41">
        <v>0.50007309611035511</v>
      </c>
      <c r="I736" s="40">
        <v>161.43566666666669</v>
      </c>
      <c r="J736" s="41">
        <v>9.6406521894195879E-2</v>
      </c>
      <c r="K736" s="9" t="s">
        <v>1259</v>
      </c>
    </row>
    <row r="737" spans="1:11" x14ac:dyDescent="0.2">
      <c r="A737" s="9" t="s">
        <v>53</v>
      </c>
      <c r="B737" s="9" t="s">
        <v>275</v>
      </c>
      <c r="C737" s="9"/>
      <c r="D737" s="9" t="s">
        <v>83</v>
      </c>
      <c r="E737" s="38">
        <v>2850</v>
      </c>
      <c r="F737" s="39">
        <v>3967420</v>
      </c>
      <c r="G737" s="40">
        <v>1392.0771929824559</v>
      </c>
      <c r="H737" s="41">
        <v>0.1018742826131349</v>
      </c>
      <c r="I737" s="40">
        <v>189.48</v>
      </c>
      <c r="J737" s="41">
        <v>0.13611314153782561</v>
      </c>
      <c r="K737" s="9" t="s">
        <v>1260</v>
      </c>
    </row>
    <row r="738" spans="1:11" x14ac:dyDescent="0.2">
      <c r="A738" s="9" t="s">
        <v>53</v>
      </c>
      <c r="B738" s="9" t="s">
        <v>277</v>
      </c>
      <c r="C738" s="9"/>
      <c r="D738" s="9" t="s">
        <v>76</v>
      </c>
      <c r="E738" s="38">
        <v>690</v>
      </c>
      <c r="F738" s="39">
        <v>545699</v>
      </c>
      <c r="G738" s="40">
        <v>790.86811594202902</v>
      </c>
      <c r="H738" s="41">
        <v>0.57471963705971607</v>
      </c>
      <c r="I738" s="40">
        <v>50.63495652173912</v>
      </c>
      <c r="J738" s="41">
        <v>6.4024526341444635E-2</v>
      </c>
      <c r="K738" s="9" t="s">
        <v>1261</v>
      </c>
    </row>
    <row r="739" spans="1:11" x14ac:dyDescent="0.2">
      <c r="A739" s="9" t="s">
        <v>53</v>
      </c>
      <c r="B739" s="9" t="s">
        <v>1262</v>
      </c>
      <c r="C739" s="9"/>
      <c r="D739" s="9" t="s">
        <v>79</v>
      </c>
      <c r="E739" s="38">
        <v>561</v>
      </c>
      <c r="F739" s="39">
        <v>694333</v>
      </c>
      <c r="G739" s="40">
        <v>1237.6702317290551</v>
      </c>
      <c r="H739" s="41">
        <v>-9.8031827093016458E-2</v>
      </c>
      <c r="I739" s="40">
        <v>341.5991443850267</v>
      </c>
      <c r="J739" s="41">
        <v>0.27600174556012752</v>
      </c>
      <c r="K739" s="9" t="s">
        <v>1263</v>
      </c>
    </row>
    <row r="740" spans="1:11" x14ac:dyDescent="0.2">
      <c r="A740" s="9" t="s">
        <v>53</v>
      </c>
      <c r="B740" s="9" t="s">
        <v>281</v>
      </c>
      <c r="C740" s="9"/>
      <c r="D740" s="9" t="s">
        <v>80</v>
      </c>
      <c r="E740" s="38">
        <v>2314</v>
      </c>
      <c r="F740" s="39">
        <v>798968</v>
      </c>
      <c r="G740" s="40">
        <v>345.27571305099389</v>
      </c>
      <c r="H740" s="41">
        <v>1.46415967713691E-2</v>
      </c>
      <c r="I740" s="40">
        <v>34.870008643042347</v>
      </c>
      <c r="J740" s="41">
        <v>0.1009917793954201</v>
      </c>
      <c r="K740" s="9" t="s">
        <v>1264</v>
      </c>
    </row>
    <row r="741" spans="1:11" x14ac:dyDescent="0.2">
      <c r="A741" s="9" t="s">
        <v>53</v>
      </c>
      <c r="B741" s="9" t="s">
        <v>494</v>
      </c>
      <c r="C741" s="9"/>
      <c r="D741" s="9" t="s">
        <v>85</v>
      </c>
      <c r="E741" s="38">
        <v>2004</v>
      </c>
      <c r="F741" s="39">
        <v>2694667</v>
      </c>
      <c r="G741" s="40">
        <v>1344.6442115768459</v>
      </c>
      <c r="H741" s="41">
        <v>0.93113380007718916</v>
      </c>
      <c r="I741" s="40">
        <v>58.831856287425147</v>
      </c>
      <c r="J741" s="41">
        <v>4.375273085691108E-2</v>
      </c>
      <c r="K741" s="9" t="s">
        <v>1265</v>
      </c>
    </row>
    <row r="742" spans="1:11" x14ac:dyDescent="0.2">
      <c r="A742" s="9" t="s">
        <v>53</v>
      </c>
      <c r="B742" s="9" t="s">
        <v>283</v>
      </c>
      <c r="C742" s="9"/>
      <c r="D742" s="9" t="s">
        <v>78</v>
      </c>
      <c r="E742" s="38">
        <v>806</v>
      </c>
      <c r="F742" s="39">
        <v>669303</v>
      </c>
      <c r="G742" s="40">
        <v>830.40074441687341</v>
      </c>
      <c r="H742" s="41"/>
      <c r="I742" s="40">
        <v>116.1914143920596</v>
      </c>
      <c r="J742" s="41">
        <v>0.13992209806320899</v>
      </c>
      <c r="K742" s="9" t="s">
        <v>1266</v>
      </c>
    </row>
    <row r="743" spans="1:11" x14ac:dyDescent="0.2">
      <c r="A743" s="9" t="s">
        <v>53</v>
      </c>
      <c r="B743" s="9" t="s">
        <v>497</v>
      </c>
      <c r="C743" s="9"/>
      <c r="D743" s="9" t="s">
        <v>76</v>
      </c>
      <c r="E743" s="38">
        <v>2456</v>
      </c>
      <c r="F743" s="39">
        <v>1119732</v>
      </c>
      <c r="G743" s="40">
        <v>455.91693811074919</v>
      </c>
      <c r="H743" s="41">
        <v>-7.9540860663127086E-2</v>
      </c>
      <c r="I743" s="40">
        <v>0</v>
      </c>
      <c r="J743" s="41">
        <v>0</v>
      </c>
      <c r="K743" s="9" t="s">
        <v>1267</v>
      </c>
    </row>
    <row r="744" spans="1:11" x14ac:dyDescent="0.2">
      <c r="A744" s="9" t="s">
        <v>53</v>
      </c>
      <c r="B744" s="9" t="s">
        <v>285</v>
      </c>
      <c r="C744" s="9"/>
      <c r="D744" s="9" t="s">
        <v>76</v>
      </c>
      <c r="E744" s="38">
        <v>3015</v>
      </c>
      <c r="F744" s="39">
        <v>5111575</v>
      </c>
      <c r="G744" s="40">
        <v>1695.381426202322</v>
      </c>
      <c r="H744" s="41">
        <v>0.10041604373734191</v>
      </c>
      <c r="I744" s="40">
        <v>101.67184079601989</v>
      </c>
      <c r="J744" s="41">
        <v>5.996989186307547E-2</v>
      </c>
      <c r="K744" s="9" t="s">
        <v>1268</v>
      </c>
    </row>
    <row r="745" spans="1:11" x14ac:dyDescent="0.2">
      <c r="A745" s="9" t="s">
        <v>53</v>
      </c>
      <c r="B745" s="9" t="s">
        <v>287</v>
      </c>
      <c r="C745" s="9"/>
      <c r="D745" s="9" t="s">
        <v>79</v>
      </c>
      <c r="E745" s="38">
        <v>1276</v>
      </c>
      <c r="F745" s="39">
        <v>892846</v>
      </c>
      <c r="G745" s="40">
        <v>699.72257053291537</v>
      </c>
      <c r="H745" s="41">
        <v>-0.2125134191433298</v>
      </c>
      <c r="I745" s="40">
        <v>121.2803134796238</v>
      </c>
      <c r="J745" s="41">
        <v>0.17332628471203321</v>
      </c>
      <c r="K745" s="9" t="s">
        <v>1269</v>
      </c>
    </row>
    <row r="746" spans="1:11" x14ac:dyDescent="0.2">
      <c r="A746" s="9" t="s">
        <v>53</v>
      </c>
      <c r="B746" s="9" t="s">
        <v>502</v>
      </c>
      <c r="C746" s="9"/>
      <c r="D746" s="9" t="s">
        <v>86</v>
      </c>
      <c r="E746" s="38">
        <v>223222</v>
      </c>
      <c r="F746" s="39">
        <v>0</v>
      </c>
      <c r="G746" s="40"/>
      <c r="H746" s="41"/>
      <c r="I746" s="40">
        <v>3.0204318570750188</v>
      </c>
      <c r="J746" s="41"/>
      <c r="K746" s="9" t="s">
        <v>1270</v>
      </c>
    </row>
    <row r="747" spans="1:11" x14ac:dyDescent="0.2">
      <c r="A747" s="9" t="s">
        <v>53</v>
      </c>
      <c r="B747" s="9" t="s">
        <v>504</v>
      </c>
      <c r="C747" s="9"/>
      <c r="D747" s="9" t="s">
        <v>81</v>
      </c>
      <c r="E747" s="38">
        <v>15500</v>
      </c>
      <c r="F747" s="39">
        <v>8736478</v>
      </c>
      <c r="G747" s="40">
        <v>563.64374193548383</v>
      </c>
      <c r="H747" s="41">
        <v>-0.26614745923049632</v>
      </c>
      <c r="I747" s="40">
        <v>52.736763870967749</v>
      </c>
      <c r="J747" s="41">
        <v>9.3564001420251966E-2</v>
      </c>
      <c r="K747" s="9" t="s">
        <v>1271</v>
      </c>
    </row>
    <row r="748" spans="1:11" x14ac:dyDescent="0.2">
      <c r="A748" s="9" t="s">
        <v>53</v>
      </c>
      <c r="B748" s="9" t="s">
        <v>1272</v>
      </c>
      <c r="C748" s="9"/>
      <c r="D748" s="9" t="s">
        <v>81</v>
      </c>
      <c r="E748" s="38">
        <v>437</v>
      </c>
      <c r="F748" s="39">
        <v>632416</v>
      </c>
      <c r="G748" s="40">
        <v>1447.1762013729981</v>
      </c>
      <c r="H748" s="41">
        <v>-0.1884225201546498</v>
      </c>
      <c r="I748" s="40">
        <v>304.35597254004568</v>
      </c>
      <c r="J748" s="41">
        <v>0.21031023883013711</v>
      </c>
      <c r="K748" s="9" t="s">
        <v>1273</v>
      </c>
    </row>
    <row r="749" spans="1:11" x14ac:dyDescent="0.2">
      <c r="A749" s="9" t="s">
        <v>53</v>
      </c>
      <c r="B749" s="9" t="s">
        <v>710</v>
      </c>
      <c r="C749" s="9"/>
      <c r="D749" s="9" t="s">
        <v>76</v>
      </c>
      <c r="E749" s="38">
        <v>1765</v>
      </c>
      <c r="F749" s="39">
        <v>642775</v>
      </c>
      <c r="G749" s="40">
        <v>364.17847025495752</v>
      </c>
      <c r="H749" s="41">
        <v>0.12787342775408159</v>
      </c>
      <c r="I749" s="40">
        <v>56.657201133144468</v>
      </c>
      <c r="J749" s="41">
        <v>0.15557537240869659</v>
      </c>
      <c r="K749" s="9" t="s">
        <v>1274</v>
      </c>
    </row>
    <row r="750" spans="1:11" x14ac:dyDescent="0.2">
      <c r="A750" s="9" t="s">
        <v>53</v>
      </c>
      <c r="B750" s="9" t="s">
        <v>317</v>
      </c>
      <c r="C750" s="9"/>
      <c r="D750" s="9" t="s">
        <v>76</v>
      </c>
      <c r="E750" s="38">
        <v>3495</v>
      </c>
      <c r="F750" s="39">
        <v>2560111</v>
      </c>
      <c r="G750" s="40">
        <v>732.50672389127328</v>
      </c>
      <c r="H750" s="41">
        <v>0.20773236471950141</v>
      </c>
      <c r="I750" s="40">
        <v>102.2240686695279</v>
      </c>
      <c r="J750" s="41">
        <v>0.1395537615361209</v>
      </c>
      <c r="K750" s="9" t="s">
        <v>1275</v>
      </c>
    </row>
    <row r="751" spans="1:11" x14ac:dyDescent="0.2">
      <c r="A751" s="9" t="s">
        <v>53</v>
      </c>
      <c r="B751" s="9" t="s">
        <v>321</v>
      </c>
      <c r="C751" s="9"/>
      <c r="D751" s="9" t="s">
        <v>78</v>
      </c>
      <c r="E751" s="38">
        <v>793</v>
      </c>
      <c r="F751" s="39">
        <v>1822383</v>
      </c>
      <c r="G751" s="40">
        <v>2298.087011349307</v>
      </c>
      <c r="H751" s="41">
        <v>0.2576790949553166</v>
      </c>
      <c r="I751" s="40">
        <v>224.17316519546031</v>
      </c>
      <c r="J751" s="41">
        <v>9.7547727343813007E-2</v>
      </c>
      <c r="K751" s="9" t="s">
        <v>1276</v>
      </c>
    </row>
    <row r="752" spans="1:11" x14ac:dyDescent="0.2">
      <c r="A752" s="9" t="s">
        <v>53</v>
      </c>
      <c r="B752" s="9" t="s">
        <v>715</v>
      </c>
      <c r="C752" s="9"/>
      <c r="D752" s="9" t="s">
        <v>76</v>
      </c>
      <c r="E752" s="38">
        <v>4647</v>
      </c>
      <c r="F752" s="39">
        <v>2301181</v>
      </c>
      <c r="G752" s="40">
        <v>495.1971164191952</v>
      </c>
      <c r="H752" s="41">
        <v>-0.1499300695269587</v>
      </c>
      <c r="I752" s="40">
        <v>125.0520593931569</v>
      </c>
      <c r="J752" s="41">
        <v>0.25252986184050707</v>
      </c>
      <c r="K752" s="9" t="s">
        <v>1277</v>
      </c>
    </row>
    <row r="753" spans="1:11" x14ac:dyDescent="0.2">
      <c r="A753" s="9" t="s">
        <v>53</v>
      </c>
      <c r="B753" s="9" t="s">
        <v>607</v>
      </c>
      <c r="C753" s="9"/>
      <c r="D753" s="9" t="s">
        <v>85</v>
      </c>
      <c r="E753" s="38">
        <v>13392</v>
      </c>
      <c r="F753" s="39">
        <v>5087943</v>
      </c>
      <c r="G753" s="40">
        <v>379.92405913978502</v>
      </c>
      <c r="H753" s="41">
        <v>9.863145426644121E-2</v>
      </c>
      <c r="I753" s="40">
        <v>20.9080017921147</v>
      </c>
      <c r="J753" s="41">
        <v>5.5032055194014558E-2</v>
      </c>
      <c r="K753" s="9" t="s">
        <v>1278</v>
      </c>
    </row>
    <row r="754" spans="1:11" x14ac:dyDescent="0.2">
      <c r="A754" s="9" t="s">
        <v>53</v>
      </c>
      <c r="B754" s="9" t="s">
        <v>335</v>
      </c>
      <c r="C754" s="9"/>
      <c r="D754" s="9" t="s">
        <v>76</v>
      </c>
      <c r="E754" s="38">
        <v>1818</v>
      </c>
      <c r="F754" s="39">
        <v>314523</v>
      </c>
      <c r="G754" s="40">
        <v>173.00495049504951</v>
      </c>
      <c r="H754" s="41"/>
      <c r="I754" s="40">
        <v>49</v>
      </c>
      <c r="J754" s="41">
        <v>0.28322888946118407</v>
      </c>
      <c r="K754" s="9" t="s">
        <v>1279</v>
      </c>
    </row>
    <row r="755" spans="1:11" x14ac:dyDescent="0.2">
      <c r="A755" s="9" t="s">
        <v>53</v>
      </c>
      <c r="B755" s="9" t="s">
        <v>1280</v>
      </c>
      <c r="C755" s="9"/>
      <c r="D755" s="9" t="s">
        <v>80</v>
      </c>
      <c r="E755" s="38">
        <v>671</v>
      </c>
      <c r="F755" s="39">
        <v>749006</v>
      </c>
      <c r="G755" s="40">
        <v>1116.253353204173</v>
      </c>
      <c r="H755" s="41">
        <v>-9.9549601895004031E-2</v>
      </c>
      <c r="I755" s="40">
        <v>80.076661698956784</v>
      </c>
      <c r="J755" s="41">
        <v>7.1736995431278261E-2</v>
      </c>
      <c r="K755" s="9" t="s">
        <v>1281</v>
      </c>
    </row>
    <row r="756" spans="1:11" x14ac:dyDescent="0.2">
      <c r="A756" s="9" t="s">
        <v>53</v>
      </c>
      <c r="B756" s="9" t="s">
        <v>1282</v>
      </c>
      <c r="C756" s="9"/>
      <c r="D756" s="9" t="s">
        <v>80</v>
      </c>
      <c r="E756" s="38">
        <v>810</v>
      </c>
      <c r="F756" s="39">
        <v>898468</v>
      </c>
      <c r="G756" s="40">
        <v>1109.21975308642</v>
      </c>
      <c r="H756" s="41">
        <v>5.0464854283837901E-2</v>
      </c>
      <c r="I756" s="40">
        <v>113.8835555555555</v>
      </c>
      <c r="J756" s="41">
        <v>0.1026699670995517</v>
      </c>
      <c r="K756" s="9" t="s">
        <v>1283</v>
      </c>
    </row>
    <row r="757" spans="1:11" x14ac:dyDescent="0.2">
      <c r="A757" s="9" t="s">
        <v>53</v>
      </c>
      <c r="B757" s="9" t="s">
        <v>1284</v>
      </c>
      <c r="C757" s="9"/>
      <c r="D757" s="9" t="s">
        <v>81</v>
      </c>
      <c r="E757" s="38">
        <v>7412</v>
      </c>
      <c r="F757" s="39">
        <v>4136540</v>
      </c>
      <c r="G757" s="40">
        <v>558.08688613059905</v>
      </c>
      <c r="H757" s="41">
        <v>1.4142015266174609E-2</v>
      </c>
      <c r="I757" s="40">
        <v>62.129141932002149</v>
      </c>
      <c r="J757" s="41">
        <v>0.11132521382604781</v>
      </c>
      <c r="K757" s="9" t="s">
        <v>1285</v>
      </c>
    </row>
    <row r="758" spans="1:11" x14ac:dyDescent="0.2">
      <c r="A758" s="9" t="s">
        <v>53</v>
      </c>
      <c r="B758" s="9" t="s">
        <v>1286</v>
      </c>
      <c r="C758" s="9"/>
      <c r="D758" s="9" t="s">
        <v>80</v>
      </c>
      <c r="E758" s="38">
        <v>663</v>
      </c>
      <c r="F758" s="39">
        <v>798954</v>
      </c>
      <c r="G758" s="40">
        <v>1205.0588235294119</v>
      </c>
      <c r="H758" s="41">
        <v>-7.7513072949221995E-2</v>
      </c>
      <c r="I758" s="40">
        <v>357.11185520361988</v>
      </c>
      <c r="J758" s="41">
        <v>0.29634391967497498</v>
      </c>
      <c r="K758" s="9" t="s">
        <v>1287</v>
      </c>
    </row>
    <row r="759" spans="1:11" x14ac:dyDescent="0.2">
      <c r="A759" s="9" t="s">
        <v>53</v>
      </c>
      <c r="B759" s="9" t="s">
        <v>950</v>
      </c>
      <c r="C759" s="9"/>
      <c r="D759" s="9" t="s">
        <v>80</v>
      </c>
      <c r="E759" s="38">
        <v>710</v>
      </c>
      <c r="F759" s="39">
        <v>2457243</v>
      </c>
      <c r="G759" s="40">
        <v>3460.9056338028172</v>
      </c>
      <c r="H759" s="41">
        <v>9.934419103370137E-3</v>
      </c>
      <c r="I759" s="40">
        <v>776.58591549295772</v>
      </c>
      <c r="J759" s="41">
        <v>0.22438806418412829</v>
      </c>
      <c r="K759" s="9" t="s">
        <v>1288</v>
      </c>
    </row>
    <row r="760" spans="1:11" x14ac:dyDescent="0.2">
      <c r="A760" s="9" t="s">
        <v>53</v>
      </c>
      <c r="B760" s="9" t="s">
        <v>339</v>
      </c>
      <c r="C760" s="9"/>
      <c r="D760" s="9" t="s">
        <v>80</v>
      </c>
      <c r="E760" s="38">
        <v>644</v>
      </c>
      <c r="F760" s="39">
        <v>492315</v>
      </c>
      <c r="G760" s="40">
        <v>764.46428571428567</v>
      </c>
      <c r="H760" s="41">
        <v>-0.22774823309015849</v>
      </c>
      <c r="I760" s="40">
        <v>207.77739130434779</v>
      </c>
      <c r="J760" s="41">
        <v>0.27179476554644888</v>
      </c>
      <c r="K760" s="9" t="s">
        <v>1289</v>
      </c>
    </row>
    <row r="761" spans="1:11" x14ac:dyDescent="0.2">
      <c r="A761" s="9" t="s">
        <v>53</v>
      </c>
      <c r="B761" s="9" t="s">
        <v>721</v>
      </c>
      <c r="C761" s="9"/>
      <c r="D761" s="9" t="s">
        <v>81</v>
      </c>
      <c r="E761" s="38">
        <v>9344</v>
      </c>
      <c r="F761" s="39">
        <v>6765319</v>
      </c>
      <c r="G761" s="40">
        <v>724.02814640410963</v>
      </c>
      <c r="H761" s="41">
        <v>-0.21668218082640869</v>
      </c>
      <c r="I761" s="40">
        <v>39.575342465753423</v>
      </c>
      <c r="J761" s="41">
        <v>5.4659950255117308E-2</v>
      </c>
      <c r="K761" s="9" t="s">
        <v>1290</v>
      </c>
    </row>
    <row r="762" spans="1:11" x14ac:dyDescent="0.2">
      <c r="A762" s="9" t="s">
        <v>53</v>
      </c>
      <c r="B762" s="9" t="s">
        <v>343</v>
      </c>
      <c r="C762" s="9"/>
      <c r="D762" s="9" t="s">
        <v>79</v>
      </c>
      <c r="E762" s="38">
        <v>5693</v>
      </c>
      <c r="F762" s="39">
        <v>7069156</v>
      </c>
      <c r="G762" s="40">
        <v>1241.727735815914</v>
      </c>
      <c r="H762" s="41">
        <v>-0.1639105986816187</v>
      </c>
      <c r="I762" s="40">
        <v>137.58346741612499</v>
      </c>
      <c r="J762" s="41">
        <v>0.11080002761291451</v>
      </c>
      <c r="K762" s="9" t="s">
        <v>1291</v>
      </c>
    </row>
    <row r="763" spans="1:11" x14ac:dyDescent="0.2">
      <c r="A763" s="9" t="s">
        <v>53</v>
      </c>
      <c r="B763" s="9" t="s">
        <v>1292</v>
      </c>
      <c r="C763" s="9"/>
      <c r="D763" s="9" t="s">
        <v>81</v>
      </c>
      <c r="E763" s="38">
        <v>3800</v>
      </c>
      <c r="F763" s="39">
        <v>3567141</v>
      </c>
      <c r="G763" s="40">
        <v>938.72131578947369</v>
      </c>
      <c r="H763" s="41">
        <v>0.1590015079545701</v>
      </c>
      <c r="I763" s="40">
        <v>76.989568421052624</v>
      </c>
      <c r="J763" s="41">
        <v>8.2015361882246868E-2</v>
      </c>
      <c r="K763" s="9" t="s">
        <v>1293</v>
      </c>
    </row>
    <row r="764" spans="1:11" x14ac:dyDescent="0.2">
      <c r="A764" s="9" t="s">
        <v>53</v>
      </c>
      <c r="B764" s="9" t="s">
        <v>1294</v>
      </c>
      <c r="C764" s="9"/>
      <c r="D764" s="9" t="s">
        <v>83</v>
      </c>
      <c r="E764" s="38">
        <v>1349</v>
      </c>
      <c r="F764" s="39">
        <v>177661</v>
      </c>
      <c r="G764" s="40">
        <v>131.69829503335811</v>
      </c>
      <c r="H764" s="41">
        <v>-0.20907429220640211</v>
      </c>
      <c r="I764" s="40">
        <v>78.553031875463319</v>
      </c>
      <c r="J764" s="41">
        <v>0.59646202599332443</v>
      </c>
      <c r="K764" s="9" t="s">
        <v>1295</v>
      </c>
    </row>
    <row r="765" spans="1:11" x14ac:dyDescent="0.2">
      <c r="A765" s="9" t="s">
        <v>53</v>
      </c>
      <c r="B765" s="9" t="s">
        <v>1296</v>
      </c>
      <c r="C765" s="9"/>
      <c r="D765" s="9" t="s">
        <v>82</v>
      </c>
      <c r="E765" s="38">
        <v>960</v>
      </c>
      <c r="F765" s="39">
        <v>347276</v>
      </c>
      <c r="G765" s="40">
        <v>361.74583333333328</v>
      </c>
      <c r="H765" s="41">
        <v>0.59804448119390885</v>
      </c>
      <c r="I765" s="40">
        <v>18.75</v>
      </c>
      <c r="J765" s="41">
        <v>5.1831972264135731E-2</v>
      </c>
      <c r="K765" s="9" t="s">
        <v>1297</v>
      </c>
    </row>
    <row r="766" spans="1:11" x14ac:dyDescent="0.2">
      <c r="A766" s="9" t="s">
        <v>53</v>
      </c>
      <c r="B766" s="9" t="s">
        <v>530</v>
      </c>
      <c r="C766" s="9"/>
      <c r="D766" s="9" t="s">
        <v>77</v>
      </c>
      <c r="E766" s="38">
        <v>1972</v>
      </c>
      <c r="F766" s="39">
        <v>957227</v>
      </c>
      <c r="G766" s="40">
        <v>485.40922920892501</v>
      </c>
      <c r="H766" s="41">
        <v>-0.15329279548035471</v>
      </c>
      <c r="I766" s="40">
        <v>170.0246653144016</v>
      </c>
      <c r="J766" s="41">
        <v>0.35027077171872512</v>
      </c>
      <c r="K766" s="9" t="s">
        <v>1298</v>
      </c>
    </row>
    <row r="767" spans="1:11" x14ac:dyDescent="0.2">
      <c r="A767" s="9" t="s">
        <v>53</v>
      </c>
      <c r="B767" s="9" t="s">
        <v>351</v>
      </c>
      <c r="C767" s="9"/>
      <c r="D767" s="9" t="s">
        <v>85</v>
      </c>
      <c r="E767" s="38">
        <v>1779</v>
      </c>
      <c r="F767" s="39">
        <v>1978134</v>
      </c>
      <c r="G767" s="40">
        <v>1111.935919055649</v>
      </c>
      <c r="H767" s="41">
        <v>-4.794684907606752E-2</v>
      </c>
      <c r="I767" s="40">
        <v>142.7622934232715</v>
      </c>
      <c r="J767" s="41">
        <v>0.12839075613684409</v>
      </c>
      <c r="K767" s="9" t="s">
        <v>1299</v>
      </c>
    </row>
    <row r="768" spans="1:11" x14ac:dyDescent="0.2">
      <c r="A768" s="9" t="s">
        <v>53</v>
      </c>
      <c r="B768" s="9" t="s">
        <v>533</v>
      </c>
      <c r="C768" s="9"/>
      <c r="D768" s="9" t="s">
        <v>76</v>
      </c>
      <c r="E768" s="38">
        <v>4637</v>
      </c>
      <c r="F768" s="39">
        <v>876685</v>
      </c>
      <c r="G768" s="40">
        <v>189.0629717489756</v>
      </c>
      <c r="H768" s="41">
        <v>-0.33528083294063249</v>
      </c>
      <c r="I768" s="40">
        <v>45.290049601035157</v>
      </c>
      <c r="J768" s="41">
        <v>0.239550077850083</v>
      </c>
      <c r="K768" s="9" t="s">
        <v>1300</v>
      </c>
    </row>
    <row r="769" spans="1:11" x14ac:dyDescent="0.2">
      <c r="A769" s="9" t="s">
        <v>53</v>
      </c>
      <c r="B769" s="9" t="s">
        <v>353</v>
      </c>
      <c r="C769" s="9"/>
      <c r="D769" s="9" t="s">
        <v>76</v>
      </c>
      <c r="E769" s="38">
        <v>2776</v>
      </c>
      <c r="F769" s="39">
        <v>765423</v>
      </c>
      <c r="G769" s="40">
        <v>275.72874639769452</v>
      </c>
      <c r="H769" s="41">
        <v>-0.15071981091944769</v>
      </c>
      <c r="I769" s="40">
        <v>126.7310230547551</v>
      </c>
      <c r="J769" s="41">
        <v>0.45962209131421461</v>
      </c>
      <c r="K769" s="9" t="s">
        <v>1301</v>
      </c>
    </row>
    <row r="770" spans="1:11" x14ac:dyDescent="0.2">
      <c r="A770" s="9" t="s">
        <v>53</v>
      </c>
      <c r="B770" s="9" t="s">
        <v>355</v>
      </c>
      <c r="C770" s="9"/>
      <c r="D770" s="9" t="s">
        <v>82</v>
      </c>
      <c r="E770" s="38">
        <v>2074</v>
      </c>
      <c r="F770" s="39">
        <v>1016432</v>
      </c>
      <c r="G770" s="40">
        <v>490.08293153326912</v>
      </c>
      <c r="H770" s="41">
        <v>2.5526488939731438E-2</v>
      </c>
      <c r="I770" s="40">
        <v>50.502237222757962</v>
      </c>
      <c r="J770" s="41">
        <v>0.10304834952067631</v>
      </c>
      <c r="K770" s="9" t="s">
        <v>1302</v>
      </c>
    </row>
    <row r="771" spans="1:11" x14ac:dyDescent="0.2">
      <c r="A771" s="9" t="s">
        <v>53</v>
      </c>
      <c r="B771" s="9" t="s">
        <v>538</v>
      </c>
      <c r="C771" s="9"/>
      <c r="D771" s="9" t="s">
        <v>80</v>
      </c>
      <c r="E771" s="38">
        <v>1438</v>
      </c>
      <c r="F771" s="39">
        <v>1221725</v>
      </c>
      <c r="G771" s="40">
        <v>849.60013908205838</v>
      </c>
      <c r="H771" s="41">
        <v>-5.5570617442562392E-2</v>
      </c>
      <c r="I771" s="40">
        <v>69.541001390820583</v>
      </c>
      <c r="J771" s="41">
        <v>8.1851447748061135E-2</v>
      </c>
      <c r="K771" s="9" t="s">
        <v>1303</v>
      </c>
    </row>
    <row r="772" spans="1:11" x14ac:dyDescent="0.2">
      <c r="A772" s="9" t="s">
        <v>53</v>
      </c>
      <c r="B772" s="9" t="s">
        <v>357</v>
      </c>
      <c r="C772" s="9"/>
      <c r="D772" s="9" t="s">
        <v>76</v>
      </c>
      <c r="E772" s="38">
        <v>585</v>
      </c>
      <c r="F772" s="39">
        <v>1470983</v>
      </c>
      <c r="G772" s="40">
        <v>2514.5008547008551</v>
      </c>
      <c r="H772" s="41">
        <v>0.28414821702556681</v>
      </c>
      <c r="I772" s="40">
        <v>350.0274871794872</v>
      </c>
      <c r="J772" s="41">
        <v>0.13920356659458341</v>
      </c>
      <c r="K772" s="9" t="s">
        <v>1304</v>
      </c>
    </row>
    <row r="773" spans="1:11" x14ac:dyDescent="0.2">
      <c r="A773" s="9" t="s">
        <v>53</v>
      </c>
      <c r="B773" s="9" t="s">
        <v>731</v>
      </c>
      <c r="C773" s="9"/>
      <c r="D773" s="9" t="s">
        <v>78</v>
      </c>
      <c r="E773" s="38">
        <v>836</v>
      </c>
      <c r="F773" s="39">
        <v>739753</v>
      </c>
      <c r="G773" s="40">
        <v>884.87200956937795</v>
      </c>
      <c r="H773" s="41">
        <v>-0.17161101061176459</v>
      </c>
      <c r="I773" s="40">
        <v>224.20607655502391</v>
      </c>
      <c r="J773" s="41">
        <v>0.25337684335176741</v>
      </c>
      <c r="K773" s="9" t="s">
        <v>1305</v>
      </c>
    </row>
    <row r="774" spans="1:11" x14ac:dyDescent="0.2">
      <c r="A774" s="9" t="s">
        <v>53</v>
      </c>
      <c r="B774" s="9" t="s">
        <v>365</v>
      </c>
      <c r="C774" s="9"/>
      <c r="D774" s="9" t="s">
        <v>81</v>
      </c>
      <c r="E774" s="38">
        <v>8500</v>
      </c>
      <c r="F774" s="39">
        <v>9396001</v>
      </c>
      <c r="G774" s="40">
        <v>1105.4118823529409</v>
      </c>
      <c r="H774" s="41">
        <v>-5.5421602513451539E-2</v>
      </c>
      <c r="I774" s="40">
        <v>63.15783529411766</v>
      </c>
      <c r="J774" s="41">
        <v>5.7135115247433463E-2</v>
      </c>
      <c r="K774" s="9" t="s">
        <v>1306</v>
      </c>
    </row>
    <row r="775" spans="1:11" x14ac:dyDescent="0.2">
      <c r="A775" s="9" t="s">
        <v>53</v>
      </c>
      <c r="B775" s="9" t="s">
        <v>964</v>
      </c>
      <c r="C775" s="9"/>
      <c r="D775" s="9" t="s">
        <v>78</v>
      </c>
      <c r="E775" s="38">
        <v>1414</v>
      </c>
      <c r="F775" s="39">
        <v>437131</v>
      </c>
      <c r="G775" s="40">
        <v>309.14497878359259</v>
      </c>
      <c r="H775" s="41">
        <v>-0.27133080126541032</v>
      </c>
      <c r="I775" s="40">
        <v>99.59074964639322</v>
      </c>
      <c r="J775" s="41">
        <v>0.32214901253857542</v>
      </c>
      <c r="K775" s="9" t="s">
        <v>1307</v>
      </c>
    </row>
    <row r="776" spans="1:11" x14ac:dyDescent="0.2">
      <c r="A776" s="9" t="s">
        <v>53</v>
      </c>
      <c r="B776" s="9" t="s">
        <v>369</v>
      </c>
      <c r="C776" s="9"/>
      <c r="D776" s="9" t="s">
        <v>84</v>
      </c>
      <c r="E776" s="38">
        <v>1760</v>
      </c>
      <c r="F776" s="39">
        <v>2137323</v>
      </c>
      <c r="G776" s="40">
        <v>1214.388068181818</v>
      </c>
      <c r="H776" s="41">
        <v>-0.20980234015600491</v>
      </c>
      <c r="I776" s="40">
        <v>120.6954545454546</v>
      </c>
      <c r="J776" s="41">
        <v>9.9387879136658336E-2</v>
      </c>
      <c r="K776" s="9" t="s">
        <v>1308</v>
      </c>
    </row>
    <row r="777" spans="1:11" x14ac:dyDescent="0.2">
      <c r="A777" s="9" t="s">
        <v>53</v>
      </c>
      <c r="B777" s="9" t="s">
        <v>371</v>
      </c>
      <c r="C777" s="9"/>
      <c r="D777" s="9" t="s">
        <v>76</v>
      </c>
      <c r="E777" s="38">
        <v>2610</v>
      </c>
      <c r="F777" s="39">
        <v>630557</v>
      </c>
      <c r="G777" s="40">
        <v>241.5927203065134</v>
      </c>
      <c r="H777" s="41">
        <v>-0.1904625848131857</v>
      </c>
      <c r="I777" s="40">
        <v>78.027126436781614</v>
      </c>
      <c r="J777" s="41">
        <v>0.32296969187559571</v>
      </c>
      <c r="K777" s="9" t="s">
        <v>1309</v>
      </c>
    </row>
    <row r="778" spans="1:11" x14ac:dyDescent="0.2">
      <c r="A778" s="9" t="s">
        <v>53</v>
      </c>
      <c r="B778" s="9" t="s">
        <v>561</v>
      </c>
      <c r="C778" s="9"/>
      <c r="D778" s="9" t="s">
        <v>76</v>
      </c>
      <c r="E778" s="38">
        <v>1350</v>
      </c>
      <c r="F778" s="39">
        <v>830908</v>
      </c>
      <c r="G778" s="40">
        <v>615.48740740740743</v>
      </c>
      <c r="H778" s="41">
        <v>-0.1152115699679591</v>
      </c>
      <c r="I778" s="40">
        <v>137.49359999999999</v>
      </c>
      <c r="J778" s="41">
        <v>0.22338978563210371</v>
      </c>
      <c r="K778" s="9" t="s">
        <v>1310</v>
      </c>
    </row>
    <row r="779" spans="1:11" x14ac:dyDescent="0.2">
      <c r="A779" s="9" t="s">
        <v>53</v>
      </c>
      <c r="B779" s="9" t="s">
        <v>1311</v>
      </c>
      <c r="C779" s="9"/>
      <c r="D779" s="9" t="s">
        <v>76</v>
      </c>
      <c r="E779" s="38">
        <v>1771</v>
      </c>
      <c r="F779" s="39">
        <v>675192</v>
      </c>
      <c r="G779" s="40">
        <v>381.2490118577075</v>
      </c>
      <c r="H779" s="41">
        <v>1.050391513895897E-2</v>
      </c>
      <c r="I779" s="40">
        <v>0</v>
      </c>
      <c r="J779" s="41">
        <v>0</v>
      </c>
      <c r="K779" s="9" t="s">
        <v>1312</v>
      </c>
    </row>
    <row r="780" spans="1:11" x14ac:dyDescent="0.2">
      <c r="A780" s="9" t="s">
        <v>53</v>
      </c>
      <c r="B780" s="9" t="s">
        <v>1313</v>
      </c>
      <c r="C780" s="9"/>
      <c r="D780" s="9" t="s">
        <v>84</v>
      </c>
      <c r="E780" s="38">
        <v>1242</v>
      </c>
      <c r="F780" s="39">
        <v>53663</v>
      </c>
      <c r="G780" s="40">
        <v>43.206924315619958</v>
      </c>
      <c r="H780" s="41"/>
      <c r="I780" s="40">
        <v>67.761062801932368</v>
      </c>
      <c r="J780" s="41">
        <v>1.5682917466410751E-2</v>
      </c>
      <c r="K780" s="9" t="s">
        <v>1314</v>
      </c>
    </row>
    <row r="781" spans="1:11" x14ac:dyDescent="0.2">
      <c r="A781" s="9" t="s">
        <v>53</v>
      </c>
      <c r="B781" s="9" t="s">
        <v>1315</v>
      </c>
      <c r="C781" s="9"/>
      <c r="D781" s="9" t="s">
        <v>81</v>
      </c>
      <c r="E781" s="38">
        <v>8782</v>
      </c>
      <c r="F781" s="39">
        <v>5199927</v>
      </c>
      <c r="G781" s="40">
        <v>592.11193350034159</v>
      </c>
      <c r="H781" s="41"/>
      <c r="I781" s="40">
        <v>71.720578455932582</v>
      </c>
      <c r="J781" s="41">
        <v>0.1211267235097723</v>
      </c>
      <c r="K781" s="9" t="s">
        <v>1316</v>
      </c>
    </row>
    <row r="782" spans="1:11" x14ac:dyDescent="0.2">
      <c r="A782" s="9" t="s">
        <v>53</v>
      </c>
      <c r="B782" s="9" t="s">
        <v>384</v>
      </c>
      <c r="C782" s="9"/>
      <c r="D782" s="9" t="s">
        <v>77</v>
      </c>
      <c r="E782" s="38">
        <v>3015</v>
      </c>
      <c r="F782" s="39">
        <v>1580652</v>
      </c>
      <c r="G782" s="40">
        <v>524.26268656716422</v>
      </c>
      <c r="H782" s="41">
        <v>-0.15069537248502871</v>
      </c>
      <c r="I782" s="40">
        <v>95.279243781094522</v>
      </c>
      <c r="J782" s="41">
        <v>0.18173951002497701</v>
      </c>
      <c r="K782" s="9" t="s">
        <v>1317</v>
      </c>
    </row>
    <row r="783" spans="1:11" x14ac:dyDescent="0.2">
      <c r="A783" s="9" t="s">
        <v>53</v>
      </c>
      <c r="B783" s="9" t="s">
        <v>568</v>
      </c>
      <c r="C783" s="9"/>
      <c r="D783" s="9" t="s">
        <v>76</v>
      </c>
      <c r="E783" s="38">
        <v>1070</v>
      </c>
      <c r="F783" s="39">
        <v>358083</v>
      </c>
      <c r="G783" s="40">
        <v>334.65700934579439</v>
      </c>
      <c r="H783" s="41">
        <v>-0.41515178630912181</v>
      </c>
      <c r="I783" s="40">
        <v>173.54949532710279</v>
      </c>
      <c r="J783" s="41">
        <v>0.51858915391124405</v>
      </c>
      <c r="K783" s="9" t="s">
        <v>1318</v>
      </c>
    </row>
    <row r="784" spans="1:11" x14ac:dyDescent="0.2">
      <c r="A784" s="9" t="s">
        <v>53</v>
      </c>
      <c r="B784" s="9" t="s">
        <v>386</v>
      </c>
      <c r="C784" s="9"/>
      <c r="D784" s="9" t="s">
        <v>84</v>
      </c>
      <c r="E784" s="38">
        <v>2059</v>
      </c>
      <c r="F784" s="39">
        <v>0</v>
      </c>
      <c r="G784" s="40"/>
      <c r="H784" s="41"/>
      <c r="I784" s="40">
        <v>149.64542010684801</v>
      </c>
      <c r="J784" s="41"/>
      <c r="K784" s="9" t="s">
        <v>1319</v>
      </c>
    </row>
    <row r="785" spans="1:11" x14ac:dyDescent="0.2">
      <c r="A785" s="9" t="s">
        <v>53</v>
      </c>
      <c r="B785" s="9" t="s">
        <v>388</v>
      </c>
      <c r="C785" s="9"/>
      <c r="D785" s="9" t="s">
        <v>76</v>
      </c>
      <c r="E785" s="38">
        <v>9372</v>
      </c>
      <c r="F785" s="39">
        <v>4100538</v>
      </c>
      <c r="G785" s="40">
        <v>437.53072983354667</v>
      </c>
      <c r="H785" s="41">
        <v>-5.5460722934269652E-2</v>
      </c>
      <c r="I785" s="40">
        <v>122.49357234314979</v>
      </c>
      <c r="J785" s="41">
        <v>0.2799656435326292</v>
      </c>
      <c r="K785" s="9" t="s">
        <v>1320</v>
      </c>
    </row>
    <row r="786" spans="1:11" x14ac:dyDescent="0.2">
      <c r="A786" s="9" t="s">
        <v>53</v>
      </c>
      <c r="B786" s="9" t="s">
        <v>571</v>
      </c>
      <c r="C786" s="9"/>
      <c r="D786" s="9" t="s">
        <v>76</v>
      </c>
      <c r="E786" s="38">
        <v>2402</v>
      </c>
      <c r="F786" s="39">
        <v>999164</v>
      </c>
      <c r="G786" s="40">
        <v>415.97169025811831</v>
      </c>
      <c r="H786" s="41">
        <v>-0.25538095403024602</v>
      </c>
      <c r="I786" s="40">
        <v>95.790424646128216</v>
      </c>
      <c r="J786" s="41">
        <v>0.23028111501215009</v>
      </c>
      <c r="K786" s="9" t="s">
        <v>1321</v>
      </c>
    </row>
    <row r="787" spans="1:11" x14ac:dyDescent="0.2">
      <c r="A787" s="9" t="s">
        <v>53</v>
      </c>
      <c r="B787" s="9" t="s">
        <v>644</v>
      </c>
      <c r="C787" s="9"/>
      <c r="D787" s="9" t="s">
        <v>82</v>
      </c>
      <c r="E787" s="38">
        <v>6231</v>
      </c>
      <c r="F787" s="39">
        <v>2284432</v>
      </c>
      <c r="G787" s="40">
        <v>366.6236559139785</v>
      </c>
      <c r="H787" s="41">
        <v>9.5615179975075456E-3</v>
      </c>
      <c r="I787" s="40">
        <v>16.04878189696678</v>
      </c>
      <c r="J787" s="41">
        <v>4.3774540016949498E-2</v>
      </c>
      <c r="K787" s="9" t="s">
        <v>1322</v>
      </c>
    </row>
    <row r="788" spans="1:11" x14ac:dyDescent="0.2">
      <c r="A788" s="9" t="s">
        <v>53</v>
      </c>
      <c r="B788" s="9" t="s">
        <v>392</v>
      </c>
      <c r="C788" s="9"/>
      <c r="D788" s="9" t="s">
        <v>76</v>
      </c>
      <c r="E788" s="38">
        <v>3990</v>
      </c>
      <c r="F788" s="39">
        <v>1278990</v>
      </c>
      <c r="G788" s="40">
        <v>320.54887218045121</v>
      </c>
      <c r="H788" s="41"/>
      <c r="I788" s="40">
        <v>49.485924812030078</v>
      </c>
      <c r="J788" s="41">
        <v>0.15437872070930969</v>
      </c>
      <c r="K788" s="9" t="s">
        <v>1323</v>
      </c>
    </row>
    <row r="789" spans="1:11" x14ac:dyDescent="0.2">
      <c r="A789" s="9" t="s">
        <v>53</v>
      </c>
      <c r="B789" s="9" t="s">
        <v>574</v>
      </c>
      <c r="C789" s="9"/>
      <c r="D789" s="9" t="s">
        <v>82</v>
      </c>
      <c r="E789" s="38">
        <v>1322</v>
      </c>
      <c r="F789" s="39">
        <v>755223</v>
      </c>
      <c r="G789" s="40">
        <v>571.27307110438733</v>
      </c>
      <c r="H789" s="41">
        <v>0.17069159166089701</v>
      </c>
      <c r="I789" s="40">
        <v>70.039969742813909</v>
      </c>
      <c r="J789" s="41">
        <v>0.1226033105453621</v>
      </c>
      <c r="K789" s="9" t="s">
        <v>1324</v>
      </c>
    </row>
    <row r="790" spans="1:11" x14ac:dyDescent="0.2">
      <c r="A790" s="9" t="s">
        <v>53</v>
      </c>
      <c r="B790" s="9" t="s">
        <v>576</v>
      </c>
      <c r="C790" s="9"/>
      <c r="D790" s="9" t="s">
        <v>84</v>
      </c>
      <c r="E790" s="38">
        <v>0</v>
      </c>
      <c r="F790" s="39">
        <v>145938</v>
      </c>
      <c r="G790" s="40"/>
      <c r="H790" s="41"/>
      <c r="I790" s="40"/>
      <c r="J790" s="41">
        <v>0.46458084940180078</v>
      </c>
      <c r="K790" s="9" t="s">
        <v>1325</v>
      </c>
    </row>
    <row r="791" spans="1:11" x14ac:dyDescent="0.2">
      <c r="A791" s="9" t="s">
        <v>53</v>
      </c>
      <c r="B791" s="9" t="s">
        <v>396</v>
      </c>
      <c r="C791" s="9"/>
      <c r="D791" s="9" t="s">
        <v>78</v>
      </c>
      <c r="E791" s="38">
        <v>1470</v>
      </c>
      <c r="F791" s="39">
        <v>1883597</v>
      </c>
      <c r="G791" s="40">
        <v>1281.3585034013611</v>
      </c>
      <c r="H791" s="41">
        <v>-3.0921374873908079E-2</v>
      </c>
      <c r="I791" s="40">
        <v>165.48914285714289</v>
      </c>
      <c r="J791" s="41">
        <v>0.12915132058502959</v>
      </c>
      <c r="K791" s="9" t="s">
        <v>1326</v>
      </c>
    </row>
    <row r="792" spans="1:11" x14ac:dyDescent="0.2">
      <c r="A792" s="9" t="s">
        <v>53</v>
      </c>
      <c r="B792" s="9" t="s">
        <v>398</v>
      </c>
      <c r="C792" s="9"/>
      <c r="D792" s="9" t="s">
        <v>76</v>
      </c>
      <c r="E792" s="38">
        <v>1821</v>
      </c>
      <c r="F792" s="39">
        <v>722791</v>
      </c>
      <c r="G792" s="40">
        <v>396.91982427237781</v>
      </c>
      <c r="H792" s="41">
        <v>5.5920029726304908E-2</v>
      </c>
      <c r="I792" s="40">
        <v>76.930411861614488</v>
      </c>
      <c r="J792" s="41">
        <v>0.193818517386077</v>
      </c>
      <c r="K792" s="9" t="s">
        <v>1327</v>
      </c>
    </row>
    <row r="793" spans="1:11" x14ac:dyDescent="0.2">
      <c r="A793" s="9" t="s">
        <v>45</v>
      </c>
      <c r="B793" s="9" t="s">
        <v>164</v>
      </c>
      <c r="C793" s="9"/>
      <c r="D793" s="9" t="s">
        <v>76</v>
      </c>
      <c r="E793" s="38">
        <v>3600</v>
      </c>
      <c r="F793" s="39">
        <v>2014947.61</v>
      </c>
      <c r="G793" s="40">
        <v>559.70766944444449</v>
      </c>
      <c r="H793" s="41">
        <v>-4.2601452157686293E-2</v>
      </c>
      <c r="I793" s="40">
        <v>47.896666666666668</v>
      </c>
      <c r="J793" s="41">
        <v>8.5574433371992234E-2</v>
      </c>
      <c r="K793" s="9" t="s">
        <v>1328</v>
      </c>
    </row>
    <row r="794" spans="1:11" x14ac:dyDescent="0.2">
      <c r="A794" s="9" t="s">
        <v>45</v>
      </c>
      <c r="B794" s="9" t="s">
        <v>166</v>
      </c>
      <c r="C794" s="9"/>
      <c r="D794" s="9" t="s">
        <v>76</v>
      </c>
      <c r="E794" s="38">
        <v>3603</v>
      </c>
      <c r="F794" s="39">
        <v>1546731.47</v>
      </c>
      <c r="G794" s="40">
        <v>429.28988898140437</v>
      </c>
      <c r="H794" s="41">
        <v>1.972795650098385E-2</v>
      </c>
      <c r="I794" s="40">
        <v>26.92089925062448</v>
      </c>
      <c r="J794" s="41">
        <v>6.2710303553854763E-2</v>
      </c>
      <c r="K794" s="9" t="s">
        <v>1329</v>
      </c>
    </row>
    <row r="795" spans="1:11" x14ac:dyDescent="0.2">
      <c r="A795" s="9" t="s">
        <v>45</v>
      </c>
      <c r="B795" s="9" t="s">
        <v>169</v>
      </c>
      <c r="C795" s="9"/>
      <c r="D795" s="9" t="s">
        <v>76</v>
      </c>
      <c r="E795" s="38">
        <v>5207</v>
      </c>
      <c r="F795" s="39">
        <v>2760713.09</v>
      </c>
      <c r="G795" s="40">
        <v>530.1926425965047</v>
      </c>
      <c r="H795" s="41">
        <v>-2.4174821174050641E-2</v>
      </c>
      <c r="I795" s="40">
        <v>67.971576723641249</v>
      </c>
      <c r="J795" s="41">
        <v>0.12820165966612629</v>
      </c>
      <c r="K795" s="9" t="s">
        <v>1330</v>
      </c>
    </row>
    <row r="796" spans="1:11" x14ac:dyDescent="0.2">
      <c r="A796" s="9" t="s">
        <v>45</v>
      </c>
      <c r="B796" s="9" t="s">
        <v>1331</v>
      </c>
      <c r="C796" s="9"/>
      <c r="D796" s="9" t="s">
        <v>81</v>
      </c>
      <c r="E796" s="38">
        <v>3417</v>
      </c>
      <c r="F796" s="39">
        <v>959070</v>
      </c>
      <c r="G796" s="40">
        <v>280.6760316066725</v>
      </c>
      <c r="H796" s="41"/>
      <c r="I796" s="40">
        <v>36.621597892888502</v>
      </c>
      <c r="J796" s="41">
        <v>0.13047639901154251</v>
      </c>
      <c r="K796" s="9" t="s">
        <v>1332</v>
      </c>
    </row>
    <row r="797" spans="1:11" x14ac:dyDescent="0.2">
      <c r="A797" s="9" t="s">
        <v>45</v>
      </c>
      <c r="B797" s="9" t="s">
        <v>171</v>
      </c>
      <c r="C797" s="9"/>
      <c r="D797" s="9" t="s">
        <v>84</v>
      </c>
      <c r="E797" s="38">
        <v>2378</v>
      </c>
      <c r="F797" s="39">
        <v>0</v>
      </c>
      <c r="G797" s="40"/>
      <c r="H797" s="41"/>
      <c r="I797" s="40">
        <v>78.600504625735908</v>
      </c>
      <c r="J797" s="41"/>
      <c r="K797" s="9" t="s">
        <v>1333</v>
      </c>
    </row>
    <row r="798" spans="1:11" x14ac:dyDescent="0.2">
      <c r="A798" s="9" t="s">
        <v>45</v>
      </c>
      <c r="B798" s="9" t="s">
        <v>1334</v>
      </c>
      <c r="C798" s="9"/>
      <c r="D798" s="9" t="s">
        <v>81</v>
      </c>
      <c r="E798" s="38">
        <v>192</v>
      </c>
      <c r="F798" s="39">
        <v>54641.01</v>
      </c>
      <c r="G798" s="40">
        <v>284.58859374999997</v>
      </c>
      <c r="H798" s="41"/>
      <c r="I798" s="40">
        <v>200</v>
      </c>
      <c r="J798" s="41">
        <v>0.70276885438245007</v>
      </c>
      <c r="K798" s="9" t="s">
        <v>1335</v>
      </c>
    </row>
    <row r="799" spans="1:11" x14ac:dyDescent="0.2">
      <c r="A799" s="9" t="s">
        <v>45</v>
      </c>
      <c r="B799" s="9" t="s">
        <v>173</v>
      </c>
      <c r="C799" s="9"/>
      <c r="D799" s="9" t="s">
        <v>80</v>
      </c>
      <c r="E799" s="38">
        <v>216</v>
      </c>
      <c r="F799" s="39">
        <v>1337509.49</v>
      </c>
      <c r="G799" s="40">
        <v>6192.1735648148151</v>
      </c>
      <c r="H799" s="41">
        <v>6.3273964756974374E-2</v>
      </c>
      <c r="I799" s="40">
        <v>729.72222222222217</v>
      </c>
      <c r="J799" s="41">
        <v>0.11784589281680539</v>
      </c>
      <c r="K799" s="9" t="s">
        <v>1336</v>
      </c>
    </row>
    <row r="800" spans="1:11" x14ac:dyDescent="0.2">
      <c r="A800" s="9" t="s">
        <v>45</v>
      </c>
      <c r="B800" s="9" t="s">
        <v>175</v>
      </c>
      <c r="C800" s="9"/>
      <c r="D800" s="9" t="s">
        <v>78</v>
      </c>
      <c r="E800" s="38">
        <v>192</v>
      </c>
      <c r="F800" s="39">
        <v>835356.52</v>
      </c>
      <c r="G800" s="40">
        <v>4350.8152083333334</v>
      </c>
      <c r="H800" s="41">
        <v>-9.6183249979933744E-2</v>
      </c>
      <c r="I800" s="40">
        <v>348.0625</v>
      </c>
      <c r="J800" s="41">
        <v>7.9999375595943154E-2</v>
      </c>
      <c r="K800" s="9" t="s">
        <v>1337</v>
      </c>
    </row>
    <row r="801" spans="1:11" x14ac:dyDescent="0.2">
      <c r="A801" s="9" t="s">
        <v>45</v>
      </c>
      <c r="B801" s="9" t="s">
        <v>175</v>
      </c>
      <c r="C801" s="9"/>
      <c r="D801" s="9" t="s">
        <v>78</v>
      </c>
      <c r="E801" s="38">
        <v>200</v>
      </c>
      <c r="F801" s="39">
        <v>589530.64</v>
      </c>
      <c r="G801" s="40">
        <v>2947.6532000000002</v>
      </c>
      <c r="H801" s="41">
        <v>0.47225133515532941</v>
      </c>
      <c r="I801" s="40">
        <v>313.5</v>
      </c>
      <c r="J801" s="41">
        <v>0.1063557951797043</v>
      </c>
      <c r="K801" s="9" t="s">
        <v>1337</v>
      </c>
    </row>
    <row r="802" spans="1:11" x14ac:dyDescent="0.2">
      <c r="A802" s="9" t="s">
        <v>45</v>
      </c>
      <c r="B802" s="9" t="s">
        <v>179</v>
      </c>
      <c r="C802" s="9"/>
      <c r="D802" s="9" t="s">
        <v>79</v>
      </c>
      <c r="E802" s="38">
        <v>5160</v>
      </c>
      <c r="F802" s="39">
        <v>4036712</v>
      </c>
      <c r="G802" s="40">
        <v>782.30852713178297</v>
      </c>
      <c r="H802" s="41">
        <v>-1.9904665551093971E-2</v>
      </c>
      <c r="I802" s="40">
        <v>51.506976744186048</v>
      </c>
      <c r="J802" s="41">
        <v>6.5839723022103142E-2</v>
      </c>
      <c r="K802" s="9" t="s">
        <v>1338</v>
      </c>
    </row>
    <row r="803" spans="1:11" x14ac:dyDescent="0.2">
      <c r="A803" s="9" t="s">
        <v>45</v>
      </c>
      <c r="B803" s="9" t="s">
        <v>1339</v>
      </c>
      <c r="C803" s="9"/>
      <c r="D803" s="9" t="s">
        <v>81</v>
      </c>
      <c r="E803" s="38">
        <v>3421</v>
      </c>
      <c r="F803" s="39">
        <v>616199.17000000004</v>
      </c>
      <c r="G803" s="40">
        <v>180.12252850043851</v>
      </c>
      <c r="H803" s="41">
        <v>-0.13339024798105981</v>
      </c>
      <c r="I803" s="40">
        <v>28.868751826951179</v>
      </c>
      <c r="J803" s="41">
        <v>0.16027285463562049</v>
      </c>
      <c r="K803" s="9" t="s">
        <v>1340</v>
      </c>
    </row>
    <row r="804" spans="1:11" x14ac:dyDescent="0.2">
      <c r="A804" s="9" t="s">
        <v>45</v>
      </c>
      <c r="B804" s="9" t="s">
        <v>1341</v>
      </c>
      <c r="C804" s="9"/>
      <c r="D804" s="9" t="s">
        <v>76</v>
      </c>
      <c r="E804" s="38">
        <v>2500</v>
      </c>
      <c r="F804" s="39">
        <v>1812561.36</v>
      </c>
      <c r="G804" s="40">
        <v>725.02454399999999</v>
      </c>
      <c r="H804" s="41">
        <v>-0.1161178370815745</v>
      </c>
      <c r="I804" s="40">
        <v>88.180800000000005</v>
      </c>
      <c r="J804" s="41">
        <v>0.12162457220206881</v>
      </c>
      <c r="K804" s="9" t="s">
        <v>1342</v>
      </c>
    </row>
    <row r="805" spans="1:11" x14ac:dyDescent="0.2">
      <c r="A805" s="9" t="s">
        <v>45</v>
      </c>
      <c r="B805" s="9" t="s">
        <v>1343</v>
      </c>
      <c r="C805" s="9"/>
      <c r="D805" s="9" t="s">
        <v>80</v>
      </c>
      <c r="E805" s="38">
        <v>793</v>
      </c>
      <c r="F805" s="39">
        <v>307659</v>
      </c>
      <c r="G805" s="40">
        <v>387.96847414880199</v>
      </c>
      <c r="H805" s="41">
        <v>-4.1950610937313879E-2</v>
      </c>
      <c r="I805" s="40">
        <v>71.44010088272384</v>
      </c>
      <c r="J805" s="41">
        <v>0.18413893303950149</v>
      </c>
      <c r="K805" s="9" t="s">
        <v>1344</v>
      </c>
    </row>
    <row r="806" spans="1:11" x14ac:dyDescent="0.2">
      <c r="A806" s="9" t="s">
        <v>45</v>
      </c>
      <c r="B806" s="9" t="s">
        <v>185</v>
      </c>
      <c r="C806" s="9"/>
      <c r="D806" s="9" t="s">
        <v>81</v>
      </c>
      <c r="E806" s="38">
        <v>626</v>
      </c>
      <c r="F806" s="39">
        <v>697498.18</v>
      </c>
      <c r="G806" s="40">
        <v>1114.214345047923</v>
      </c>
      <c r="H806" s="41">
        <v>1.898977219018811E-2</v>
      </c>
      <c r="I806" s="40">
        <v>124.4281150159744</v>
      </c>
      <c r="J806" s="41">
        <v>0.11167340967111911</v>
      </c>
      <c r="K806" s="9" t="s">
        <v>1345</v>
      </c>
    </row>
    <row r="807" spans="1:11" x14ac:dyDescent="0.2">
      <c r="A807" s="9" t="s">
        <v>45</v>
      </c>
      <c r="B807" s="9" t="s">
        <v>187</v>
      </c>
      <c r="C807" s="9"/>
      <c r="D807" s="9" t="s">
        <v>76</v>
      </c>
      <c r="E807" s="38">
        <v>2980</v>
      </c>
      <c r="F807" s="39">
        <v>778361.34</v>
      </c>
      <c r="G807" s="40">
        <v>261.19508053691271</v>
      </c>
      <c r="H807" s="41">
        <v>-6.0225470054352068E-2</v>
      </c>
      <c r="I807" s="40">
        <v>23.48859060402685</v>
      </c>
      <c r="J807" s="41">
        <v>8.9927385139657631E-2</v>
      </c>
      <c r="K807" s="9" t="s">
        <v>1346</v>
      </c>
    </row>
    <row r="808" spans="1:11" x14ac:dyDescent="0.2">
      <c r="A808" s="9" t="s">
        <v>45</v>
      </c>
      <c r="B808" s="9" t="s">
        <v>191</v>
      </c>
      <c r="C808" s="9"/>
      <c r="D808" s="9" t="s">
        <v>76</v>
      </c>
      <c r="E808" s="38">
        <v>5237</v>
      </c>
      <c r="F808" s="39">
        <v>1802618.15</v>
      </c>
      <c r="G808" s="40">
        <v>344.20816307046022</v>
      </c>
      <c r="H808" s="41">
        <v>-9.9823124774387068E-2</v>
      </c>
      <c r="I808" s="40">
        <v>57.300744701164788</v>
      </c>
      <c r="J808" s="41">
        <v>0.16647119635403651</v>
      </c>
      <c r="K808" s="9" t="s">
        <v>1347</v>
      </c>
    </row>
    <row r="809" spans="1:11" x14ac:dyDescent="0.2">
      <c r="A809" s="9" t="s">
        <v>45</v>
      </c>
      <c r="B809" s="9" t="s">
        <v>193</v>
      </c>
      <c r="C809" s="9"/>
      <c r="D809" s="9" t="s">
        <v>82</v>
      </c>
      <c r="E809" s="38">
        <v>2600</v>
      </c>
      <c r="F809" s="39">
        <v>1164242.46</v>
      </c>
      <c r="G809" s="40">
        <v>447.78556153846148</v>
      </c>
      <c r="H809" s="41">
        <v>1.730687034914186E-2</v>
      </c>
      <c r="I809" s="40">
        <v>88.278461538461542</v>
      </c>
      <c r="J809" s="41">
        <v>0.19714450201378159</v>
      </c>
      <c r="K809" s="9" t="s">
        <v>1348</v>
      </c>
    </row>
    <row r="810" spans="1:11" x14ac:dyDescent="0.2">
      <c r="A810" s="9" t="s">
        <v>45</v>
      </c>
      <c r="B810" s="9" t="s">
        <v>1349</v>
      </c>
      <c r="C810" s="9"/>
      <c r="D810" s="9" t="s">
        <v>80</v>
      </c>
      <c r="E810" s="38">
        <v>180</v>
      </c>
      <c r="F810" s="39">
        <v>140371.84</v>
      </c>
      <c r="G810" s="40">
        <v>779.84355555555555</v>
      </c>
      <c r="H810" s="41">
        <v>-3.6460658199082903E-2</v>
      </c>
      <c r="I810" s="40">
        <v>226.6</v>
      </c>
      <c r="J810" s="41">
        <v>0.29057110030045907</v>
      </c>
      <c r="K810" s="9" t="s">
        <v>1350</v>
      </c>
    </row>
    <row r="811" spans="1:11" x14ac:dyDescent="0.2">
      <c r="A811" s="9" t="s">
        <v>45</v>
      </c>
      <c r="B811" s="9" t="s">
        <v>1351</v>
      </c>
      <c r="C811" s="9"/>
      <c r="D811" s="9" t="s">
        <v>80</v>
      </c>
      <c r="E811" s="38">
        <v>192</v>
      </c>
      <c r="F811" s="39">
        <v>420541</v>
      </c>
      <c r="G811" s="40">
        <v>2190.317708333333</v>
      </c>
      <c r="H811" s="41">
        <v>-5.4638781268665088E-2</v>
      </c>
      <c r="I811" s="40">
        <v>278.6875</v>
      </c>
      <c r="J811" s="41">
        <v>0.12723610777546071</v>
      </c>
      <c r="K811" s="9" t="s">
        <v>1352</v>
      </c>
    </row>
    <row r="812" spans="1:11" x14ac:dyDescent="0.2">
      <c r="A812" s="9" t="s">
        <v>45</v>
      </c>
      <c r="B812" s="9" t="s">
        <v>202</v>
      </c>
      <c r="C812" s="9"/>
      <c r="D812" s="9" t="s">
        <v>81</v>
      </c>
      <c r="E812" s="38">
        <v>720</v>
      </c>
      <c r="F812" s="39">
        <v>376004.37</v>
      </c>
      <c r="G812" s="40">
        <v>522.22829166666668</v>
      </c>
      <c r="H812" s="41">
        <v>-0.15808972697442281</v>
      </c>
      <c r="I812" s="40">
        <v>118.43333333333329</v>
      </c>
      <c r="J812" s="41">
        <v>0.22678459827474881</v>
      </c>
      <c r="K812" s="9" t="s">
        <v>1353</v>
      </c>
    </row>
    <row r="813" spans="1:11" x14ac:dyDescent="0.2">
      <c r="A813" s="9" t="s">
        <v>45</v>
      </c>
      <c r="B813" s="9" t="s">
        <v>206</v>
      </c>
      <c r="C813" s="9"/>
      <c r="D813" s="9" t="s">
        <v>80</v>
      </c>
      <c r="E813" s="38">
        <v>300</v>
      </c>
      <c r="F813" s="39">
        <v>416290.44</v>
      </c>
      <c r="G813" s="40">
        <v>1387.6348</v>
      </c>
      <c r="H813" s="41">
        <v>-0.17704059092917179</v>
      </c>
      <c r="I813" s="40">
        <v>163.96</v>
      </c>
      <c r="J813" s="41">
        <v>0.11815788995779</v>
      </c>
      <c r="K813" s="9" t="s">
        <v>1354</v>
      </c>
    </row>
    <row r="814" spans="1:11" x14ac:dyDescent="0.2">
      <c r="A814" s="9" t="s">
        <v>45</v>
      </c>
      <c r="B814" s="9" t="s">
        <v>208</v>
      </c>
      <c r="C814" s="9"/>
      <c r="D814" s="9" t="s">
        <v>78</v>
      </c>
      <c r="E814" s="38">
        <v>1387</v>
      </c>
      <c r="F814" s="39">
        <v>632494.39</v>
      </c>
      <c r="G814" s="40">
        <v>456.01614275414568</v>
      </c>
      <c r="H814" s="41">
        <v>-6.6692069168813123E-2</v>
      </c>
      <c r="I814" s="40">
        <v>85.401586157173753</v>
      </c>
      <c r="J814" s="41">
        <v>0.18727755039851021</v>
      </c>
      <c r="K814" s="9" t="s">
        <v>1355</v>
      </c>
    </row>
    <row r="815" spans="1:11" x14ac:dyDescent="0.2">
      <c r="A815" s="9" t="s">
        <v>45</v>
      </c>
      <c r="B815" s="9" t="s">
        <v>220</v>
      </c>
      <c r="C815" s="9"/>
      <c r="D815" s="9" t="s">
        <v>85</v>
      </c>
      <c r="E815" s="38">
        <v>28000</v>
      </c>
      <c r="F815" s="39">
        <v>8194570.4800000004</v>
      </c>
      <c r="G815" s="40">
        <v>292.66323142857152</v>
      </c>
      <c r="H815" s="41">
        <v>-7.3765963367532938E-2</v>
      </c>
      <c r="I815" s="40">
        <v>32.67</v>
      </c>
      <c r="J815" s="41">
        <v>0.1116300118758634</v>
      </c>
      <c r="K815" s="9" t="s">
        <v>1356</v>
      </c>
    </row>
    <row r="816" spans="1:11" x14ac:dyDescent="0.2">
      <c r="A816" s="9" t="s">
        <v>45</v>
      </c>
      <c r="B816" s="9" t="s">
        <v>766</v>
      </c>
      <c r="C816" s="9"/>
      <c r="D816" s="9" t="s">
        <v>86</v>
      </c>
      <c r="E816" s="38">
        <v>61677</v>
      </c>
      <c r="F816" s="39">
        <v>0</v>
      </c>
      <c r="G816" s="40"/>
      <c r="H816" s="41"/>
      <c r="I816" s="40">
        <v>14.4199620604115</v>
      </c>
      <c r="J816" s="41"/>
      <c r="K816" s="9" t="s">
        <v>1357</v>
      </c>
    </row>
    <row r="817" spans="1:11" x14ac:dyDescent="0.2">
      <c r="A817" s="9" t="s">
        <v>45</v>
      </c>
      <c r="B817" s="9" t="s">
        <v>768</v>
      </c>
      <c r="C817" s="9"/>
      <c r="D817" s="9" t="s">
        <v>77</v>
      </c>
      <c r="E817" s="38">
        <v>17290</v>
      </c>
      <c r="F817" s="39">
        <v>0</v>
      </c>
      <c r="G817" s="40"/>
      <c r="H817" s="41"/>
      <c r="I817" s="40">
        <v>24</v>
      </c>
      <c r="J817" s="41"/>
      <c r="K817" s="9" t="s">
        <v>1358</v>
      </c>
    </row>
    <row r="818" spans="1:11" x14ac:dyDescent="0.2">
      <c r="A818" s="9" t="s">
        <v>45</v>
      </c>
      <c r="B818" s="9" t="s">
        <v>1359</v>
      </c>
      <c r="C818" s="9"/>
      <c r="D818" s="9" t="s">
        <v>77</v>
      </c>
      <c r="E818" s="38">
        <v>4474</v>
      </c>
      <c r="F818" s="39">
        <v>3055843.21</v>
      </c>
      <c r="G818" s="40">
        <v>683.02262181493074</v>
      </c>
      <c r="H818" s="41">
        <v>4.8267425150887493E-2</v>
      </c>
      <c r="I818" s="40">
        <v>83.527939204291457</v>
      </c>
      <c r="J818" s="41">
        <v>0.12229161456225369</v>
      </c>
      <c r="K818" s="9" t="s">
        <v>1360</v>
      </c>
    </row>
    <row r="819" spans="1:11" x14ac:dyDescent="0.2">
      <c r="A819" s="9" t="s">
        <v>45</v>
      </c>
      <c r="B819" s="9" t="s">
        <v>231</v>
      </c>
      <c r="C819" s="9"/>
      <c r="D819" s="9" t="s">
        <v>76</v>
      </c>
      <c r="E819" s="38">
        <v>7944</v>
      </c>
      <c r="F819" s="39">
        <v>1187599.54</v>
      </c>
      <c r="G819" s="40">
        <v>149.49641742195371</v>
      </c>
      <c r="H819" s="41">
        <v>-0.28485173114978402</v>
      </c>
      <c r="I819" s="40">
        <v>19.435045317220549</v>
      </c>
      <c r="J819" s="41">
        <v>0.13000341849239849</v>
      </c>
      <c r="K819" s="9" t="s">
        <v>1361</v>
      </c>
    </row>
    <row r="820" spans="1:11" x14ac:dyDescent="0.2">
      <c r="A820" s="9" t="s">
        <v>45</v>
      </c>
      <c r="B820" s="9" t="s">
        <v>1362</v>
      </c>
      <c r="C820" s="9"/>
      <c r="D820" s="9" t="s">
        <v>83</v>
      </c>
      <c r="E820" s="38">
        <v>11553</v>
      </c>
      <c r="F820" s="39">
        <v>0</v>
      </c>
      <c r="G820" s="40"/>
      <c r="H820" s="41"/>
      <c r="I820" s="40">
        <v>22.000519345624511</v>
      </c>
      <c r="J820" s="41"/>
      <c r="K820" s="9" t="s">
        <v>1363</v>
      </c>
    </row>
    <row r="821" spans="1:11" x14ac:dyDescent="0.2">
      <c r="A821" s="9" t="s">
        <v>45</v>
      </c>
      <c r="B821" s="9" t="s">
        <v>235</v>
      </c>
      <c r="C821" s="9"/>
      <c r="D821" s="9" t="s">
        <v>77</v>
      </c>
      <c r="E821" s="38">
        <v>3426</v>
      </c>
      <c r="F821" s="39">
        <v>2012223.2</v>
      </c>
      <c r="G821" s="40">
        <v>587.33893753648567</v>
      </c>
      <c r="H821" s="41">
        <v>7.345857273729535E-2</v>
      </c>
      <c r="I821" s="40">
        <v>74.907180385288967</v>
      </c>
      <c r="J821" s="41">
        <v>0.12753654763547109</v>
      </c>
      <c r="K821" s="9" t="s">
        <v>1364</v>
      </c>
    </row>
    <row r="822" spans="1:11" x14ac:dyDescent="0.2">
      <c r="A822" s="9" t="s">
        <v>45</v>
      </c>
      <c r="B822" s="9" t="s">
        <v>456</v>
      </c>
      <c r="C822" s="9"/>
      <c r="D822" s="9" t="s">
        <v>76</v>
      </c>
      <c r="E822" s="38">
        <v>1000</v>
      </c>
      <c r="F822" s="39">
        <v>446676.69</v>
      </c>
      <c r="G822" s="40">
        <v>446.67669000000001</v>
      </c>
      <c r="H822" s="41">
        <v>-0.1308438725193421</v>
      </c>
      <c r="I822" s="40">
        <v>53.603999999999999</v>
      </c>
      <c r="J822" s="41">
        <v>0.120006262247533</v>
      </c>
      <c r="K822" s="9" t="s">
        <v>1365</v>
      </c>
    </row>
    <row r="823" spans="1:11" x14ac:dyDescent="0.2">
      <c r="A823" s="9" t="s">
        <v>45</v>
      </c>
      <c r="B823" s="9" t="s">
        <v>242</v>
      </c>
      <c r="C823" s="9"/>
      <c r="D823" s="9" t="s">
        <v>82</v>
      </c>
      <c r="E823" s="38">
        <v>3630</v>
      </c>
      <c r="F823" s="39">
        <v>701980.79</v>
      </c>
      <c r="G823" s="40">
        <v>193.38313774104691</v>
      </c>
      <c r="H823" s="41">
        <v>-2.395201458444109E-2</v>
      </c>
      <c r="I823" s="40">
        <v>22.039669421487599</v>
      </c>
      <c r="J823" s="41">
        <v>0.11396893068826</v>
      </c>
      <c r="K823" s="9" t="s">
        <v>1366</v>
      </c>
    </row>
    <row r="824" spans="1:11" x14ac:dyDescent="0.2">
      <c r="A824" s="9" t="s">
        <v>45</v>
      </c>
      <c r="B824" s="9" t="s">
        <v>243</v>
      </c>
      <c r="C824" s="9"/>
      <c r="D824" s="9" t="s">
        <v>82</v>
      </c>
      <c r="E824" s="38">
        <v>1023</v>
      </c>
      <c r="F824" s="39">
        <v>717838.02</v>
      </c>
      <c r="G824" s="40">
        <v>701.69894428152497</v>
      </c>
      <c r="H824" s="41">
        <v>-4.2881076520862961E-2</v>
      </c>
      <c r="I824" s="40">
        <v>119.2609970674487</v>
      </c>
      <c r="J824" s="41">
        <v>0.16996034843626701</v>
      </c>
      <c r="K824" s="9" t="s">
        <v>1367</v>
      </c>
    </row>
    <row r="825" spans="1:11" x14ac:dyDescent="0.2">
      <c r="A825" s="9" t="s">
        <v>45</v>
      </c>
      <c r="B825" s="9" t="s">
        <v>1368</v>
      </c>
      <c r="C825" s="9"/>
      <c r="D825" s="9" t="s">
        <v>80</v>
      </c>
      <c r="E825" s="38">
        <v>1003</v>
      </c>
      <c r="F825" s="39">
        <v>591324.04</v>
      </c>
      <c r="G825" s="40">
        <v>589.55537387836489</v>
      </c>
      <c r="H825" s="41">
        <v>-7.086429524102654E-2</v>
      </c>
      <c r="I825" s="40">
        <v>119.82053838484551</v>
      </c>
      <c r="J825" s="41">
        <v>0.20323881978483399</v>
      </c>
      <c r="K825" s="9" t="s">
        <v>1369</v>
      </c>
    </row>
    <row r="826" spans="1:11" x14ac:dyDescent="0.2">
      <c r="A826" s="9" t="s">
        <v>45</v>
      </c>
      <c r="B826" s="9" t="s">
        <v>245</v>
      </c>
      <c r="C826" s="9"/>
      <c r="D826" s="9" t="s">
        <v>79</v>
      </c>
      <c r="E826" s="38">
        <v>992</v>
      </c>
      <c r="F826" s="39">
        <v>775134.98</v>
      </c>
      <c r="G826" s="40">
        <v>781.38606854838713</v>
      </c>
      <c r="H826" s="41">
        <v>-0.16619771430279789</v>
      </c>
      <c r="I826" s="40">
        <v>125.8548387096774</v>
      </c>
      <c r="J826" s="41">
        <v>0.16106614102230299</v>
      </c>
      <c r="K826" s="9" t="s">
        <v>1370</v>
      </c>
    </row>
    <row r="827" spans="1:11" x14ac:dyDescent="0.2">
      <c r="A827" s="9" t="s">
        <v>45</v>
      </c>
      <c r="B827" s="9" t="s">
        <v>1371</v>
      </c>
      <c r="C827" s="9"/>
      <c r="D827" s="9" t="s">
        <v>78</v>
      </c>
      <c r="E827" s="38">
        <v>192</v>
      </c>
      <c r="F827" s="39">
        <v>301094.03000000003</v>
      </c>
      <c r="G827" s="40">
        <v>1568.1980729166669</v>
      </c>
      <c r="H827" s="41">
        <v>1.34018963260585E-2</v>
      </c>
      <c r="I827" s="40">
        <v>219.9375</v>
      </c>
      <c r="J827" s="41">
        <v>0.1402485462763908</v>
      </c>
      <c r="K827" s="9" t="s">
        <v>1372</v>
      </c>
    </row>
    <row r="828" spans="1:11" x14ac:dyDescent="0.2">
      <c r="A828" s="9" t="s">
        <v>45</v>
      </c>
      <c r="B828" s="9" t="s">
        <v>247</v>
      </c>
      <c r="C828" s="9"/>
      <c r="D828" s="9" t="s">
        <v>76</v>
      </c>
      <c r="E828" s="38">
        <v>19069</v>
      </c>
      <c r="F828" s="39">
        <v>3020966.95</v>
      </c>
      <c r="G828" s="40">
        <v>158.4229351303162</v>
      </c>
      <c r="H828" s="41">
        <v>-0.1860808187901411</v>
      </c>
      <c r="I828" s="40">
        <v>12.67397346478578</v>
      </c>
      <c r="J828" s="41">
        <v>8.0000875216460071E-2</v>
      </c>
      <c r="K828" s="9" t="s">
        <v>1373</v>
      </c>
    </row>
    <row r="829" spans="1:11" x14ac:dyDescent="0.2">
      <c r="A829" s="9" t="s">
        <v>45</v>
      </c>
      <c r="B829" s="9" t="s">
        <v>1374</v>
      </c>
      <c r="C829" s="9"/>
      <c r="D829" s="9" t="s">
        <v>79</v>
      </c>
      <c r="E829" s="38">
        <v>3331</v>
      </c>
      <c r="F829" s="39">
        <v>0</v>
      </c>
      <c r="G829" s="40"/>
      <c r="H829" s="41"/>
      <c r="I829" s="40">
        <v>33.510657460222163</v>
      </c>
      <c r="J829" s="41"/>
      <c r="K829" s="9" t="s">
        <v>1375</v>
      </c>
    </row>
    <row r="830" spans="1:11" x14ac:dyDescent="0.2">
      <c r="A830" s="9" t="s">
        <v>45</v>
      </c>
      <c r="B830" s="9" t="s">
        <v>1376</v>
      </c>
      <c r="C830" s="9"/>
      <c r="D830" s="9" t="s">
        <v>78</v>
      </c>
      <c r="E830" s="38">
        <v>192</v>
      </c>
      <c r="F830" s="39">
        <v>276291.55</v>
      </c>
      <c r="G830" s="40">
        <v>1439.0184895833329</v>
      </c>
      <c r="H830" s="41"/>
      <c r="I830" s="40">
        <v>193.125</v>
      </c>
      <c r="J830" s="41">
        <v>0.13420605878102321</v>
      </c>
      <c r="K830" s="9" t="s">
        <v>1377</v>
      </c>
    </row>
    <row r="831" spans="1:11" x14ac:dyDescent="0.2">
      <c r="A831" s="9" t="s">
        <v>45</v>
      </c>
      <c r="B831" s="9" t="s">
        <v>1378</v>
      </c>
      <c r="C831" s="9"/>
      <c r="D831" s="9" t="s">
        <v>79</v>
      </c>
      <c r="E831" s="38">
        <v>1330</v>
      </c>
      <c r="F831" s="39">
        <v>433806.65</v>
      </c>
      <c r="G831" s="40">
        <v>326.17041353383462</v>
      </c>
      <c r="H831" s="41">
        <v>-0.18221666099345271</v>
      </c>
      <c r="I831" s="40">
        <v>105.14887218045109</v>
      </c>
      <c r="J831" s="41">
        <v>0.32237403460735331</v>
      </c>
      <c r="K831" s="9" t="s">
        <v>1379</v>
      </c>
    </row>
    <row r="832" spans="1:11" x14ac:dyDescent="0.2">
      <c r="A832" s="9" t="s">
        <v>45</v>
      </c>
      <c r="B832" s="9" t="s">
        <v>140</v>
      </c>
      <c r="C832" s="9"/>
      <c r="D832" s="9" t="s">
        <v>83</v>
      </c>
      <c r="E832" s="38">
        <v>5649</v>
      </c>
      <c r="F832" s="39">
        <v>2620258.38</v>
      </c>
      <c r="G832" s="40">
        <v>463.84464152947419</v>
      </c>
      <c r="H832" s="41">
        <v>0.23187504131263939</v>
      </c>
      <c r="I832" s="40">
        <v>63.560881571959627</v>
      </c>
      <c r="J832" s="41">
        <v>0.13703053971341561</v>
      </c>
      <c r="K832" s="9" t="s">
        <v>1380</v>
      </c>
    </row>
    <row r="833" spans="1:11" x14ac:dyDescent="0.2">
      <c r="A833" s="9" t="s">
        <v>45</v>
      </c>
      <c r="B833" s="9" t="s">
        <v>256</v>
      </c>
      <c r="C833" s="9"/>
      <c r="D833" s="9" t="s">
        <v>76</v>
      </c>
      <c r="E833" s="38">
        <v>1362</v>
      </c>
      <c r="F833" s="39">
        <v>789431.31</v>
      </c>
      <c r="G833" s="40">
        <v>579.61182819383259</v>
      </c>
      <c r="H833" s="41">
        <v>-0.1380556934884368</v>
      </c>
      <c r="I833" s="40">
        <v>77.092511013215855</v>
      </c>
      <c r="J833" s="41">
        <v>0.13300713902517999</v>
      </c>
      <c r="K833" s="9" t="s">
        <v>1381</v>
      </c>
    </row>
    <row r="834" spans="1:11" x14ac:dyDescent="0.2">
      <c r="A834" s="9" t="s">
        <v>45</v>
      </c>
      <c r="B834" s="9" t="s">
        <v>473</v>
      </c>
      <c r="C834" s="9"/>
      <c r="D834" s="9" t="s">
        <v>86</v>
      </c>
      <c r="E834" s="38">
        <v>102825</v>
      </c>
      <c r="F834" s="39">
        <v>3830166.73</v>
      </c>
      <c r="G834" s="40">
        <v>37.249372526136639</v>
      </c>
      <c r="H834" s="41">
        <v>-6.2408520129848917E-3</v>
      </c>
      <c r="I834" s="40">
        <v>3.0383661560904449</v>
      </c>
      <c r="J834" s="41">
        <v>8.1568250685525645E-2</v>
      </c>
      <c r="K834" s="9" t="s">
        <v>1382</v>
      </c>
    </row>
    <row r="835" spans="1:11" x14ac:dyDescent="0.2">
      <c r="A835" s="9" t="s">
        <v>45</v>
      </c>
      <c r="B835" s="9" t="s">
        <v>479</v>
      </c>
      <c r="C835" s="9"/>
      <c r="D835" s="9" t="s">
        <v>77</v>
      </c>
      <c r="E835" s="38">
        <v>5403</v>
      </c>
      <c r="F835" s="39">
        <v>2892266.14</v>
      </c>
      <c r="G835" s="40">
        <v>535.30744771423281</v>
      </c>
      <c r="H835" s="41">
        <v>0.29242072008132403</v>
      </c>
      <c r="I835" s="40">
        <v>60.517490283176024</v>
      </c>
      <c r="J835" s="41">
        <v>0.1130518369239699</v>
      </c>
      <c r="K835" s="9" t="s">
        <v>1383</v>
      </c>
    </row>
    <row r="836" spans="1:11" x14ac:dyDescent="0.2">
      <c r="A836" s="9" t="s">
        <v>45</v>
      </c>
      <c r="B836" s="9" t="s">
        <v>1384</v>
      </c>
      <c r="C836" s="9"/>
      <c r="D836" s="9" t="s">
        <v>78</v>
      </c>
      <c r="E836" s="38">
        <v>1598</v>
      </c>
      <c r="F836" s="39">
        <v>623062.9</v>
      </c>
      <c r="G836" s="40">
        <v>389.90168961201499</v>
      </c>
      <c r="H836" s="41">
        <v>-0.1295612756755771</v>
      </c>
      <c r="I836" s="40">
        <v>68.387984981226538</v>
      </c>
      <c r="J836" s="41">
        <v>0.1753980216122642</v>
      </c>
      <c r="K836" s="9" t="s">
        <v>1385</v>
      </c>
    </row>
    <row r="837" spans="1:11" x14ac:dyDescent="0.2">
      <c r="A837" s="9" t="s">
        <v>45</v>
      </c>
      <c r="B837" s="9" t="s">
        <v>267</v>
      </c>
      <c r="C837" s="9"/>
      <c r="D837" s="9" t="s">
        <v>77</v>
      </c>
      <c r="E837" s="38">
        <v>2176</v>
      </c>
      <c r="F837" s="39">
        <v>1321647.68</v>
      </c>
      <c r="G837" s="40">
        <v>607.37485294117641</v>
      </c>
      <c r="H837" s="41">
        <v>-3.1979516708411697E-2</v>
      </c>
      <c r="I837" s="40">
        <v>101.34926470588231</v>
      </c>
      <c r="J837" s="41">
        <v>0.1668644399996223</v>
      </c>
      <c r="K837" s="9" t="s">
        <v>1386</v>
      </c>
    </row>
    <row r="838" spans="1:11" x14ac:dyDescent="0.2">
      <c r="A838" s="9" t="s">
        <v>45</v>
      </c>
      <c r="B838" s="9" t="s">
        <v>484</v>
      </c>
      <c r="C838" s="9"/>
      <c r="D838" s="9" t="s">
        <v>77</v>
      </c>
      <c r="E838" s="38">
        <v>1569</v>
      </c>
      <c r="F838" s="39">
        <v>842689.96</v>
      </c>
      <c r="G838" s="40">
        <v>537.08729126832372</v>
      </c>
      <c r="H838" s="41">
        <v>4.8841257463200054E-3</v>
      </c>
      <c r="I838" s="40">
        <v>68.420650095602298</v>
      </c>
      <c r="J838" s="41">
        <v>0.12739204819765501</v>
      </c>
      <c r="K838" s="9" t="s">
        <v>1387</v>
      </c>
    </row>
    <row r="839" spans="1:11" x14ac:dyDescent="0.2">
      <c r="A839" s="9" t="s">
        <v>45</v>
      </c>
      <c r="B839" s="9" t="s">
        <v>271</v>
      </c>
      <c r="C839" s="9"/>
      <c r="D839" s="9" t="s">
        <v>78</v>
      </c>
      <c r="E839" s="38">
        <v>1583</v>
      </c>
      <c r="F839" s="39">
        <v>2711771.81</v>
      </c>
      <c r="G839" s="40">
        <v>1713.0586291850921</v>
      </c>
      <c r="H839" s="41">
        <v>2.1653978558080059E-2</v>
      </c>
      <c r="I839" s="40">
        <v>164.86923562855341</v>
      </c>
      <c r="J839" s="41">
        <v>9.6242611209974932E-2</v>
      </c>
      <c r="K839" s="9" t="s">
        <v>1388</v>
      </c>
    </row>
    <row r="840" spans="1:11" x14ac:dyDescent="0.2">
      <c r="A840" s="9" t="s">
        <v>45</v>
      </c>
      <c r="B840" s="9" t="s">
        <v>1389</v>
      </c>
      <c r="C840" s="9"/>
      <c r="D840" s="9" t="s">
        <v>79</v>
      </c>
      <c r="E840" s="38">
        <v>1303</v>
      </c>
      <c r="F840" s="39">
        <v>170272</v>
      </c>
      <c r="G840" s="40">
        <v>130.67689946277821</v>
      </c>
      <c r="H840" s="41">
        <v>-0.3696137776183146</v>
      </c>
      <c r="I840" s="40">
        <v>93.181887950882583</v>
      </c>
      <c r="J840" s="41">
        <v>0.71307085134373238</v>
      </c>
      <c r="K840" s="9" t="s">
        <v>1390</v>
      </c>
    </row>
    <row r="841" spans="1:11" x14ac:dyDescent="0.2">
      <c r="A841" s="9" t="s">
        <v>45</v>
      </c>
      <c r="B841" s="9" t="s">
        <v>1391</v>
      </c>
      <c r="C841" s="9"/>
      <c r="D841" s="9" t="s">
        <v>79</v>
      </c>
      <c r="E841" s="38">
        <v>2103</v>
      </c>
      <c r="F841" s="39">
        <v>591970.25</v>
      </c>
      <c r="G841" s="40">
        <v>281.48846885401809</v>
      </c>
      <c r="H841" s="41">
        <v>1.096358651429841E-3</v>
      </c>
      <c r="I841" s="40">
        <v>54.29386590584879</v>
      </c>
      <c r="J841" s="41">
        <v>0.1928813145593043</v>
      </c>
      <c r="K841" s="9" t="s">
        <v>1392</v>
      </c>
    </row>
    <row r="842" spans="1:11" x14ac:dyDescent="0.2">
      <c r="A842" s="9" t="s">
        <v>45</v>
      </c>
      <c r="B842" s="9" t="s">
        <v>277</v>
      </c>
      <c r="C842" s="9"/>
      <c r="D842" s="9" t="s">
        <v>76</v>
      </c>
      <c r="E842" s="38">
        <v>670</v>
      </c>
      <c r="F842" s="39">
        <v>648311.14</v>
      </c>
      <c r="G842" s="40">
        <v>967.62856716417912</v>
      </c>
      <c r="H842" s="41">
        <v>6.5688605290369337E-2</v>
      </c>
      <c r="I842" s="40">
        <v>117.67164179104481</v>
      </c>
      <c r="J842" s="41">
        <v>0.12160827592751219</v>
      </c>
      <c r="K842" s="9" t="s">
        <v>1393</v>
      </c>
    </row>
    <row r="843" spans="1:11" x14ac:dyDescent="0.2">
      <c r="A843" s="9" t="s">
        <v>45</v>
      </c>
      <c r="B843" s="9" t="s">
        <v>283</v>
      </c>
      <c r="C843" s="9"/>
      <c r="D843" s="9" t="s">
        <v>78</v>
      </c>
      <c r="E843" s="38">
        <v>800</v>
      </c>
      <c r="F843" s="39">
        <v>478642.84</v>
      </c>
      <c r="G843" s="40">
        <v>598.30355000000009</v>
      </c>
      <c r="H843" s="41">
        <v>6.8101357802506056E-3</v>
      </c>
      <c r="I843" s="40">
        <v>112.72499999999999</v>
      </c>
      <c r="J843" s="41">
        <v>0.18840770709115801</v>
      </c>
      <c r="K843" s="9" t="s">
        <v>1394</v>
      </c>
    </row>
    <row r="844" spans="1:11" x14ac:dyDescent="0.2">
      <c r="A844" s="9" t="s">
        <v>45</v>
      </c>
      <c r="B844" s="9" t="s">
        <v>502</v>
      </c>
      <c r="C844" s="9"/>
      <c r="D844" s="9" t="s">
        <v>86</v>
      </c>
      <c r="E844" s="38">
        <v>120000</v>
      </c>
      <c r="F844" s="39">
        <v>0</v>
      </c>
      <c r="G844" s="40"/>
      <c r="H844" s="41"/>
      <c r="I844" s="40">
        <v>0.45</v>
      </c>
      <c r="J844" s="41"/>
      <c r="K844" s="9" t="s">
        <v>1395</v>
      </c>
    </row>
    <row r="845" spans="1:11" x14ac:dyDescent="0.2">
      <c r="A845" s="9" t="s">
        <v>45</v>
      </c>
      <c r="B845" s="9" t="s">
        <v>1396</v>
      </c>
      <c r="C845" s="9"/>
      <c r="D845" s="9" t="s">
        <v>76</v>
      </c>
      <c r="E845" s="38">
        <v>4543</v>
      </c>
      <c r="F845" s="39">
        <v>0</v>
      </c>
      <c r="G845" s="40"/>
      <c r="H845" s="41"/>
      <c r="I845" s="40">
        <v>31.82918776139115</v>
      </c>
      <c r="J845" s="41"/>
      <c r="K845" s="9" t="s">
        <v>1397</v>
      </c>
    </row>
    <row r="846" spans="1:11" x14ac:dyDescent="0.2">
      <c r="A846" s="9" t="s">
        <v>45</v>
      </c>
      <c r="B846" s="9" t="s">
        <v>301</v>
      </c>
      <c r="C846" s="9"/>
      <c r="D846" s="9" t="s">
        <v>82</v>
      </c>
      <c r="E846" s="38">
        <v>2039</v>
      </c>
      <c r="F846" s="39">
        <v>453045.79</v>
      </c>
      <c r="G846" s="40">
        <v>222.1901863658656</v>
      </c>
      <c r="H846" s="41"/>
      <c r="I846" s="40">
        <v>41.691025012260923</v>
      </c>
      <c r="J846" s="41">
        <v>0.18763666251042749</v>
      </c>
      <c r="K846" s="9" t="s">
        <v>1398</v>
      </c>
    </row>
    <row r="847" spans="1:11" x14ac:dyDescent="0.2">
      <c r="A847" s="9" t="s">
        <v>45</v>
      </c>
      <c r="B847" s="9" t="s">
        <v>1399</v>
      </c>
      <c r="C847" s="9"/>
      <c r="D847" s="9" t="s">
        <v>84</v>
      </c>
      <c r="E847" s="38">
        <v>419</v>
      </c>
      <c r="F847" s="39">
        <v>263876.65000000002</v>
      </c>
      <c r="G847" s="40">
        <v>629.77720763723153</v>
      </c>
      <c r="H847" s="41">
        <v>0.20591986610039789</v>
      </c>
      <c r="I847" s="40">
        <v>163.76133651551311</v>
      </c>
      <c r="J847" s="41">
        <v>0.26003058626066378</v>
      </c>
      <c r="K847" s="9" t="s">
        <v>1400</v>
      </c>
    </row>
    <row r="848" spans="1:11" x14ac:dyDescent="0.2">
      <c r="A848" s="9" t="s">
        <v>45</v>
      </c>
      <c r="B848" s="9" t="s">
        <v>1399</v>
      </c>
      <c r="C848" s="9"/>
      <c r="D848" s="9" t="s">
        <v>84</v>
      </c>
      <c r="E848" s="38">
        <v>192</v>
      </c>
      <c r="F848" s="39">
        <v>66014.16</v>
      </c>
      <c r="G848" s="40">
        <v>343.82375000000002</v>
      </c>
      <c r="H848" s="41">
        <v>-7.4620052628752487E-2</v>
      </c>
      <c r="I848" s="40">
        <v>263.625</v>
      </c>
      <c r="J848" s="41">
        <v>0.76674458934265011</v>
      </c>
      <c r="K848" s="9" t="s">
        <v>1400</v>
      </c>
    </row>
    <row r="849" spans="1:11" x14ac:dyDescent="0.2">
      <c r="A849" s="9" t="s">
        <v>45</v>
      </c>
      <c r="B849" s="9" t="s">
        <v>1401</v>
      </c>
      <c r="C849" s="9"/>
      <c r="D849" s="9" t="s">
        <v>80</v>
      </c>
      <c r="E849" s="38">
        <v>591</v>
      </c>
      <c r="F849" s="39">
        <v>815850.05</v>
      </c>
      <c r="G849" s="40">
        <v>1380.456937394247</v>
      </c>
      <c r="H849" s="41">
        <v>-0.1099230269264463</v>
      </c>
      <c r="I849" s="40">
        <v>257.40101522842639</v>
      </c>
      <c r="J849" s="41">
        <v>0.1864607350333557</v>
      </c>
      <c r="K849" s="9" t="s">
        <v>1402</v>
      </c>
    </row>
    <row r="850" spans="1:11" x14ac:dyDescent="0.2">
      <c r="A850" s="9" t="s">
        <v>45</v>
      </c>
      <c r="B850" s="9" t="s">
        <v>321</v>
      </c>
      <c r="C850" s="9"/>
      <c r="D850" s="9" t="s">
        <v>78</v>
      </c>
      <c r="E850" s="38">
        <v>1041</v>
      </c>
      <c r="F850" s="39">
        <v>2060066.61</v>
      </c>
      <c r="G850" s="40">
        <v>1978.930461095101</v>
      </c>
      <c r="H850" s="41">
        <v>9.2598856377865288E-2</v>
      </c>
      <c r="I850" s="40">
        <v>143.8040345821326</v>
      </c>
      <c r="J850" s="41">
        <v>7.2667553210815833E-2</v>
      </c>
      <c r="K850" s="9" t="s">
        <v>1403</v>
      </c>
    </row>
    <row r="851" spans="1:11" x14ac:dyDescent="0.2">
      <c r="A851" s="9" t="s">
        <v>45</v>
      </c>
      <c r="B851" s="9" t="s">
        <v>1029</v>
      </c>
      <c r="C851" s="9"/>
      <c r="D851" s="9" t="s">
        <v>83</v>
      </c>
      <c r="E851" s="38">
        <v>2924</v>
      </c>
      <c r="F851" s="39">
        <v>624158.55000000005</v>
      </c>
      <c r="G851" s="40">
        <v>213.46051641586871</v>
      </c>
      <c r="H851" s="41">
        <v>-6.8396990740740737E-2</v>
      </c>
      <c r="I851" s="40">
        <v>27.61969904240766</v>
      </c>
      <c r="J851" s="41">
        <v>0.12939020061489179</v>
      </c>
      <c r="K851" s="9" t="s">
        <v>1404</v>
      </c>
    </row>
    <row r="852" spans="1:11" x14ac:dyDescent="0.2">
      <c r="A852" s="9" t="s">
        <v>45</v>
      </c>
      <c r="B852" s="9" t="s">
        <v>1405</v>
      </c>
      <c r="C852" s="9"/>
      <c r="D852" s="9" t="s">
        <v>80</v>
      </c>
      <c r="E852" s="38">
        <v>5281</v>
      </c>
      <c r="F852" s="39">
        <v>2059423.77</v>
      </c>
      <c r="G852" s="40">
        <v>389.96852300700618</v>
      </c>
      <c r="H852" s="41">
        <v>-9.6215436974727467E-2</v>
      </c>
      <c r="I852" s="40">
        <v>45.861768604430978</v>
      </c>
      <c r="J852" s="41">
        <v>0.1176037703012431</v>
      </c>
      <c r="K852" s="9" t="s">
        <v>1406</v>
      </c>
    </row>
    <row r="853" spans="1:11" x14ac:dyDescent="0.2">
      <c r="A853" s="9" t="s">
        <v>45</v>
      </c>
      <c r="B853" s="9" t="s">
        <v>339</v>
      </c>
      <c r="C853" s="9"/>
      <c r="D853" s="9" t="s">
        <v>80</v>
      </c>
      <c r="E853" s="38">
        <v>725</v>
      </c>
      <c r="F853" s="39">
        <v>514680.95</v>
      </c>
      <c r="G853" s="40">
        <v>709.90475862068968</v>
      </c>
      <c r="H853" s="41">
        <v>-0.19652401646453191</v>
      </c>
      <c r="I853" s="40">
        <v>93.28551724137931</v>
      </c>
      <c r="J853" s="41">
        <v>0.131405679576833</v>
      </c>
      <c r="K853" s="9" t="s">
        <v>1407</v>
      </c>
    </row>
    <row r="854" spans="1:11" x14ac:dyDescent="0.2">
      <c r="A854" s="9" t="s">
        <v>45</v>
      </c>
      <c r="B854" s="9" t="s">
        <v>1408</v>
      </c>
      <c r="C854" s="9"/>
      <c r="D854" s="9" t="s">
        <v>86</v>
      </c>
      <c r="E854" s="38">
        <v>15000</v>
      </c>
      <c r="F854" s="39">
        <v>0</v>
      </c>
      <c r="G854" s="40"/>
      <c r="H854" s="41"/>
      <c r="I854" s="40">
        <v>18.270399999999999</v>
      </c>
      <c r="J854" s="41"/>
      <c r="K854" s="9" t="s">
        <v>1409</v>
      </c>
    </row>
    <row r="855" spans="1:11" x14ac:dyDescent="0.2">
      <c r="A855" s="9" t="s">
        <v>45</v>
      </c>
      <c r="B855" s="9" t="s">
        <v>1410</v>
      </c>
      <c r="C855" s="9"/>
      <c r="D855" s="9" t="s">
        <v>80</v>
      </c>
      <c r="E855" s="38">
        <v>368</v>
      </c>
      <c r="F855" s="39">
        <v>292425.83</v>
      </c>
      <c r="G855" s="40">
        <v>794.63540760869569</v>
      </c>
      <c r="H855" s="41">
        <v>3.1097717110835352E-2</v>
      </c>
      <c r="I855" s="40">
        <v>170.445652173913</v>
      </c>
      <c r="J855" s="41">
        <v>0.21449541581193421</v>
      </c>
      <c r="K855" s="9" t="s">
        <v>1411</v>
      </c>
    </row>
    <row r="856" spans="1:11" x14ac:dyDescent="0.2">
      <c r="A856" s="9" t="s">
        <v>45</v>
      </c>
      <c r="B856" s="9" t="s">
        <v>1412</v>
      </c>
      <c r="C856" s="9"/>
      <c r="D856" s="9" t="s">
        <v>77</v>
      </c>
      <c r="E856" s="38">
        <v>6236</v>
      </c>
      <c r="F856" s="39">
        <v>1485530.07</v>
      </c>
      <c r="G856" s="40">
        <v>238.21842046183451</v>
      </c>
      <c r="H856" s="41">
        <v>-6.6864323546504983E-2</v>
      </c>
      <c r="I856" s="40">
        <v>23.54008980115459</v>
      </c>
      <c r="J856" s="41">
        <v>9.8817252484158735E-2</v>
      </c>
      <c r="K856" s="9" t="s">
        <v>1413</v>
      </c>
    </row>
    <row r="857" spans="1:11" x14ac:dyDescent="0.2">
      <c r="A857" s="9" t="s">
        <v>45</v>
      </c>
      <c r="B857" s="9" t="s">
        <v>355</v>
      </c>
      <c r="C857" s="9"/>
      <c r="D857" s="9" t="s">
        <v>82</v>
      </c>
      <c r="E857" s="38">
        <v>2334</v>
      </c>
      <c r="F857" s="39">
        <v>1168029.56</v>
      </c>
      <c r="G857" s="40">
        <v>500.4411139674379</v>
      </c>
      <c r="H857" s="41">
        <v>-0.14772655956911809</v>
      </c>
      <c r="I857" s="40">
        <v>82.848329048843183</v>
      </c>
      <c r="J857" s="41">
        <v>0.1655506047295584</v>
      </c>
      <c r="K857" s="9" t="s">
        <v>1414</v>
      </c>
    </row>
    <row r="858" spans="1:11" x14ac:dyDescent="0.2">
      <c r="A858" s="9" t="s">
        <v>45</v>
      </c>
      <c r="B858" s="9" t="s">
        <v>1415</v>
      </c>
      <c r="C858" s="9"/>
      <c r="D858" s="9" t="s">
        <v>86</v>
      </c>
      <c r="E858" s="38">
        <v>50302</v>
      </c>
      <c r="F858" s="39">
        <v>0</v>
      </c>
      <c r="G858" s="40"/>
      <c r="H858" s="41"/>
      <c r="I858" s="40">
        <v>18.839966601725578</v>
      </c>
      <c r="J858" s="41"/>
      <c r="K858" s="9" t="s">
        <v>1416</v>
      </c>
    </row>
    <row r="859" spans="1:11" x14ac:dyDescent="0.2">
      <c r="A859" s="9" t="s">
        <v>45</v>
      </c>
      <c r="B859" s="9" t="s">
        <v>1417</v>
      </c>
      <c r="C859" s="9"/>
      <c r="D859" s="9" t="s">
        <v>83</v>
      </c>
      <c r="E859" s="38">
        <v>2702</v>
      </c>
      <c r="F859" s="39">
        <v>708917.61</v>
      </c>
      <c r="G859" s="40">
        <v>262.36773131014058</v>
      </c>
      <c r="H859" s="41">
        <v>-1.8200012920901669E-2</v>
      </c>
      <c r="I859" s="40">
        <v>57.428571428571431</v>
      </c>
      <c r="J859" s="41">
        <v>0.21888580254058021</v>
      </c>
      <c r="K859" s="9" t="s">
        <v>1418</v>
      </c>
    </row>
    <row r="860" spans="1:11" x14ac:dyDescent="0.2">
      <c r="A860" s="9" t="s">
        <v>45</v>
      </c>
      <c r="B860" s="9" t="s">
        <v>1419</v>
      </c>
      <c r="C860" s="9"/>
      <c r="D860" s="9" t="s">
        <v>80</v>
      </c>
      <c r="E860" s="38">
        <v>627</v>
      </c>
      <c r="F860" s="39">
        <v>489988.98</v>
      </c>
      <c r="G860" s="40">
        <v>781.48162679425832</v>
      </c>
      <c r="H860" s="41">
        <v>-0.32732420040877203</v>
      </c>
      <c r="I860" s="40">
        <v>101.511961722488</v>
      </c>
      <c r="J860" s="41">
        <v>0.12989679890351821</v>
      </c>
      <c r="K860" s="9" t="s">
        <v>1420</v>
      </c>
    </row>
    <row r="861" spans="1:11" x14ac:dyDescent="0.2">
      <c r="A861" s="9" t="s">
        <v>45</v>
      </c>
      <c r="B861" s="9" t="s">
        <v>357</v>
      </c>
      <c r="C861" s="9"/>
      <c r="D861" s="9" t="s">
        <v>76</v>
      </c>
      <c r="E861" s="38">
        <v>557</v>
      </c>
      <c r="F861" s="39">
        <v>618600.86</v>
      </c>
      <c r="G861" s="40">
        <v>1110.594003590664</v>
      </c>
      <c r="H861" s="41">
        <v>-4.5281223203937473E-2</v>
      </c>
      <c r="I861" s="40">
        <v>170.3482944344704</v>
      </c>
      <c r="J861" s="41">
        <v>0.1533848498044442</v>
      </c>
      <c r="K861" s="9" t="s">
        <v>1421</v>
      </c>
    </row>
    <row r="862" spans="1:11" x14ac:dyDescent="0.2">
      <c r="A862" s="9" t="s">
        <v>45</v>
      </c>
      <c r="B862" s="9" t="s">
        <v>733</v>
      </c>
      <c r="C862" s="9"/>
      <c r="D862" s="9" t="s">
        <v>80</v>
      </c>
      <c r="E862" s="38">
        <v>920</v>
      </c>
      <c r="F862" s="39">
        <v>422649.75</v>
      </c>
      <c r="G862" s="40">
        <v>459.40190217391302</v>
      </c>
      <c r="H862" s="41"/>
      <c r="I862" s="40">
        <v>83.413043478260875</v>
      </c>
      <c r="J862" s="41">
        <v>0.18156878124262471</v>
      </c>
      <c r="K862" s="9" t="s">
        <v>1422</v>
      </c>
    </row>
    <row r="863" spans="1:11" x14ac:dyDescent="0.2">
      <c r="A863" s="9" t="s">
        <v>45</v>
      </c>
      <c r="B863" s="9" t="s">
        <v>1423</v>
      </c>
      <c r="C863" s="9"/>
      <c r="D863" s="9" t="s">
        <v>80</v>
      </c>
      <c r="E863" s="38">
        <v>428</v>
      </c>
      <c r="F863" s="39">
        <v>773763</v>
      </c>
      <c r="G863" s="40">
        <v>1807.8574766355141</v>
      </c>
      <c r="H863" s="41">
        <v>-6.701900865072382E-3</v>
      </c>
      <c r="I863" s="40">
        <v>215.15887850467291</v>
      </c>
      <c r="J863" s="41">
        <v>0.11901318620817999</v>
      </c>
      <c r="K863" s="9" t="s">
        <v>1424</v>
      </c>
    </row>
    <row r="864" spans="1:11" x14ac:dyDescent="0.2">
      <c r="A864" s="9" t="s">
        <v>45</v>
      </c>
      <c r="B864" s="9" t="s">
        <v>550</v>
      </c>
      <c r="C864" s="9"/>
      <c r="D864" s="9" t="s">
        <v>76</v>
      </c>
      <c r="E864" s="38">
        <v>4649</v>
      </c>
      <c r="F864" s="39">
        <v>953494.2</v>
      </c>
      <c r="G864" s="40">
        <v>205.09662292966229</v>
      </c>
      <c r="H864" s="41">
        <v>-0.1055934686854475</v>
      </c>
      <c r="I864" s="40">
        <v>20.030114003011398</v>
      </c>
      <c r="J864" s="41">
        <v>9.7661842096155402E-2</v>
      </c>
      <c r="K864" s="9" t="s">
        <v>1425</v>
      </c>
    </row>
    <row r="865" spans="1:11" x14ac:dyDescent="0.2">
      <c r="A865" s="9" t="s">
        <v>45</v>
      </c>
      <c r="B865" s="9" t="s">
        <v>369</v>
      </c>
      <c r="C865" s="9"/>
      <c r="D865" s="9" t="s">
        <v>84</v>
      </c>
      <c r="E865" s="38">
        <v>2611</v>
      </c>
      <c r="F865" s="39">
        <v>0</v>
      </c>
      <c r="G865" s="40"/>
      <c r="H865" s="41"/>
      <c r="I865" s="40">
        <v>52.563768671007267</v>
      </c>
      <c r="J865" s="41"/>
      <c r="K865" s="9" t="s">
        <v>1426</v>
      </c>
    </row>
    <row r="866" spans="1:11" x14ac:dyDescent="0.2">
      <c r="A866" s="9" t="s">
        <v>45</v>
      </c>
      <c r="B866" s="9" t="s">
        <v>371</v>
      </c>
      <c r="C866" s="9"/>
      <c r="D866" s="9" t="s">
        <v>76</v>
      </c>
      <c r="E866" s="38">
        <v>2500</v>
      </c>
      <c r="F866" s="39">
        <v>423391.07</v>
      </c>
      <c r="G866" s="40">
        <v>169.35642799999999</v>
      </c>
      <c r="H866" s="41">
        <v>-0.18919182636525891</v>
      </c>
      <c r="I866" s="40">
        <v>26.0016</v>
      </c>
      <c r="J866" s="41">
        <v>0.15353181634180429</v>
      </c>
      <c r="K866" s="9" t="s">
        <v>1427</v>
      </c>
    </row>
    <row r="867" spans="1:11" x14ac:dyDescent="0.2">
      <c r="A867" s="9" t="s">
        <v>45</v>
      </c>
      <c r="B867" s="9" t="s">
        <v>386</v>
      </c>
      <c r="C867" s="9"/>
      <c r="D867" s="9" t="s">
        <v>84</v>
      </c>
      <c r="E867" s="38">
        <v>192</v>
      </c>
      <c r="F867" s="39">
        <v>45222.82</v>
      </c>
      <c r="G867" s="40">
        <v>235.53552083333329</v>
      </c>
      <c r="H867" s="41">
        <v>-0.17778201479019981</v>
      </c>
      <c r="I867" s="40">
        <v>273.1875</v>
      </c>
      <c r="J867" s="41">
        <v>1.1598569041028401E-2</v>
      </c>
      <c r="K867" s="9" t="s">
        <v>1428</v>
      </c>
    </row>
    <row r="868" spans="1:11" x14ac:dyDescent="0.2">
      <c r="A868" s="9" t="s">
        <v>45</v>
      </c>
      <c r="B868" s="9" t="s">
        <v>388</v>
      </c>
      <c r="C868" s="9"/>
      <c r="D868" s="9" t="s">
        <v>76</v>
      </c>
      <c r="E868" s="38">
        <v>8978</v>
      </c>
      <c r="F868" s="39">
        <v>3377760.19</v>
      </c>
      <c r="G868" s="40">
        <v>376.22635219425263</v>
      </c>
      <c r="H868" s="41">
        <v>-9.9703732289147889E-2</v>
      </c>
      <c r="I868" s="40">
        <v>50.490086879037648</v>
      </c>
      <c r="J868" s="41">
        <v>0.13420135666884039</v>
      </c>
      <c r="K868" s="9" t="s">
        <v>1429</v>
      </c>
    </row>
    <row r="869" spans="1:11" x14ac:dyDescent="0.2">
      <c r="A869" s="9" t="s">
        <v>45</v>
      </c>
      <c r="B869" s="9" t="s">
        <v>392</v>
      </c>
      <c r="C869" s="9"/>
      <c r="D869" s="9" t="s">
        <v>76</v>
      </c>
      <c r="E869" s="38">
        <v>7410</v>
      </c>
      <c r="F869" s="39">
        <v>1386196.17</v>
      </c>
      <c r="G869" s="40">
        <v>187.07100809716599</v>
      </c>
      <c r="H869" s="41">
        <v>1.1731331816435681E-2</v>
      </c>
      <c r="I869" s="40">
        <v>21.14008097165992</v>
      </c>
      <c r="J869" s="41">
        <v>0.1130056505638737</v>
      </c>
      <c r="K869" s="9" t="s">
        <v>1430</v>
      </c>
    </row>
    <row r="870" spans="1:11" x14ac:dyDescent="0.2">
      <c r="A870" s="9" t="s">
        <v>45</v>
      </c>
      <c r="B870" s="9" t="s">
        <v>574</v>
      </c>
      <c r="C870" s="9"/>
      <c r="D870" s="9" t="s">
        <v>82</v>
      </c>
      <c r="E870" s="38">
        <v>988</v>
      </c>
      <c r="F870" s="39">
        <v>478600</v>
      </c>
      <c r="G870" s="40">
        <v>484.41295546558712</v>
      </c>
      <c r="H870" s="41">
        <v>-0.25055724402714269</v>
      </c>
      <c r="I870" s="40">
        <v>121.9919028340081</v>
      </c>
      <c r="J870" s="41">
        <v>0.25183451734224821</v>
      </c>
      <c r="K870" s="9" t="s">
        <v>1431</v>
      </c>
    </row>
    <row r="871" spans="1:11" x14ac:dyDescent="0.2">
      <c r="A871" s="9" t="s">
        <v>45</v>
      </c>
      <c r="B871" s="9" t="s">
        <v>396</v>
      </c>
      <c r="C871" s="9"/>
      <c r="D871" s="9" t="s">
        <v>78</v>
      </c>
      <c r="E871" s="38">
        <v>1252</v>
      </c>
      <c r="F871" s="39">
        <v>1697656.13</v>
      </c>
      <c r="G871" s="40">
        <v>1355.9553753993609</v>
      </c>
      <c r="H871" s="41">
        <v>-2.758153541973693E-2</v>
      </c>
      <c r="I871" s="40">
        <v>142.7444089456869</v>
      </c>
      <c r="J871" s="41">
        <v>0.1052722025631893</v>
      </c>
      <c r="K871" s="9" t="s">
        <v>1432</v>
      </c>
    </row>
    <row r="872" spans="1:11" x14ac:dyDescent="0.2">
      <c r="A872" s="9" t="s">
        <v>45</v>
      </c>
      <c r="B872" s="9" t="s">
        <v>398</v>
      </c>
      <c r="C872" s="9"/>
      <c r="D872" s="9" t="s">
        <v>76</v>
      </c>
      <c r="E872" s="38">
        <v>2869</v>
      </c>
      <c r="F872" s="39">
        <v>699291.55</v>
      </c>
      <c r="G872" s="40">
        <v>243.74051934471939</v>
      </c>
      <c r="H872" s="41">
        <v>-0.12726558708256569</v>
      </c>
      <c r="I872" s="40">
        <v>51.521784593935173</v>
      </c>
      <c r="J872" s="41">
        <v>0.211379645585593</v>
      </c>
      <c r="K872" s="9" t="s">
        <v>1433</v>
      </c>
    </row>
    <row r="873" spans="1:11" x14ac:dyDescent="0.2">
      <c r="A873" s="9" t="s">
        <v>42</v>
      </c>
      <c r="B873" s="9" t="s">
        <v>1434</v>
      </c>
      <c r="C873" s="9"/>
      <c r="D873" s="9" t="s">
        <v>81</v>
      </c>
      <c r="E873" s="38">
        <v>7775</v>
      </c>
      <c r="F873" s="39">
        <v>3158534.34</v>
      </c>
      <c r="G873" s="40">
        <v>406.24235884244371</v>
      </c>
      <c r="H873" s="41">
        <v>-6.3670254960605827E-2</v>
      </c>
      <c r="I873" s="40">
        <v>22.20721805787781</v>
      </c>
      <c r="J873" s="41">
        <v>5.4664949566449857E-2</v>
      </c>
      <c r="K873" s="9" t="s">
        <v>1435</v>
      </c>
    </row>
    <row r="874" spans="1:11" x14ac:dyDescent="0.2">
      <c r="A874" s="9" t="s">
        <v>42</v>
      </c>
      <c r="B874" s="9" t="s">
        <v>169</v>
      </c>
      <c r="C874" s="9"/>
      <c r="D874" s="9" t="s">
        <v>76</v>
      </c>
      <c r="E874" s="38">
        <v>8796</v>
      </c>
      <c r="F874" s="39">
        <v>4467611.41</v>
      </c>
      <c r="G874" s="40">
        <v>507.91398476580258</v>
      </c>
      <c r="H874" s="41">
        <v>7.1885619864415079E-2</v>
      </c>
      <c r="I874" s="40">
        <v>64.417793315143243</v>
      </c>
      <c r="J874" s="41">
        <v>0.1268281544656544</v>
      </c>
      <c r="K874" s="9" t="s">
        <v>1436</v>
      </c>
    </row>
    <row r="875" spans="1:11" x14ac:dyDescent="0.2">
      <c r="A875" s="9" t="s">
        <v>42</v>
      </c>
      <c r="B875" s="9" t="s">
        <v>1437</v>
      </c>
      <c r="C875" s="9"/>
      <c r="D875" s="9" t="s">
        <v>82</v>
      </c>
      <c r="E875" s="38">
        <v>7142</v>
      </c>
      <c r="F875" s="39">
        <v>2327758.73</v>
      </c>
      <c r="G875" s="40">
        <v>325.92533323998879</v>
      </c>
      <c r="H875" s="41">
        <v>-0.1536078334047169</v>
      </c>
      <c r="I875" s="40">
        <v>23.62816718006161</v>
      </c>
      <c r="J875" s="41">
        <v>7.2495644769851209E-2</v>
      </c>
      <c r="K875" s="9" t="s">
        <v>1438</v>
      </c>
    </row>
    <row r="876" spans="1:11" x14ac:dyDescent="0.2">
      <c r="A876" s="9" t="s">
        <v>42</v>
      </c>
      <c r="B876" s="9" t="s">
        <v>1439</v>
      </c>
      <c r="C876" s="9"/>
      <c r="D876" s="9" t="s">
        <v>83</v>
      </c>
      <c r="E876" s="38">
        <v>2279</v>
      </c>
      <c r="F876" s="39">
        <v>0</v>
      </c>
      <c r="G876" s="40"/>
      <c r="H876" s="41"/>
      <c r="I876" s="40">
        <v>45.430030715225968</v>
      </c>
      <c r="J876" s="41"/>
      <c r="K876" s="9" t="s">
        <v>1440</v>
      </c>
    </row>
    <row r="877" spans="1:11" x14ac:dyDescent="0.2">
      <c r="A877" s="9" t="s">
        <v>42</v>
      </c>
      <c r="B877" s="9" t="s">
        <v>1439</v>
      </c>
      <c r="C877" s="9"/>
      <c r="D877" s="9" t="s">
        <v>83</v>
      </c>
      <c r="E877" s="38">
        <v>3142</v>
      </c>
      <c r="F877" s="39">
        <v>0</v>
      </c>
      <c r="G877" s="40"/>
      <c r="H877" s="41"/>
      <c r="I877" s="40">
        <v>55.000025461489493</v>
      </c>
      <c r="J877" s="41"/>
      <c r="K877" s="9" t="s">
        <v>1440</v>
      </c>
    </row>
    <row r="878" spans="1:11" x14ac:dyDescent="0.2">
      <c r="A878" s="9" t="s">
        <v>42</v>
      </c>
      <c r="B878" s="9" t="s">
        <v>173</v>
      </c>
      <c r="C878" s="9"/>
      <c r="D878" s="9" t="s">
        <v>80</v>
      </c>
      <c r="E878" s="38">
        <v>768</v>
      </c>
      <c r="F878" s="39">
        <v>949566</v>
      </c>
      <c r="G878" s="40">
        <v>1236.4140625</v>
      </c>
      <c r="H878" s="41">
        <v>-8.9455585178316144E-2</v>
      </c>
      <c r="I878" s="40">
        <v>192.32962499999999</v>
      </c>
      <c r="J878" s="41">
        <v>0.15555438168594921</v>
      </c>
      <c r="K878" s="9" t="s">
        <v>1441</v>
      </c>
    </row>
    <row r="879" spans="1:11" x14ac:dyDescent="0.2">
      <c r="A879" s="9" t="s">
        <v>42</v>
      </c>
      <c r="B879" s="9" t="s">
        <v>862</v>
      </c>
      <c r="C879" s="9"/>
      <c r="D879" s="9" t="s">
        <v>83</v>
      </c>
      <c r="E879" s="38">
        <v>1937</v>
      </c>
      <c r="F879" s="39">
        <v>889189.99</v>
      </c>
      <c r="G879" s="40">
        <v>459.05523489932892</v>
      </c>
      <c r="H879" s="41">
        <v>-5.4853681047124507E-2</v>
      </c>
      <c r="I879" s="40">
        <v>42.398920702116669</v>
      </c>
      <c r="J879" s="41">
        <v>9.2361261736650893E-2</v>
      </c>
      <c r="K879" s="9" t="s">
        <v>1442</v>
      </c>
    </row>
    <row r="880" spans="1:11" x14ac:dyDescent="0.2">
      <c r="A880" s="9" t="s">
        <v>42</v>
      </c>
      <c r="B880" s="9" t="s">
        <v>1443</v>
      </c>
      <c r="C880" s="9"/>
      <c r="D880" s="9" t="s">
        <v>78</v>
      </c>
      <c r="E880" s="38">
        <v>150</v>
      </c>
      <c r="F880" s="39">
        <v>617164.43000000005</v>
      </c>
      <c r="G880" s="40">
        <v>4114.4295333333339</v>
      </c>
      <c r="H880" s="41">
        <v>-1.6615557472961489E-2</v>
      </c>
      <c r="I880" s="40">
        <v>420</v>
      </c>
      <c r="J880" s="41">
        <v>0.10207976503117649</v>
      </c>
      <c r="K880" s="9" t="s">
        <v>1444</v>
      </c>
    </row>
    <row r="881" spans="1:11" x14ac:dyDescent="0.2">
      <c r="A881" s="9" t="s">
        <v>42</v>
      </c>
      <c r="B881" s="9" t="s">
        <v>179</v>
      </c>
      <c r="C881" s="9"/>
      <c r="D881" s="9" t="s">
        <v>79</v>
      </c>
      <c r="E881" s="38">
        <v>5152</v>
      </c>
      <c r="F881" s="39">
        <v>4805968</v>
      </c>
      <c r="G881" s="40">
        <v>932.83540372670802</v>
      </c>
      <c r="H881" s="41">
        <v>-8.8805575741560411E-3</v>
      </c>
      <c r="I881" s="40">
        <v>89.026118012422359</v>
      </c>
      <c r="J881" s="41">
        <v>9.5436041188788609E-2</v>
      </c>
      <c r="K881" s="9" t="s">
        <v>1445</v>
      </c>
    </row>
    <row r="882" spans="1:11" x14ac:dyDescent="0.2">
      <c r="A882" s="9" t="s">
        <v>42</v>
      </c>
      <c r="B882" s="9" t="s">
        <v>1082</v>
      </c>
      <c r="C882" s="9"/>
      <c r="D882" s="9" t="s">
        <v>86</v>
      </c>
      <c r="E882" s="38">
        <v>140000</v>
      </c>
      <c r="F882" s="39">
        <v>0</v>
      </c>
      <c r="G882" s="40"/>
      <c r="H882" s="41"/>
      <c r="I882" s="40">
        <v>0.95000057142856986</v>
      </c>
      <c r="J882" s="41"/>
      <c r="K882" s="9" t="s">
        <v>1446</v>
      </c>
    </row>
    <row r="883" spans="1:11" x14ac:dyDescent="0.2">
      <c r="A883" s="9" t="s">
        <v>42</v>
      </c>
      <c r="B883" s="9" t="s">
        <v>1447</v>
      </c>
      <c r="C883" s="9"/>
      <c r="D883" s="9" t="s">
        <v>83</v>
      </c>
      <c r="E883" s="38">
        <v>4</v>
      </c>
      <c r="F883" s="39">
        <v>0</v>
      </c>
      <c r="G883" s="40"/>
      <c r="H883" s="41"/>
      <c r="I883" s="40">
        <v>1200</v>
      </c>
      <c r="J883" s="41"/>
      <c r="K883" s="9" t="s">
        <v>1448</v>
      </c>
    </row>
    <row r="884" spans="1:11" x14ac:dyDescent="0.2">
      <c r="A884" s="9" t="s">
        <v>42</v>
      </c>
      <c r="B884" s="9" t="s">
        <v>868</v>
      </c>
      <c r="C884" s="9"/>
      <c r="D884" s="9" t="s">
        <v>85</v>
      </c>
      <c r="E884" s="38">
        <v>15187</v>
      </c>
      <c r="F884" s="39">
        <v>1761524.54</v>
      </c>
      <c r="G884" s="40">
        <v>115.98897346414699</v>
      </c>
      <c r="H884" s="41">
        <v>-1.0742945771019551E-2</v>
      </c>
      <c r="I884" s="40">
        <v>12.818919523276479</v>
      </c>
      <c r="J884" s="41">
        <v>0.11051843240287761</v>
      </c>
      <c r="K884" s="9" t="s">
        <v>1449</v>
      </c>
    </row>
    <row r="885" spans="1:11" x14ac:dyDescent="0.2">
      <c r="A885" s="9" t="s">
        <v>42</v>
      </c>
      <c r="B885" s="9" t="s">
        <v>187</v>
      </c>
      <c r="C885" s="9"/>
      <c r="D885" s="9" t="s">
        <v>76</v>
      </c>
      <c r="E885" s="38">
        <v>3584</v>
      </c>
      <c r="F885" s="39">
        <v>803316.28</v>
      </c>
      <c r="G885" s="40">
        <v>224.1395870535714</v>
      </c>
      <c r="H885" s="41">
        <v>-0.1222384523136318</v>
      </c>
      <c r="I885" s="40">
        <v>23.621651785714281</v>
      </c>
      <c r="J885" s="41">
        <v>0.1053881293181311</v>
      </c>
      <c r="K885" s="9" t="s">
        <v>1450</v>
      </c>
    </row>
    <row r="886" spans="1:11" x14ac:dyDescent="0.2">
      <c r="A886" s="9" t="s">
        <v>42</v>
      </c>
      <c r="B886" s="9" t="s">
        <v>191</v>
      </c>
      <c r="C886" s="9"/>
      <c r="D886" s="9" t="s">
        <v>76</v>
      </c>
      <c r="E886" s="38">
        <v>5344</v>
      </c>
      <c r="F886" s="39">
        <v>2061645.86</v>
      </c>
      <c r="G886" s="40">
        <v>385.78702470059881</v>
      </c>
      <c r="H886" s="41">
        <v>-2.6001858753416769E-2</v>
      </c>
      <c r="I886" s="40">
        <v>64.411622380239507</v>
      </c>
      <c r="J886" s="41">
        <v>0.16696160901271381</v>
      </c>
      <c r="K886" s="9" t="s">
        <v>1451</v>
      </c>
    </row>
    <row r="887" spans="1:11" x14ac:dyDescent="0.2">
      <c r="A887" s="9" t="s">
        <v>42</v>
      </c>
      <c r="B887" s="9" t="s">
        <v>1452</v>
      </c>
      <c r="C887" s="9"/>
      <c r="D887" s="9" t="s">
        <v>83</v>
      </c>
      <c r="E887" s="38">
        <v>42065</v>
      </c>
      <c r="F887" s="39">
        <v>0</v>
      </c>
      <c r="G887" s="40"/>
      <c r="H887" s="41"/>
      <c r="I887" s="40">
        <v>8.5581837632235827E-2</v>
      </c>
      <c r="J887" s="41"/>
      <c r="K887" s="9" t="s">
        <v>1453</v>
      </c>
    </row>
    <row r="888" spans="1:11" x14ac:dyDescent="0.2">
      <c r="A888" s="9" t="s">
        <v>42</v>
      </c>
      <c r="B888" s="9" t="s">
        <v>1452</v>
      </c>
      <c r="C888" s="9"/>
      <c r="D888" s="9" t="s">
        <v>83</v>
      </c>
      <c r="E888" s="38">
        <v>10000</v>
      </c>
      <c r="F888" s="39">
        <v>0</v>
      </c>
      <c r="G888" s="40"/>
      <c r="H888" s="41"/>
      <c r="I888" s="40">
        <v>0.43559999999999999</v>
      </c>
      <c r="J888" s="41"/>
      <c r="K888" s="9" t="s">
        <v>1453</v>
      </c>
    </row>
    <row r="889" spans="1:11" x14ac:dyDescent="0.2">
      <c r="A889" s="9" t="s">
        <v>42</v>
      </c>
      <c r="B889" s="9" t="s">
        <v>200</v>
      </c>
      <c r="C889" s="9"/>
      <c r="D889" s="9" t="s">
        <v>77</v>
      </c>
      <c r="E889" s="38">
        <v>4480</v>
      </c>
      <c r="F889" s="39">
        <v>1386857.88</v>
      </c>
      <c r="G889" s="40">
        <v>309.56649107142857</v>
      </c>
      <c r="H889" s="41">
        <v>-8.4208885955957699E-2</v>
      </c>
      <c r="I889" s="40">
        <v>30.956649107142859</v>
      </c>
      <c r="J889" s="41">
        <v>9.9999999999999992E-2</v>
      </c>
      <c r="K889" s="9" t="s">
        <v>1454</v>
      </c>
    </row>
    <row r="890" spans="1:11" x14ac:dyDescent="0.2">
      <c r="A890" s="9" t="s">
        <v>42</v>
      </c>
      <c r="B890" s="9" t="s">
        <v>202</v>
      </c>
      <c r="C890" s="9"/>
      <c r="D890" s="9" t="s">
        <v>81</v>
      </c>
      <c r="E890" s="38">
        <v>759</v>
      </c>
      <c r="F890" s="39">
        <v>1468331.05</v>
      </c>
      <c r="G890" s="40">
        <v>1934.560013175231</v>
      </c>
      <c r="H890" s="41"/>
      <c r="I890" s="40">
        <v>275.20818181818191</v>
      </c>
      <c r="J890" s="41">
        <v>0.1422587978371771</v>
      </c>
      <c r="K890" s="9" t="s">
        <v>1455</v>
      </c>
    </row>
    <row r="891" spans="1:11" x14ac:dyDescent="0.2">
      <c r="A891" s="9" t="s">
        <v>42</v>
      </c>
      <c r="B891" s="9" t="s">
        <v>877</v>
      </c>
      <c r="C891" s="9"/>
      <c r="D891" s="9" t="s">
        <v>76</v>
      </c>
      <c r="E891" s="38">
        <v>7000</v>
      </c>
      <c r="F891" s="39">
        <v>1083287.57</v>
      </c>
      <c r="G891" s="40">
        <v>154.75536714285721</v>
      </c>
      <c r="H891" s="41">
        <v>4.9025526993357077E-2</v>
      </c>
      <c r="I891" s="40">
        <v>15.47553671428572</v>
      </c>
      <c r="J891" s="41">
        <v>0.1</v>
      </c>
      <c r="K891" s="9" t="s">
        <v>1456</v>
      </c>
    </row>
    <row r="892" spans="1:11" x14ac:dyDescent="0.2">
      <c r="A892" s="9" t="s">
        <v>42</v>
      </c>
      <c r="B892" s="9" t="s">
        <v>432</v>
      </c>
      <c r="C892" s="9"/>
      <c r="D892" s="9" t="s">
        <v>81</v>
      </c>
      <c r="E892" s="38">
        <v>1119</v>
      </c>
      <c r="F892" s="39">
        <v>1884729.51</v>
      </c>
      <c r="G892" s="40">
        <v>1684.2980428954429</v>
      </c>
      <c r="H892" s="41">
        <v>1.901468150617195E-2</v>
      </c>
      <c r="I892" s="40">
        <v>127.39707238605899</v>
      </c>
      <c r="J892" s="41">
        <v>7.5638081349933342E-2</v>
      </c>
      <c r="K892" s="9" t="s">
        <v>1457</v>
      </c>
    </row>
    <row r="893" spans="1:11" x14ac:dyDescent="0.2">
      <c r="A893" s="9" t="s">
        <v>42</v>
      </c>
      <c r="B893" s="9" t="s">
        <v>1458</v>
      </c>
      <c r="C893" s="9"/>
      <c r="D893" s="9" t="s">
        <v>80</v>
      </c>
      <c r="E893" s="38">
        <v>759</v>
      </c>
      <c r="F893" s="39">
        <v>1857702.52</v>
      </c>
      <c r="G893" s="40">
        <v>2447.5659025032942</v>
      </c>
      <c r="H893" s="41"/>
      <c r="I893" s="40">
        <v>340.11948616600779</v>
      </c>
      <c r="J893" s="41">
        <v>0.1389623404289724</v>
      </c>
      <c r="K893" s="9" t="s">
        <v>1459</v>
      </c>
    </row>
    <row r="894" spans="1:11" x14ac:dyDescent="0.2">
      <c r="A894" s="9" t="s">
        <v>42</v>
      </c>
      <c r="B894" s="9" t="s">
        <v>1460</v>
      </c>
      <c r="C894" s="9"/>
      <c r="D894" s="9" t="s">
        <v>81</v>
      </c>
      <c r="E894" s="38">
        <v>707</v>
      </c>
      <c r="F894" s="39">
        <v>0</v>
      </c>
      <c r="G894" s="40"/>
      <c r="H894" s="41"/>
      <c r="I894" s="40">
        <v>112.0399994342291</v>
      </c>
      <c r="J894" s="41"/>
      <c r="K894" s="9" t="s">
        <v>1461</v>
      </c>
    </row>
    <row r="895" spans="1:11" x14ac:dyDescent="0.2">
      <c r="A895" s="9" t="s">
        <v>42</v>
      </c>
      <c r="B895" s="9" t="s">
        <v>1096</v>
      </c>
      <c r="C895" s="9"/>
      <c r="D895" s="9" t="s">
        <v>85</v>
      </c>
      <c r="E895" s="38">
        <v>51788</v>
      </c>
      <c r="F895" s="39">
        <v>8931359.8900000006</v>
      </c>
      <c r="G895" s="40">
        <v>172.46002722638451</v>
      </c>
      <c r="H895" s="41">
        <v>4.3884313993130787E-2</v>
      </c>
      <c r="I895" s="40">
        <v>22.15007317139106</v>
      </c>
      <c r="J895" s="41">
        <v>0.12843598326883679</v>
      </c>
      <c r="K895" s="9" t="s">
        <v>1462</v>
      </c>
    </row>
    <row r="896" spans="1:11" x14ac:dyDescent="0.2">
      <c r="A896" s="9" t="s">
        <v>42</v>
      </c>
      <c r="B896" s="9" t="s">
        <v>206</v>
      </c>
      <c r="C896" s="9"/>
      <c r="D896" s="9" t="s">
        <v>80</v>
      </c>
      <c r="E896" s="38">
        <v>231</v>
      </c>
      <c r="F896" s="39">
        <v>383496</v>
      </c>
      <c r="G896" s="40">
        <v>1660.1558441558441</v>
      </c>
      <c r="H896" s="41">
        <v>-8.5651518147961944E-2</v>
      </c>
      <c r="I896" s="40">
        <v>262.64999999999998</v>
      </c>
      <c r="J896" s="41">
        <v>0.158208038675762</v>
      </c>
      <c r="K896" s="9" t="s">
        <v>1463</v>
      </c>
    </row>
    <row r="897" spans="1:11" x14ac:dyDescent="0.2">
      <c r="A897" s="9" t="s">
        <v>42</v>
      </c>
      <c r="B897" s="9" t="s">
        <v>208</v>
      </c>
      <c r="C897" s="9"/>
      <c r="D897" s="9" t="s">
        <v>78</v>
      </c>
      <c r="E897" s="38">
        <v>2000</v>
      </c>
      <c r="F897" s="39">
        <v>850829.16000000015</v>
      </c>
      <c r="G897" s="40">
        <v>425.41458000000011</v>
      </c>
      <c r="H897" s="41">
        <v>-0.1014441236652939</v>
      </c>
      <c r="I897" s="40">
        <v>51.049749600000013</v>
      </c>
      <c r="J897" s="41">
        <v>0.12</v>
      </c>
      <c r="K897" s="9" t="s">
        <v>1464</v>
      </c>
    </row>
    <row r="898" spans="1:11" x14ac:dyDescent="0.2">
      <c r="A898" s="9" t="s">
        <v>42</v>
      </c>
      <c r="B898" s="9" t="s">
        <v>1465</v>
      </c>
      <c r="C898" s="9"/>
      <c r="D898" s="9" t="s">
        <v>81</v>
      </c>
      <c r="E898" s="38">
        <v>9884</v>
      </c>
      <c r="F898" s="39">
        <v>0</v>
      </c>
      <c r="G898" s="40"/>
      <c r="H898" s="41"/>
      <c r="I898" s="40">
        <v>23.96507082152975</v>
      </c>
      <c r="J898" s="41"/>
      <c r="K898" s="9" t="s">
        <v>1466</v>
      </c>
    </row>
    <row r="899" spans="1:11" x14ac:dyDescent="0.2">
      <c r="A899" s="9" t="s">
        <v>42</v>
      </c>
      <c r="B899" s="9" t="s">
        <v>1467</v>
      </c>
      <c r="C899" s="9"/>
      <c r="D899" s="9" t="s">
        <v>85</v>
      </c>
      <c r="E899" s="38">
        <v>25151</v>
      </c>
      <c r="F899" s="39">
        <v>0</v>
      </c>
      <c r="G899" s="40"/>
      <c r="H899" s="41"/>
      <c r="I899" s="40">
        <v>15.647849803188739</v>
      </c>
      <c r="J899" s="41"/>
      <c r="K899" s="9" t="s">
        <v>1468</v>
      </c>
    </row>
    <row r="900" spans="1:11" x14ac:dyDescent="0.2">
      <c r="A900" s="9" t="s">
        <v>42</v>
      </c>
      <c r="B900" s="9" t="s">
        <v>1469</v>
      </c>
      <c r="C900" s="9"/>
      <c r="D900" s="9" t="s">
        <v>76</v>
      </c>
      <c r="E900" s="38">
        <v>1000</v>
      </c>
      <c r="F900" s="39">
        <v>160351</v>
      </c>
      <c r="G900" s="40">
        <v>160.351</v>
      </c>
      <c r="H900" s="41">
        <v>0.44448756622623647</v>
      </c>
      <c r="I900" s="40">
        <v>76.384799999999998</v>
      </c>
      <c r="J900" s="41">
        <v>0.47635998528228701</v>
      </c>
      <c r="K900" s="9" t="s">
        <v>1470</v>
      </c>
    </row>
    <row r="901" spans="1:11" x14ac:dyDescent="0.2">
      <c r="A901" s="9" t="s">
        <v>42</v>
      </c>
      <c r="B901" s="9" t="s">
        <v>766</v>
      </c>
      <c r="C901" s="9"/>
      <c r="D901" s="9" t="s">
        <v>86</v>
      </c>
      <c r="E901" s="38">
        <v>79140</v>
      </c>
      <c r="F901" s="39">
        <v>0</v>
      </c>
      <c r="G901" s="40"/>
      <c r="H901" s="41">
        <v>6.8866707671197055E-2</v>
      </c>
      <c r="I901" s="40">
        <v>17.08302991660349</v>
      </c>
      <c r="J901" s="41"/>
      <c r="K901" s="9" t="s">
        <v>1471</v>
      </c>
    </row>
    <row r="902" spans="1:11" x14ac:dyDescent="0.2">
      <c r="A902" s="9" t="s">
        <v>42</v>
      </c>
      <c r="B902" s="9" t="s">
        <v>888</v>
      </c>
      <c r="C902" s="9"/>
      <c r="D902" s="9" t="s">
        <v>86</v>
      </c>
      <c r="E902" s="38">
        <v>159982</v>
      </c>
      <c r="F902" s="39">
        <v>0</v>
      </c>
      <c r="G902" s="40"/>
      <c r="H902" s="41">
        <v>-1.388050573157752E-2</v>
      </c>
      <c r="I902" s="40">
        <v>0.45465764898551098</v>
      </c>
      <c r="J902" s="41"/>
      <c r="K902" s="9" t="s">
        <v>1472</v>
      </c>
    </row>
    <row r="903" spans="1:11" x14ac:dyDescent="0.2">
      <c r="A903" s="9" t="s">
        <v>42</v>
      </c>
      <c r="B903" s="9" t="s">
        <v>1359</v>
      </c>
      <c r="C903" s="9"/>
      <c r="D903" s="9" t="s">
        <v>77</v>
      </c>
      <c r="E903" s="38">
        <v>3514</v>
      </c>
      <c r="F903" s="39">
        <v>1698190.58</v>
      </c>
      <c r="G903" s="40">
        <v>483.26425156516791</v>
      </c>
      <c r="H903" s="41">
        <v>-0.1114686638644634</v>
      </c>
      <c r="I903" s="40">
        <v>75.51842287990894</v>
      </c>
      <c r="J903" s="41">
        <v>0.15626734780262411</v>
      </c>
      <c r="K903" s="9" t="s">
        <v>1473</v>
      </c>
    </row>
    <row r="904" spans="1:11" x14ac:dyDescent="0.2">
      <c r="A904" s="9" t="s">
        <v>42</v>
      </c>
      <c r="B904" s="9" t="s">
        <v>445</v>
      </c>
      <c r="C904" s="9"/>
      <c r="D904" s="9" t="s">
        <v>82</v>
      </c>
      <c r="E904" s="38">
        <v>3359</v>
      </c>
      <c r="F904" s="39">
        <v>548245.82999999996</v>
      </c>
      <c r="G904" s="40">
        <v>163.21697826734149</v>
      </c>
      <c r="H904" s="41">
        <v>-0.20531032104831171</v>
      </c>
      <c r="I904" s="40">
        <v>37.787757785055078</v>
      </c>
      <c r="J904" s="41">
        <v>0.23151854780181369</v>
      </c>
      <c r="K904" s="9" t="s">
        <v>1474</v>
      </c>
    </row>
    <row r="905" spans="1:11" x14ac:dyDescent="0.2">
      <c r="A905" s="9" t="s">
        <v>42</v>
      </c>
      <c r="B905" s="9" t="s">
        <v>231</v>
      </c>
      <c r="C905" s="9"/>
      <c r="D905" s="9" t="s">
        <v>76</v>
      </c>
      <c r="E905" s="38">
        <v>8000</v>
      </c>
      <c r="F905" s="39">
        <v>1685335.83</v>
      </c>
      <c r="G905" s="40">
        <v>210.66697875</v>
      </c>
      <c r="H905" s="41">
        <v>-0.19466459155503749</v>
      </c>
      <c r="I905" s="40">
        <v>12.640018724999999</v>
      </c>
      <c r="J905" s="41">
        <v>0.06</v>
      </c>
      <c r="K905" s="9" t="s">
        <v>1475</v>
      </c>
    </row>
    <row r="906" spans="1:11" x14ac:dyDescent="0.2">
      <c r="A906" s="9" t="s">
        <v>42</v>
      </c>
      <c r="B906" s="9" t="s">
        <v>895</v>
      </c>
      <c r="C906" s="9"/>
      <c r="D906" s="9" t="s">
        <v>77</v>
      </c>
      <c r="E906" s="38">
        <v>4480</v>
      </c>
      <c r="F906" s="39">
        <v>1984084.53</v>
      </c>
      <c r="G906" s="40">
        <v>442.8760111607142</v>
      </c>
      <c r="H906" s="41">
        <v>6.8127154862870451E-2</v>
      </c>
      <c r="I906" s="40">
        <v>64.64705892857144</v>
      </c>
      <c r="J906" s="41">
        <v>0.14597101062019779</v>
      </c>
      <c r="K906" s="9" t="s">
        <v>1476</v>
      </c>
    </row>
    <row r="907" spans="1:11" x14ac:dyDescent="0.2">
      <c r="A907" s="9" t="s">
        <v>42</v>
      </c>
      <c r="B907" s="9" t="s">
        <v>1477</v>
      </c>
      <c r="C907" s="9"/>
      <c r="D907" s="9" t="s">
        <v>85</v>
      </c>
      <c r="E907" s="38">
        <v>10969</v>
      </c>
      <c r="F907" s="39">
        <v>0</v>
      </c>
      <c r="G907" s="40"/>
      <c r="H907" s="41"/>
      <c r="I907" s="40">
        <v>26.00000003646641</v>
      </c>
      <c r="J907" s="41"/>
      <c r="K907" s="9" t="s">
        <v>1478</v>
      </c>
    </row>
    <row r="908" spans="1:11" x14ac:dyDescent="0.2">
      <c r="A908" s="9" t="s">
        <v>42</v>
      </c>
      <c r="B908" s="9" t="s">
        <v>235</v>
      </c>
      <c r="C908" s="9"/>
      <c r="D908" s="9" t="s">
        <v>77</v>
      </c>
      <c r="E908" s="38">
        <v>4387</v>
      </c>
      <c r="F908" s="39">
        <v>1630208.45</v>
      </c>
      <c r="G908" s="40">
        <v>371.59982904034649</v>
      </c>
      <c r="H908" s="41">
        <v>-8.6285808735663605E-2</v>
      </c>
      <c r="I908" s="40">
        <v>64.033015090038759</v>
      </c>
      <c r="J908" s="41">
        <v>0.1723171274201161</v>
      </c>
      <c r="K908" s="9" t="s">
        <v>1479</v>
      </c>
    </row>
    <row r="909" spans="1:11" x14ac:dyDescent="0.2">
      <c r="A909" s="9" t="s">
        <v>42</v>
      </c>
      <c r="B909" s="9" t="s">
        <v>243</v>
      </c>
      <c r="C909" s="9"/>
      <c r="D909" s="9" t="s">
        <v>82</v>
      </c>
      <c r="E909" s="38">
        <v>1218</v>
      </c>
      <c r="F909" s="39">
        <v>967554.6100000001</v>
      </c>
      <c r="G909" s="40">
        <v>794.37981116584569</v>
      </c>
      <c r="H909" s="41">
        <v>-0.270490750050844</v>
      </c>
      <c r="I909" s="40">
        <v>95.481116256157634</v>
      </c>
      <c r="J909" s="41">
        <v>0.1201957991807821</v>
      </c>
      <c r="K909" s="9" t="s">
        <v>1480</v>
      </c>
    </row>
    <row r="910" spans="1:11" x14ac:dyDescent="0.2">
      <c r="A910" s="9" t="s">
        <v>42</v>
      </c>
      <c r="B910" s="9" t="s">
        <v>1481</v>
      </c>
      <c r="C910" s="9"/>
      <c r="D910" s="9" t="s">
        <v>79</v>
      </c>
      <c r="E910" s="38">
        <v>1214</v>
      </c>
      <c r="F910" s="39">
        <v>125824</v>
      </c>
      <c r="G910" s="40">
        <v>103.6441515650741</v>
      </c>
      <c r="H910" s="41">
        <v>1.5765350067675651E-2</v>
      </c>
      <c r="I910" s="40">
        <v>44.481054365733122</v>
      </c>
      <c r="J910" s="41">
        <v>0.4291709053916582</v>
      </c>
      <c r="K910" s="9" t="s">
        <v>1482</v>
      </c>
    </row>
    <row r="911" spans="1:11" x14ac:dyDescent="0.2">
      <c r="A911" s="9" t="s">
        <v>42</v>
      </c>
      <c r="B911" s="9" t="s">
        <v>245</v>
      </c>
      <c r="C911" s="9"/>
      <c r="D911" s="9" t="s">
        <v>79</v>
      </c>
      <c r="E911" s="38">
        <v>1203</v>
      </c>
      <c r="F911" s="39">
        <v>383699.12</v>
      </c>
      <c r="G911" s="40">
        <v>318.95188694929351</v>
      </c>
      <c r="H911" s="41">
        <v>-0.23710434000754169</v>
      </c>
      <c r="I911" s="40">
        <v>52.370088778054871</v>
      </c>
      <c r="J911" s="41">
        <v>0.1641943218425938</v>
      </c>
      <c r="K911" s="9" t="s">
        <v>1483</v>
      </c>
    </row>
    <row r="912" spans="1:11" x14ac:dyDescent="0.2">
      <c r="A912" s="9" t="s">
        <v>42</v>
      </c>
      <c r="B912" s="9" t="s">
        <v>247</v>
      </c>
      <c r="C912" s="9"/>
      <c r="D912" s="9" t="s">
        <v>76</v>
      </c>
      <c r="E912" s="38">
        <v>20175</v>
      </c>
      <c r="F912" s="39">
        <v>2656356.5699999998</v>
      </c>
      <c r="G912" s="40">
        <v>131.66575315985131</v>
      </c>
      <c r="H912" s="41">
        <v>-0.1034003298376521</v>
      </c>
      <c r="I912" s="40">
        <v>7.8999451895910786</v>
      </c>
      <c r="J912" s="41">
        <v>0.06</v>
      </c>
      <c r="K912" s="9" t="s">
        <v>1484</v>
      </c>
    </row>
    <row r="913" spans="1:11" x14ac:dyDescent="0.2">
      <c r="A913" s="9" t="s">
        <v>42</v>
      </c>
      <c r="B913" s="9" t="s">
        <v>1485</v>
      </c>
      <c r="C913" s="9"/>
      <c r="D913" s="9" t="s">
        <v>83</v>
      </c>
      <c r="E913" s="38">
        <v>66000</v>
      </c>
      <c r="F913" s="39">
        <v>0</v>
      </c>
      <c r="G913" s="40"/>
      <c r="H913" s="41"/>
      <c r="I913" s="40">
        <v>8.0666672727272723E-2</v>
      </c>
      <c r="J913" s="41"/>
      <c r="K913" s="9" t="s">
        <v>1486</v>
      </c>
    </row>
    <row r="914" spans="1:11" x14ac:dyDescent="0.2">
      <c r="A914" s="9" t="s">
        <v>42</v>
      </c>
      <c r="B914" s="9" t="s">
        <v>140</v>
      </c>
      <c r="C914" s="9"/>
      <c r="D914" s="9" t="s">
        <v>83</v>
      </c>
      <c r="E914" s="38">
        <v>5936</v>
      </c>
      <c r="F914" s="39">
        <v>2368972.37</v>
      </c>
      <c r="G914" s="40">
        <v>399.08564184636111</v>
      </c>
      <c r="H914" s="41">
        <v>0.2077508619495243</v>
      </c>
      <c r="I914" s="40">
        <v>27.935994929245279</v>
      </c>
      <c r="J914" s="41">
        <v>7.0000000000000007E-2</v>
      </c>
      <c r="K914" s="9" t="s">
        <v>1487</v>
      </c>
    </row>
    <row r="915" spans="1:11" x14ac:dyDescent="0.2">
      <c r="A915" s="9" t="s">
        <v>42</v>
      </c>
      <c r="B915" s="9" t="s">
        <v>1488</v>
      </c>
      <c r="C915" s="9"/>
      <c r="D915" s="9" t="s">
        <v>83</v>
      </c>
      <c r="E915" s="38">
        <v>1</v>
      </c>
      <c r="F915" s="39">
        <v>0</v>
      </c>
      <c r="G915" s="40"/>
      <c r="H915" s="41"/>
      <c r="I915" s="40">
        <v>5499.9996000000001</v>
      </c>
      <c r="J915" s="41"/>
      <c r="K915" s="9" t="s">
        <v>1489</v>
      </c>
    </row>
    <row r="916" spans="1:11" x14ac:dyDescent="0.2">
      <c r="A916" s="9" t="s">
        <v>42</v>
      </c>
      <c r="B916" s="9" t="s">
        <v>256</v>
      </c>
      <c r="C916" s="9"/>
      <c r="D916" s="9" t="s">
        <v>76</v>
      </c>
      <c r="E916" s="38">
        <v>1685</v>
      </c>
      <c r="F916" s="39">
        <v>848806.91</v>
      </c>
      <c r="G916" s="40">
        <v>503.74297329376861</v>
      </c>
      <c r="H916" s="41">
        <v>-0.1152690783087808</v>
      </c>
      <c r="I916" s="40">
        <v>50.445103620178038</v>
      </c>
      <c r="J916" s="41">
        <v>0.1001405603542978</v>
      </c>
      <c r="K916" s="9" t="s">
        <v>1490</v>
      </c>
    </row>
    <row r="917" spans="1:11" x14ac:dyDescent="0.2">
      <c r="A917" s="9" t="s">
        <v>42</v>
      </c>
      <c r="B917" s="9" t="s">
        <v>1491</v>
      </c>
      <c r="C917" s="9"/>
      <c r="D917" s="9" t="s">
        <v>84</v>
      </c>
      <c r="E917" s="38">
        <v>1145</v>
      </c>
      <c r="F917" s="39">
        <v>0</v>
      </c>
      <c r="G917" s="40"/>
      <c r="H917" s="41">
        <v>1.373226665777307E-2</v>
      </c>
      <c r="I917" s="40">
        <v>71.52692751091702</v>
      </c>
      <c r="J917" s="41"/>
      <c r="K917" s="9" t="s">
        <v>1492</v>
      </c>
    </row>
    <row r="918" spans="1:11" x14ac:dyDescent="0.2">
      <c r="A918" s="9" t="s">
        <v>42</v>
      </c>
      <c r="B918" s="9" t="s">
        <v>1493</v>
      </c>
      <c r="C918" s="9"/>
      <c r="D918" s="9" t="s">
        <v>78</v>
      </c>
      <c r="E918" s="38">
        <v>1218</v>
      </c>
      <c r="F918" s="39">
        <v>396580</v>
      </c>
      <c r="G918" s="40">
        <v>325.59934318555008</v>
      </c>
      <c r="H918" s="41">
        <v>7.1342372881355934E-2</v>
      </c>
      <c r="I918" s="40">
        <v>67.966354679802961</v>
      </c>
      <c r="J918" s="41">
        <v>0.20874229663623989</v>
      </c>
      <c r="K918" s="9" t="s">
        <v>1494</v>
      </c>
    </row>
    <row r="919" spans="1:11" x14ac:dyDescent="0.2">
      <c r="A919" s="9" t="s">
        <v>42</v>
      </c>
      <c r="B919" s="9" t="s">
        <v>473</v>
      </c>
      <c r="C919" s="9"/>
      <c r="D919" s="9" t="s">
        <v>86</v>
      </c>
      <c r="E919" s="38">
        <v>103911</v>
      </c>
      <c r="F919" s="39">
        <v>0</v>
      </c>
      <c r="G919" s="40"/>
      <c r="H919" s="41">
        <v>-4.5454548472870927E-2</v>
      </c>
      <c r="I919" s="40">
        <v>2.979069780870168</v>
      </c>
      <c r="J919" s="41"/>
      <c r="K919" s="9" t="s">
        <v>1495</v>
      </c>
    </row>
    <row r="920" spans="1:11" x14ac:dyDescent="0.2">
      <c r="A920" s="9" t="s">
        <v>42</v>
      </c>
      <c r="B920" s="9" t="s">
        <v>267</v>
      </c>
      <c r="C920" s="9"/>
      <c r="D920" s="9" t="s">
        <v>77</v>
      </c>
      <c r="E920" s="38">
        <v>1863</v>
      </c>
      <c r="F920" s="39">
        <v>1763357.87</v>
      </c>
      <c r="G920" s="40">
        <v>946.51522812667758</v>
      </c>
      <c r="H920" s="41">
        <v>4.4437874380412939E-2</v>
      </c>
      <c r="I920" s="40">
        <v>126.123260547504</v>
      </c>
      <c r="J920" s="41">
        <v>0.13325011241195181</v>
      </c>
      <c r="K920" s="9" t="s">
        <v>1496</v>
      </c>
    </row>
    <row r="921" spans="1:11" x14ac:dyDescent="0.2">
      <c r="A921" s="9" t="s">
        <v>42</v>
      </c>
      <c r="B921" s="9" t="s">
        <v>484</v>
      </c>
      <c r="C921" s="9"/>
      <c r="D921" s="9" t="s">
        <v>77</v>
      </c>
      <c r="E921" s="38">
        <v>2050</v>
      </c>
      <c r="F921" s="39">
        <v>944376.72</v>
      </c>
      <c r="G921" s="40">
        <v>460.67157073170728</v>
      </c>
      <c r="H921" s="41">
        <v>0.18879000215437161</v>
      </c>
      <c r="I921" s="40">
        <v>69.244440682926836</v>
      </c>
      <c r="J921" s="41">
        <v>0.15031194691033889</v>
      </c>
      <c r="K921" s="9" t="s">
        <v>1497</v>
      </c>
    </row>
    <row r="922" spans="1:11" x14ac:dyDescent="0.2">
      <c r="A922" s="9" t="s">
        <v>42</v>
      </c>
      <c r="B922" s="9" t="s">
        <v>271</v>
      </c>
      <c r="C922" s="9"/>
      <c r="D922" s="9" t="s">
        <v>78</v>
      </c>
      <c r="E922" s="38">
        <v>1698</v>
      </c>
      <c r="F922" s="39">
        <v>3687331.12</v>
      </c>
      <c r="G922" s="40">
        <v>2171.5730977620728</v>
      </c>
      <c r="H922" s="41">
        <v>1.798215381135462E-2</v>
      </c>
      <c r="I922" s="40">
        <v>206.3171809187279</v>
      </c>
      <c r="J922" s="41">
        <v>9.5008167641857988E-2</v>
      </c>
      <c r="K922" s="9" t="s">
        <v>1498</v>
      </c>
    </row>
    <row r="923" spans="1:11" x14ac:dyDescent="0.2">
      <c r="A923" s="9" t="s">
        <v>42</v>
      </c>
      <c r="B923" s="9" t="s">
        <v>1499</v>
      </c>
      <c r="C923" s="9"/>
      <c r="D923" s="9" t="s">
        <v>76</v>
      </c>
      <c r="E923" s="38">
        <v>5576</v>
      </c>
      <c r="F923" s="39">
        <v>263766.46000000002</v>
      </c>
      <c r="G923" s="40">
        <v>47.303884505021522</v>
      </c>
      <c r="H923" s="41">
        <v>-0.35527688608805641</v>
      </c>
      <c r="I923" s="40">
        <v>12.91248206599713</v>
      </c>
      <c r="J923" s="41">
        <v>0.27296874667082388</v>
      </c>
      <c r="K923" s="9" t="s">
        <v>1500</v>
      </c>
    </row>
    <row r="924" spans="1:11" x14ac:dyDescent="0.2">
      <c r="A924" s="9" t="s">
        <v>42</v>
      </c>
      <c r="B924" s="9" t="s">
        <v>1501</v>
      </c>
      <c r="C924" s="9"/>
      <c r="D924" s="9" t="s">
        <v>85</v>
      </c>
      <c r="E924" s="38">
        <v>23079</v>
      </c>
      <c r="F924" s="39">
        <v>0</v>
      </c>
      <c r="G924" s="40"/>
      <c r="H924" s="41"/>
      <c r="I924" s="40">
        <v>0.27619222669959698</v>
      </c>
      <c r="J924" s="41"/>
      <c r="K924" s="9" t="s">
        <v>1502</v>
      </c>
    </row>
    <row r="925" spans="1:11" x14ac:dyDescent="0.2">
      <c r="A925" s="9" t="s">
        <v>42</v>
      </c>
      <c r="B925" s="9" t="s">
        <v>275</v>
      </c>
      <c r="C925" s="9"/>
      <c r="D925" s="9" t="s">
        <v>83</v>
      </c>
      <c r="E925" s="38">
        <v>3856</v>
      </c>
      <c r="F925" s="39">
        <v>3102160.75</v>
      </c>
      <c r="G925" s="40">
        <v>804.5022691908714</v>
      </c>
      <c r="H925" s="41">
        <v>2.127436498386355E-2</v>
      </c>
      <c r="I925" s="40">
        <v>73.799216701244816</v>
      </c>
      <c r="J925" s="41">
        <v>9.1732763880788576E-2</v>
      </c>
      <c r="K925" s="9" t="s">
        <v>1503</v>
      </c>
    </row>
    <row r="926" spans="1:11" x14ac:dyDescent="0.2">
      <c r="A926" s="9" t="s">
        <v>42</v>
      </c>
      <c r="B926" s="9" t="s">
        <v>277</v>
      </c>
      <c r="C926" s="9"/>
      <c r="D926" s="9" t="s">
        <v>76</v>
      </c>
      <c r="E926" s="38">
        <v>1000</v>
      </c>
      <c r="F926" s="39">
        <v>431014.88</v>
      </c>
      <c r="G926" s="40">
        <v>431.01488000000001</v>
      </c>
      <c r="H926" s="41">
        <v>-0.13122304306703231</v>
      </c>
      <c r="I926" s="40">
        <v>51.721785599999997</v>
      </c>
      <c r="J926" s="41">
        <v>0.12</v>
      </c>
      <c r="K926" s="9" t="s">
        <v>1504</v>
      </c>
    </row>
    <row r="927" spans="1:11" x14ac:dyDescent="0.2">
      <c r="A927" s="9" t="s">
        <v>42</v>
      </c>
      <c r="B927" s="9" t="s">
        <v>277</v>
      </c>
      <c r="C927" s="9"/>
      <c r="D927" s="9" t="s">
        <v>76</v>
      </c>
      <c r="E927" s="38">
        <v>2914</v>
      </c>
      <c r="F927" s="39">
        <v>486586.48</v>
      </c>
      <c r="G927" s="40">
        <v>166.98231983527799</v>
      </c>
      <c r="H927" s="41">
        <v>-0.30025013499184361</v>
      </c>
      <c r="I927" s="40">
        <v>20.037878380233359</v>
      </c>
      <c r="J927" s="41">
        <v>0.12</v>
      </c>
      <c r="K927" s="9" t="s">
        <v>1504</v>
      </c>
    </row>
    <row r="928" spans="1:11" x14ac:dyDescent="0.2">
      <c r="A928" s="9" t="s">
        <v>42</v>
      </c>
      <c r="B928" s="9" t="s">
        <v>1505</v>
      </c>
      <c r="C928" s="9"/>
      <c r="D928" s="9" t="s">
        <v>81</v>
      </c>
      <c r="E928" s="38">
        <v>4536</v>
      </c>
      <c r="F928" s="39">
        <v>1939472.21</v>
      </c>
      <c r="G928" s="40">
        <v>427.5732385361552</v>
      </c>
      <c r="H928" s="41">
        <v>0.14901227330736619</v>
      </c>
      <c r="I928" s="40">
        <v>35.963900000000002</v>
      </c>
      <c r="J928" s="41">
        <v>8.4111672009984623E-2</v>
      </c>
      <c r="K928" s="9" t="s">
        <v>1506</v>
      </c>
    </row>
    <row r="929" spans="1:11" x14ac:dyDescent="0.2">
      <c r="A929" s="9" t="s">
        <v>42</v>
      </c>
      <c r="B929" s="9" t="s">
        <v>279</v>
      </c>
      <c r="C929" s="9"/>
      <c r="D929" s="9" t="s">
        <v>76</v>
      </c>
      <c r="E929" s="38">
        <v>5499</v>
      </c>
      <c r="F929" s="39">
        <v>632664.04</v>
      </c>
      <c r="G929" s="40">
        <v>115.0507437715948</v>
      </c>
      <c r="H929" s="41">
        <v>-1.8647081696631831E-2</v>
      </c>
      <c r="I929" s="40">
        <v>14.010001745771961</v>
      </c>
      <c r="J929" s="41">
        <v>0.1217723700559937</v>
      </c>
      <c r="K929" s="9" t="s">
        <v>1507</v>
      </c>
    </row>
    <row r="930" spans="1:11" x14ac:dyDescent="0.2">
      <c r="A930" s="9" t="s">
        <v>42</v>
      </c>
      <c r="B930" s="9" t="s">
        <v>283</v>
      </c>
      <c r="C930" s="9"/>
      <c r="D930" s="9" t="s">
        <v>78</v>
      </c>
      <c r="E930" s="38">
        <v>1970</v>
      </c>
      <c r="F930" s="39">
        <v>492166.72</v>
      </c>
      <c r="G930" s="40">
        <v>249.8308223350254</v>
      </c>
      <c r="H930" s="41">
        <v>0.1139684632483401</v>
      </c>
      <c r="I930" s="40">
        <v>28.446703147208119</v>
      </c>
      <c r="J930" s="41">
        <v>0.1138638654803803</v>
      </c>
      <c r="K930" s="9" t="s">
        <v>1508</v>
      </c>
    </row>
    <row r="931" spans="1:11" x14ac:dyDescent="0.2">
      <c r="A931" s="9" t="s">
        <v>42</v>
      </c>
      <c r="B931" s="9" t="s">
        <v>1396</v>
      </c>
      <c r="C931" s="9"/>
      <c r="D931" s="9" t="s">
        <v>76</v>
      </c>
      <c r="E931" s="38">
        <v>8000</v>
      </c>
      <c r="F931" s="39">
        <v>0</v>
      </c>
      <c r="G931" s="40"/>
      <c r="H931" s="41"/>
      <c r="I931" s="40">
        <v>0.54903750000000007</v>
      </c>
      <c r="J931" s="41"/>
      <c r="K931" s="9" t="s">
        <v>1509</v>
      </c>
    </row>
    <row r="932" spans="1:11" x14ac:dyDescent="0.2">
      <c r="A932" s="9" t="s">
        <v>42</v>
      </c>
      <c r="B932" s="9" t="s">
        <v>301</v>
      </c>
      <c r="C932" s="9"/>
      <c r="D932" s="9" t="s">
        <v>82</v>
      </c>
      <c r="E932" s="38">
        <v>4635</v>
      </c>
      <c r="F932" s="39">
        <v>797452.24000000011</v>
      </c>
      <c r="G932" s="40">
        <v>172.0501057173679</v>
      </c>
      <c r="H932" s="41"/>
      <c r="I932" s="40">
        <v>22.22222213592233</v>
      </c>
      <c r="J932" s="41">
        <v>0.1291613396182823</v>
      </c>
      <c r="K932" s="9" t="s">
        <v>1510</v>
      </c>
    </row>
    <row r="933" spans="1:11" x14ac:dyDescent="0.2">
      <c r="A933" s="9" t="s">
        <v>42</v>
      </c>
      <c r="B933" s="9" t="s">
        <v>1511</v>
      </c>
      <c r="C933" s="9"/>
      <c r="D933" s="9" t="s">
        <v>84</v>
      </c>
      <c r="E933" s="38">
        <v>120</v>
      </c>
      <c r="F933" s="39">
        <v>74132</v>
      </c>
      <c r="G933" s="40">
        <v>617.76666666666665</v>
      </c>
      <c r="H933" s="41">
        <v>-0.27164089088011029</v>
      </c>
      <c r="I933" s="40">
        <v>382.45445000000001</v>
      </c>
      <c r="J933" s="41">
        <v>0.61909207899422647</v>
      </c>
      <c r="K933" s="9" t="s">
        <v>1512</v>
      </c>
    </row>
    <row r="934" spans="1:11" x14ac:dyDescent="0.2">
      <c r="A934" s="9" t="s">
        <v>42</v>
      </c>
      <c r="B934" s="9" t="s">
        <v>1511</v>
      </c>
      <c r="C934" s="9"/>
      <c r="D934" s="9" t="s">
        <v>84</v>
      </c>
      <c r="E934" s="38">
        <v>150</v>
      </c>
      <c r="F934" s="39">
        <v>96053</v>
      </c>
      <c r="G934" s="40">
        <v>640.35333333333335</v>
      </c>
      <c r="H934" s="41">
        <v>-0.1640128265117943</v>
      </c>
      <c r="I934" s="40">
        <v>305.96355999999997</v>
      </c>
      <c r="J934" s="41">
        <v>0.47780427472332981</v>
      </c>
      <c r="K934" s="9" t="s">
        <v>1512</v>
      </c>
    </row>
    <row r="935" spans="1:11" x14ac:dyDescent="0.2">
      <c r="A935" s="9" t="s">
        <v>42</v>
      </c>
      <c r="B935" s="9" t="s">
        <v>1513</v>
      </c>
      <c r="C935" s="9"/>
      <c r="D935" s="9" t="s">
        <v>78</v>
      </c>
      <c r="E935" s="38">
        <v>1600</v>
      </c>
      <c r="F935" s="39">
        <v>381216.33</v>
      </c>
      <c r="G935" s="40">
        <v>238.26020625000001</v>
      </c>
      <c r="H935" s="41">
        <v>0.13115286598689521</v>
      </c>
      <c r="I935" s="40">
        <v>72.655288500000012</v>
      </c>
      <c r="J935" s="41">
        <v>0.30494092842245252</v>
      </c>
      <c r="K935" s="9" t="s">
        <v>1514</v>
      </c>
    </row>
    <row r="936" spans="1:11" x14ac:dyDescent="0.2">
      <c r="A936" s="9" t="s">
        <v>42</v>
      </c>
      <c r="B936" s="9" t="s">
        <v>1149</v>
      </c>
      <c r="C936" s="9"/>
      <c r="D936" s="9" t="s">
        <v>76</v>
      </c>
      <c r="E936" s="38">
        <v>18125</v>
      </c>
      <c r="F936" s="39">
        <v>3197663.8900000011</v>
      </c>
      <c r="G936" s="40">
        <v>176.42283531034491</v>
      </c>
      <c r="H936" s="41">
        <v>4.2636354409584902E-2</v>
      </c>
      <c r="I936" s="40">
        <v>14.11382680275862</v>
      </c>
      <c r="J936" s="41">
        <v>7.9999999874908675E-2</v>
      </c>
      <c r="K936" s="9" t="s">
        <v>1515</v>
      </c>
    </row>
    <row r="937" spans="1:11" x14ac:dyDescent="0.2">
      <c r="A937" s="9" t="s">
        <v>42</v>
      </c>
      <c r="B937" s="9" t="s">
        <v>317</v>
      </c>
      <c r="C937" s="9"/>
      <c r="D937" s="9" t="s">
        <v>76</v>
      </c>
      <c r="E937" s="38">
        <v>3500</v>
      </c>
      <c r="F937" s="39">
        <v>1970749.08</v>
      </c>
      <c r="G937" s="40">
        <v>563.07116571428571</v>
      </c>
      <c r="H937" s="41">
        <v>0.32905879263452892</v>
      </c>
      <c r="I937" s="40">
        <v>92.104259428571424</v>
      </c>
      <c r="J937" s="41">
        <v>0.16357481085314021</v>
      </c>
      <c r="K937" s="9" t="s">
        <v>1516</v>
      </c>
    </row>
    <row r="938" spans="1:11" x14ac:dyDescent="0.2">
      <c r="A938" s="9" t="s">
        <v>42</v>
      </c>
      <c r="B938" s="9" t="s">
        <v>1517</v>
      </c>
      <c r="C938" s="9"/>
      <c r="D938" s="9" t="s">
        <v>76</v>
      </c>
      <c r="E938" s="38">
        <v>6392</v>
      </c>
      <c r="F938" s="39">
        <v>4034112.41</v>
      </c>
      <c r="G938" s="40">
        <v>631.11896276595746</v>
      </c>
      <c r="H938" s="41">
        <v>0.1200428200470669</v>
      </c>
      <c r="I938" s="40">
        <v>39.676004458698372</v>
      </c>
      <c r="J938" s="41">
        <v>6.2866126355660967E-2</v>
      </c>
      <c r="K938" s="9" t="s">
        <v>1518</v>
      </c>
    </row>
    <row r="939" spans="1:11" x14ac:dyDescent="0.2">
      <c r="A939" s="9" t="s">
        <v>42</v>
      </c>
      <c r="B939" s="9" t="s">
        <v>321</v>
      </c>
      <c r="C939" s="9"/>
      <c r="D939" s="9" t="s">
        <v>78</v>
      </c>
      <c r="E939" s="38">
        <v>970</v>
      </c>
      <c r="F939" s="39">
        <v>2507746.25</v>
      </c>
      <c r="G939" s="40">
        <v>2585.305412371134</v>
      </c>
      <c r="H939" s="41">
        <v>-9.1949099314997174E-2</v>
      </c>
      <c r="I939" s="40">
        <v>169.6092754639175</v>
      </c>
      <c r="J939" s="41">
        <v>6.560512141130706E-2</v>
      </c>
      <c r="K939" s="9" t="s">
        <v>1519</v>
      </c>
    </row>
    <row r="940" spans="1:11" x14ac:dyDescent="0.2">
      <c r="A940" s="9" t="s">
        <v>42</v>
      </c>
      <c r="B940" s="9" t="s">
        <v>1520</v>
      </c>
      <c r="C940" s="9"/>
      <c r="D940" s="9" t="s">
        <v>84</v>
      </c>
      <c r="E940" s="38">
        <v>1093</v>
      </c>
      <c r="F940" s="39">
        <v>0</v>
      </c>
      <c r="G940" s="40"/>
      <c r="H940" s="41"/>
      <c r="I940" s="40">
        <v>94.340000365965238</v>
      </c>
      <c r="J940" s="41"/>
      <c r="K940" s="9" t="s">
        <v>1521</v>
      </c>
    </row>
    <row r="941" spans="1:11" x14ac:dyDescent="0.2">
      <c r="A941" s="9" t="s">
        <v>42</v>
      </c>
      <c r="B941" s="9" t="s">
        <v>520</v>
      </c>
      <c r="C941" s="9"/>
      <c r="D941" s="9" t="s">
        <v>77</v>
      </c>
      <c r="E941" s="38">
        <v>5370</v>
      </c>
      <c r="F941" s="39">
        <v>1456785.81</v>
      </c>
      <c r="G941" s="40">
        <v>271.28227374301679</v>
      </c>
      <c r="H941" s="41">
        <v>-0.14646152806225271</v>
      </c>
      <c r="I941" s="40">
        <v>55.821208268156433</v>
      </c>
      <c r="J941" s="41">
        <v>0.2057679902854079</v>
      </c>
      <c r="K941" s="9" t="s">
        <v>1522</v>
      </c>
    </row>
    <row r="942" spans="1:11" x14ac:dyDescent="0.2">
      <c r="A942" s="9" t="s">
        <v>42</v>
      </c>
      <c r="B942" s="9" t="s">
        <v>1523</v>
      </c>
      <c r="C942" s="9"/>
      <c r="D942" s="9" t="s">
        <v>81</v>
      </c>
      <c r="E942" s="38">
        <v>7500</v>
      </c>
      <c r="F942" s="39">
        <v>0</v>
      </c>
      <c r="G942" s="40"/>
      <c r="H942" s="41"/>
      <c r="I942" s="40">
        <v>25.963373279999999</v>
      </c>
      <c r="J942" s="41"/>
      <c r="K942" s="9" t="s">
        <v>1524</v>
      </c>
    </row>
    <row r="943" spans="1:11" x14ac:dyDescent="0.2">
      <c r="A943" s="9" t="s">
        <v>42</v>
      </c>
      <c r="B943" s="9" t="s">
        <v>944</v>
      </c>
      <c r="C943" s="9"/>
      <c r="D943" s="9" t="s">
        <v>81</v>
      </c>
      <c r="E943" s="38">
        <v>7592</v>
      </c>
      <c r="F943" s="39">
        <v>0</v>
      </c>
      <c r="G943" s="40"/>
      <c r="H943" s="41"/>
      <c r="I943" s="40">
        <v>25.648748630136989</v>
      </c>
      <c r="J943" s="41"/>
      <c r="K943" s="9" t="s">
        <v>1525</v>
      </c>
    </row>
    <row r="944" spans="1:11" x14ac:dyDescent="0.2">
      <c r="A944" s="9" t="s">
        <v>42</v>
      </c>
      <c r="B944" s="9" t="s">
        <v>946</v>
      </c>
      <c r="C944" s="9"/>
      <c r="D944" s="9" t="s">
        <v>78</v>
      </c>
      <c r="E944" s="38">
        <v>2088</v>
      </c>
      <c r="F944" s="39">
        <v>4012272.88</v>
      </c>
      <c r="G944" s="40">
        <v>1921.5866283524911</v>
      </c>
      <c r="H944" s="41">
        <v>4.6933646281819452E-2</v>
      </c>
      <c r="I944" s="40">
        <v>134.33743735632191</v>
      </c>
      <c r="J944" s="41">
        <v>6.9909644131682297E-2</v>
      </c>
      <c r="K944" s="9" t="s">
        <v>1526</v>
      </c>
    </row>
    <row r="945" spans="1:11" x14ac:dyDescent="0.2">
      <c r="A945" s="9" t="s">
        <v>42</v>
      </c>
      <c r="B945" s="9" t="s">
        <v>1527</v>
      </c>
      <c r="C945" s="9"/>
      <c r="D945" s="9" t="s">
        <v>85</v>
      </c>
      <c r="E945" s="38">
        <v>25280</v>
      </c>
      <c r="F945" s="39">
        <v>0</v>
      </c>
      <c r="G945" s="40"/>
      <c r="H945" s="41"/>
      <c r="I945" s="40">
        <v>0.2175632753164557</v>
      </c>
      <c r="J945" s="41"/>
      <c r="K945" s="9" t="s">
        <v>1528</v>
      </c>
    </row>
    <row r="946" spans="1:11" x14ac:dyDescent="0.2">
      <c r="A946" s="9" t="s">
        <v>42</v>
      </c>
      <c r="B946" s="9" t="s">
        <v>948</v>
      </c>
      <c r="C946" s="9"/>
      <c r="D946" s="9" t="s">
        <v>76</v>
      </c>
      <c r="E946" s="38">
        <v>7249</v>
      </c>
      <c r="F946" s="39">
        <v>955495.03000000014</v>
      </c>
      <c r="G946" s="40">
        <v>131.81059870326939</v>
      </c>
      <c r="H946" s="41">
        <v>-0.78791647189392811</v>
      </c>
      <c r="I946" s="40">
        <v>13.181059870326949</v>
      </c>
      <c r="J946" s="41">
        <v>0.1</v>
      </c>
      <c r="K946" s="9" t="s">
        <v>1529</v>
      </c>
    </row>
    <row r="947" spans="1:11" x14ac:dyDescent="0.2">
      <c r="A947" s="9" t="s">
        <v>42</v>
      </c>
      <c r="B947" s="9" t="s">
        <v>339</v>
      </c>
      <c r="C947" s="9"/>
      <c r="D947" s="9" t="s">
        <v>80</v>
      </c>
      <c r="E947" s="38">
        <v>759</v>
      </c>
      <c r="F947" s="39">
        <v>663725.59000000008</v>
      </c>
      <c r="G947" s="40">
        <v>874.47376811594211</v>
      </c>
      <c r="H947" s="41">
        <v>7.7513087752121346E-2</v>
      </c>
      <c r="I947" s="40">
        <v>159.4039790513834</v>
      </c>
      <c r="J947" s="41">
        <v>0.18228560405513369</v>
      </c>
      <c r="K947" s="9" t="s">
        <v>1530</v>
      </c>
    </row>
    <row r="948" spans="1:11" x14ac:dyDescent="0.2">
      <c r="A948" s="9" t="s">
        <v>42</v>
      </c>
      <c r="B948" s="9" t="s">
        <v>527</v>
      </c>
      <c r="C948" s="9"/>
      <c r="D948" s="9" t="s">
        <v>86</v>
      </c>
      <c r="E948" s="38">
        <v>153106</v>
      </c>
      <c r="F948" s="39">
        <v>0</v>
      </c>
      <c r="G948" s="40"/>
      <c r="H948" s="41"/>
      <c r="I948" s="40">
        <v>0.55000000000000004</v>
      </c>
      <c r="J948" s="41"/>
      <c r="K948" s="9" t="s">
        <v>1531</v>
      </c>
    </row>
    <row r="949" spans="1:11" x14ac:dyDescent="0.2">
      <c r="A949" s="9" t="s">
        <v>42</v>
      </c>
      <c r="B949" s="9" t="s">
        <v>1412</v>
      </c>
      <c r="C949" s="9"/>
      <c r="D949" s="9" t="s">
        <v>77</v>
      </c>
      <c r="E949" s="38">
        <v>5264</v>
      </c>
      <c r="F949" s="39">
        <v>1017649.7</v>
      </c>
      <c r="G949" s="40">
        <v>193.32251139817629</v>
      </c>
      <c r="H949" s="41">
        <v>-0.2008959607000439</v>
      </c>
      <c r="I949" s="40">
        <v>30.950797796352589</v>
      </c>
      <c r="J949" s="41">
        <v>0.16009929507177181</v>
      </c>
      <c r="K949" s="9" t="s">
        <v>1532</v>
      </c>
    </row>
    <row r="950" spans="1:11" x14ac:dyDescent="0.2">
      <c r="A950" s="9" t="s">
        <v>42</v>
      </c>
      <c r="B950" s="9" t="s">
        <v>1533</v>
      </c>
      <c r="C950" s="9"/>
      <c r="D950" s="9" t="s">
        <v>76</v>
      </c>
      <c r="E950" s="38">
        <v>3487</v>
      </c>
      <c r="F950" s="39">
        <v>1235039.8999999999</v>
      </c>
      <c r="G950" s="40">
        <v>354.1840837396042</v>
      </c>
      <c r="H950" s="41">
        <v>-0.26931224404215159</v>
      </c>
      <c r="I950" s="40">
        <v>39.624474333237742</v>
      </c>
      <c r="J950" s="41">
        <v>0.1118753669415863</v>
      </c>
      <c r="K950" s="9" t="s">
        <v>1534</v>
      </c>
    </row>
    <row r="951" spans="1:11" x14ac:dyDescent="0.2">
      <c r="A951" s="9" t="s">
        <v>42</v>
      </c>
      <c r="B951" s="9" t="s">
        <v>351</v>
      </c>
      <c r="C951" s="9"/>
      <c r="D951" s="9" t="s">
        <v>85</v>
      </c>
      <c r="E951" s="38">
        <v>2329</v>
      </c>
      <c r="F951" s="39">
        <v>2503058.48</v>
      </c>
      <c r="G951" s="40">
        <v>1074.7352855302699</v>
      </c>
      <c r="H951" s="41">
        <v>-0.12427102923589969</v>
      </c>
      <c r="I951" s="40">
        <v>117.42622876771151</v>
      </c>
      <c r="J951" s="41">
        <v>0.10926060616849829</v>
      </c>
      <c r="K951" s="9" t="s">
        <v>1535</v>
      </c>
    </row>
    <row r="952" spans="1:11" x14ac:dyDescent="0.2">
      <c r="A952" s="9" t="s">
        <v>42</v>
      </c>
      <c r="B952" s="9" t="s">
        <v>1536</v>
      </c>
      <c r="C952" s="9"/>
      <c r="D952" s="9" t="s">
        <v>77</v>
      </c>
      <c r="E952" s="38">
        <v>7308</v>
      </c>
      <c r="F952" s="39">
        <v>2341277.4</v>
      </c>
      <c r="G952" s="40">
        <v>320.37183908045978</v>
      </c>
      <c r="H952" s="41">
        <v>-0.11421551647932079</v>
      </c>
      <c r="I952" s="40">
        <v>49.105603448275858</v>
      </c>
      <c r="J952" s="41">
        <v>0.15327690345449879</v>
      </c>
      <c r="K952" s="9" t="s">
        <v>1537</v>
      </c>
    </row>
    <row r="953" spans="1:11" x14ac:dyDescent="0.2">
      <c r="A953" s="9" t="s">
        <v>42</v>
      </c>
      <c r="B953" s="9" t="s">
        <v>355</v>
      </c>
      <c r="C953" s="9"/>
      <c r="D953" s="9" t="s">
        <v>82</v>
      </c>
      <c r="E953" s="38">
        <v>1965</v>
      </c>
      <c r="F953" s="39">
        <v>1189907.51</v>
      </c>
      <c r="G953" s="40">
        <v>605.55089567430025</v>
      </c>
      <c r="H953" s="41">
        <v>-4.3642539839001973E-2</v>
      </c>
      <c r="I953" s="40">
        <v>82.030382290076346</v>
      </c>
      <c r="J953" s="41">
        <v>0.13546405905111061</v>
      </c>
      <c r="K953" s="9" t="s">
        <v>1538</v>
      </c>
    </row>
    <row r="954" spans="1:11" x14ac:dyDescent="0.2">
      <c r="A954" s="9" t="s">
        <v>42</v>
      </c>
      <c r="B954" s="9" t="s">
        <v>1539</v>
      </c>
      <c r="C954" s="9"/>
      <c r="D954" s="9" t="s">
        <v>79</v>
      </c>
      <c r="E954" s="38">
        <v>1127</v>
      </c>
      <c r="F954" s="39">
        <v>251170</v>
      </c>
      <c r="G954" s="40">
        <v>222.866015971606</v>
      </c>
      <c r="H954" s="41">
        <v>0.40108885251638848</v>
      </c>
      <c r="I954" s="40">
        <v>66.548358473824308</v>
      </c>
      <c r="J954" s="41">
        <v>0.29860254011227461</v>
      </c>
      <c r="K954" s="9" t="s">
        <v>1540</v>
      </c>
    </row>
    <row r="955" spans="1:11" x14ac:dyDescent="0.2">
      <c r="A955" s="9" t="s">
        <v>42</v>
      </c>
      <c r="B955" s="9" t="s">
        <v>538</v>
      </c>
      <c r="C955" s="9"/>
      <c r="D955" s="9" t="s">
        <v>80</v>
      </c>
      <c r="E955" s="38">
        <v>911</v>
      </c>
      <c r="F955" s="39">
        <v>891730.64999999991</v>
      </c>
      <c r="G955" s="40">
        <v>978.84813391877049</v>
      </c>
      <c r="H955" s="41">
        <v>7.2471318293546444E-2</v>
      </c>
      <c r="I955" s="40">
        <v>87.366190998902312</v>
      </c>
      <c r="J955" s="41">
        <v>8.9254081375357022E-2</v>
      </c>
      <c r="K955" s="9" t="s">
        <v>1541</v>
      </c>
    </row>
    <row r="956" spans="1:11" x14ac:dyDescent="0.2">
      <c r="A956" s="9" t="s">
        <v>42</v>
      </c>
      <c r="B956" s="9" t="s">
        <v>1542</v>
      </c>
      <c r="C956" s="9"/>
      <c r="D956" s="9" t="s">
        <v>82</v>
      </c>
      <c r="E956" s="38">
        <v>52727</v>
      </c>
      <c r="F956" s="39">
        <v>3533837.09</v>
      </c>
      <c r="G956" s="40">
        <v>67.021394921008223</v>
      </c>
      <c r="H956" s="41">
        <v>-0.17894505184848419</v>
      </c>
      <c r="I956" s="40">
        <v>12.43651298954995</v>
      </c>
      <c r="J956" s="41">
        <v>0.18556034239824001</v>
      </c>
      <c r="K956" s="9" t="s">
        <v>1543</v>
      </c>
    </row>
    <row r="957" spans="1:11" x14ac:dyDescent="0.2">
      <c r="A957" s="9" t="s">
        <v>42</v>
      </c>
      <c r="B957" s="9" t="s">
        <v>357</v>
      </c>
      <c r="C957" s="9"/>
      <c r="D957" s="9" t="s">
        <v>76</v>
      </c>
      <c r="E957" s="38">
        <v>150</v>
      </c>
      <c r="F957" s="39">
        <v>470383.24</v>
      </c>
      <c r="G957" s="40">
        <v>3135.8882666666668</v>
      </c>
      <c r="H957" s="41">
        <v>-0.1048677795218511</v>
      </c>
      <c r="I957" s="40">
        <v>533.33333600000003</v>
      </c>
      <c r="J957" s="41">
        <v>0.170074087673702</v>
      </c>
      <c r="K957" s="9" t="s">
        <v>1544</v>
      </c>
    </row>
    <row r="958" spans="1:11" x14ac:dyDescent="0.2">
      <c r="A958" s="9" t="s">
        <v>42</v>
      </c>
      <c r="B958" s="9" t="s">
        <v>1545</v>
      </c>
      <c r="C958" s="9"/>
      <c r="D958" s="9" t="s">
        <v>76</v>
      </c>
      <c r="E958" s="38">
        <v>2015</v>
      </c>
      <c r="F958" s="39">
        <v>457557.52999999991</v>
      </c>
      <c r="G958" s="40">
        <v>227.07569727047141</v>
      </c>
      <c r="H958" s="41">
        <v>-7.8663687038199703E-2</v>
      </c>
      <c r="I958" s="40">
        <v>56.584443176178652</v>
      </c>
      <c r="J958" s="41">
        <v>0.2491875786636055</v>
      </c>
      <c r="K958" s="9" t="s">
        <v>1546</v>
      </c>
    </row>
    <row r="959" spans="1:11" x14ac:dyDescent="0.2">
      <c r="A959" s="9" t="s">
        <v>42</v>
      </c>
      <c r="B959" s="9" t="s">
        <v>1547</v>
      </c>
      <c r="C959" s="9"/>
      <c r="D959" s="9" t="s">
        <v>84</v>
      </c>
      <c r="E959" s="38">
        <v>1482</v>
      </c>
      <c r="F959" s="39">
        <v>0</v>
      </c>
      <c r="G959" s="40"/>
      <c r="H959" s="41"/>
      <c r="I959" s="40">
        <v>89.729621862348182</v>
      </c>
      <c r="J959" s="41"/>
      <c r="K959" s="9" t="s">
        <v>1548</v>
      </c>
    </row>
    <row r="960" spans="1:11" x14ac:dyDescent="0.2">
      <c r="A960" s="9" t="s">
        <v>42</v>
      </c>
      <c r="B960" s="9" t="s">
        <v>1549</v>
      </c>
      <c r="C960" s="9"/>
      <c r="D960" s="9" t="s">
        <v>80</v>
      </c>
      <c r="E960" s="38">
        <v>3502</v>
      </c>
      <c r="F960" s="39">
        <v>234244</v>
      </c>
      <c r="G960" s="40">
        <v>66.888635065676752</v>
      </c>
      <c r="H960" s="41">
        <v>-3.6769526795895097E-2</v>
      </c>
      <c r="I960" s="40">
        <v>37.552050256995997</v>
      </c>
      <c r="J960" s="41">
        <v>0.56141151961202851</v>
      </c>
      <c r="K960" s="9" t="s">
        <v>1550</v>
      </c>
    </row>
    <row r="961" spans="1:11" x14ac:dyDescent="0.2">
      <c r="A961" s="9" t="s">
        <v>42</v>
      </c>
      <c r="B961" s="9" t="s">
        <v>1551</v>
      </c>
      <c r="C961" s="9"/>
      <c r="D961" s="9" t="s">
        <v>81</v>
      </c>
      <c r="E961" s="38">
        <v>7184</v>
      </c>
      <c r="F961" s="39">
        <v>0</v>
      </c>
      <c r="G961" s="40"/>
      <c r="H961" s="41"/>
      <c r="I961" s="40">
        <v>7.9137694877505584</v>
      </c>
      <c r="J961" s="41"/>
      <c r="K961" s="9" t="s">
        <v>1552</v>
      </c>
    </row>
    <row r="962" spans="1:11" x14ac:dyDescent="0.2">
      <c r="A962" s="9" t="s">
        <v>42</v>
      </c>
      <c r="B962" s="9" t="s">
        <v>550</v>
      </c>
      <c r="C962" s="9"/>
      <c r="D962" s="9" t="s">
        <v>76</v>
      </c>
      <c r="E962" s="38">
        <v>4116</v>
      </c>
      <c r="F962" s="39">
        <v>897090.55999999994</v>
      </c>
      <c r="G962" s="40">
        <v>217.9520310981535</v>
      </c>
      <c r="H962" s="41">
        <v>-8.8540792658825501E-2</v>
      </c>
      <c r="I962" s="40">
        <v>21.865889212827991</v>
      </c>
      <c r="J962" s="41">
        <v>0.10032431954249969</v>
      </c>
      <c r="K962" s="9" t="s">
        <v>1553</v>
      </c>
    </row>
    <row r="963" spans="1:11" x14ac:dyDescent="0.2">
      <c r="A963" s="9" t="s">
        <v>42</v>
      </c>
      <c r="B963" s="9" t="s">
        <v>1554</v>
      </c>
      <c r="C963" s="9"/>
      <c r="D963" s="9" t="s">
        <v>80</v>
      </c>
      <c r="E963" s="38">
        <v>5600</v>
      </c>
      <c r="F963" s="39">
        <v>0</v>
      </c>
      <c r="G963" s="40"/>
      <c r="H963" s="41"/>
      <c r="I963" s="40">
        <v>1.66872</v>
      </c>
      <c r="J963" s="41"/>
      <c r="K963" s="9" t="s">
        <v>1555</v>
      </c>
    </row>
    <row r="964" spans="1:11" x14ac:dyDescent="0.2">
      <c r="A964" s="9" t="s">
        <v>42</v>
      </c>
      <c r="B964" s="9" t="s">
        <v>1556</v>
      </c>
      <c r="C964" s="9"/>
      <c r="D964" s="9" t="s">
        <v>82</v>
      </c>
      <c r="E964" s="38">
        <v>4046</v>
      </c>
      <c r="F964" s="39">
        <v>0</v>
      </c>
      <c r="G964" s="40"/>
      <c r="H964" s="41"/>
      <c r="I964" s="40">
        <v>19.772615027187349</v>
      </c>
      <c r="J964" s="41"/>
      <c r="K964" s="9" t="s">
        <v>1557</v>
      </c>
    </row>
    <row r="965" spans="1:11" x14ac:dyDescent="0.2">
      <c r="A965" s="9" t="s">
        <v>42</v>
      </c>
      <c r="B965" s="9" t="s">
        <v>1050</v>
      </c>
      <c r="C965" s="9"/>
      <c r="D965" s="9" t="s">
        <v>77</v>
      </c>
      <c r="E965" s="38">
        <v>2422</v>
      </c>
      <c r="F965" s="39">
        <v>0</v>
      </c>
      <c r="G965" s="40"/>
      <c r="H965" s="41"/>
      <c r="I965" s="40">
        <v>50.169999834847232</v>
      </c>
      <c r="J965" s="41"/>
      <c r="K965" s="9" t="s">
        <v>1558</v>
      </c>
    </row>
    <row r="966" spans="1:11" x14ac:dyDescent="0.2">
      <c r="A966" s="9" t="s">
        <v>42</v>
      </c>
      <c r="B966" s="9" t="s">
        <v>376</v>
      </c>
      <c r="C966" s="9"/>
      <c r="D966" s="9" t="s">
        <v>79</v>
      </c>
      <c r="E966" s="38">
        <v>10067</v>
      </c>
      <c r="F966" s="39">
        <v>5425446</v>
      </c>
      <c r="G966" s="40">
        <v>538.93374391576435</v>
      </c>
      <c r="H966" s="41">
        <v>-0.13540114479924059</v>
      </c>
      <c r="I966" s="40">
        <v>31.946687156054431</v>
      </c>
      <c r="J966" s="41">
        <v>5.9277578212003211E-2</v>
      </c>
      <c r="K966" s="9" t="s">
        <v>1559</v>
      </c>
    </row>
    <row r="967" spans="1:11" x14ac:dyDescent="0.2">
      <c r="A967" s="9" t="s">
        <v>42</v>
      </c>
      <c r="B967" s="9" t="s">
        <v>1560</v>
      </c>
      <c r="C967" s="9"/>
      <c r="D967" s="9" t="s">
        <v>76</v>
      </c>
      <c r="E967" s="38">
        <v>7485</v>
      </c>
      <c r="F967" s="39">
        <v>808023</v>
      </c>
      <c r="G967" s="40">
        <v>107.9523046092184</v>
      </c>
      <c r="H967" s="41">
        <v>-2.9738330010106249E-2</v>
      </c>
      <c r="I967" s="40">
        <v>16.032064128256511</v>
      </c>
      <c r="J967" s="41">
        <v>0.14851062407877</v>
      </c>
      <c r="K967" s="9" t="s">
        <v>1561</v>
      </c>
    </row>
    <row r="968" spans="1:11" x14ac:dyDescent="0.2">
      <c r="A968" s="9" t="s">
        <v>42</v>
      </c>
      <c r="B968" s="9" t="s">
        <v>388</v>
      </c>
      <c r="C968" s="9"/>
      <c r="D968" s="9" t="s">
        <v>76</v>
      </c>
      <c r="E968" s="38">
        <v>8159</v>
      </c>
      <c r="F968" s="39">
        <v>4124510.330000001</v>
      </c>
      <c r="G968" s="40">
        <v>505.51664787351399</v>
      </c>
      <c r="H968" s="41">
        <v>-7.4054508506082528E-2</v>
      </c>
      <c r="I968" s="40">
        <v>58.506292388773133</v>
      </c>
      <c r="J968" s="41">
        <v>0.11573563924132541</v>
      </c>
      <c r="K968" s="9" t="s">
        <v>1562</v>
      </c>
    </row>
    <row r="969" spans="1:11" x14ac:dyDescent="0.2">
      <c r="A969" s="9" t="s">
        <v>42</v>
      </c>
      <c r="B969" s="9" t="s">
        <v>390</v>
      </c>
      <c r="C969" s="9"/>
      <c r="D969" s="9" t="s">
        <v>83</v>
      </c>
      <c r="E969" s="38">
        <v>3130</v>
      </c>
      <c r="F969" s="39">
        <v>852208</v>
      </c>
      <c r="G969" s="40">
        <v>272.27092651757192</v>
      </c>
      <c r="H969" s="41">
        <v>5.741484485837136E-2</v>
      </c>
      <c r="I969" s="40">
        <v>36.414000000000001</v>
      </c>
      <c r="J969" s="41">
        <v>0.13374178604284401</v>
      </c>
      <c r="K969" s="9" t="s">
        <v>1563</v>
      </c>
    </row>
    <row r="970" spans="1:11" x14ac:dyDescent="0.2">
      <c r="A970" s="9" t="s">
        <v>42</v>
      </c>
      <c r="B970" s="9" t="s">
        <v>1564</v>
      </c>
      <c r="C970" s="9"/>
      <c r="D970" s="9" t="s">
        <v>83</v>
      </c>
      <c r="E970" s="38">
        <v>1</v>
      </c>
      <c r="F970" s="39">
        <v>0</v>
      </c>
      <c r="G970" s="40"/>
      <c r="H970" s="41"/>
      <c r="I970" s="40">
        <v>50143.08</v>
      </c>
      <c r="J970" s="41"/>
      <c r="K970" s="9" t="s">
        <v>1565</v>
      </c>
    </row>
    <row r="971" spans="1:11" x14ac:dyDescent="0.2">
      <c r="A971" s="9" t="s">
        <v>42</v>
      </c>
      <c r="B971" s="9" t="s">
        <v>392</v>
      </c>
      <c r="C971" s="9"/>
      <c r="D971" s="9" t="s">
        <v>76</v>
      </c>
      <c r="E971" s="38">
        <v>3431</v>
      </c>
      <c r="F971" s="39">
        <v>1321701.1100000001</v>
      </c>
      <c r="G971" s="40">
        <v>385.223290585835</v>
      </c>
      <c r="H971" s="41">
        <v>3.6515334210840009E-2</v>
      </c>
      <c r="I971" s="40">
        <v>44.987273914310677</v>
      </c>
      <c r="J971" s="41">
        <v>0.1167823312185915</v>
      </c>
      <c r="K971" s="9" t="s">
        <v>1566</v>
      </c>
    </row>
    <row r="972" spans="1:11" x14ac:dyDescent="0.2">
      <c r="A972" s="9" t="s">
        <v>42</v>
      </c>
      <c r="B972" s="9" t="s">
        <v>1567</v>
      </c>
      <c r="C972" s="9"/>
      <c r="D972" s="9" t="s">
        <v>81</v>
      </c>
      <c r="E972" s="38">
        <v>759</v>
      </c>
      <c r="F972" s="39">
        <v>633870.71000000008</v>
      </c>
      <c r="G972" s="40">
        <v>835.13927536231893</v>
      </c>
      <c r="H972" s="41">
        <v>-0.101012659592831</v>
      </c>
      <c r="I972" s="40">
        <v>128.01623241106719</v>
      </c>
      <c r="J972" s="41">
        <v>0.15328728535192929</v>
      </c>
      <c r="K972" s="9" t="s">
        <v>1568</v>
      </c>
    </row>
    <row r="973" spans="1:11" x14ac:dyDescent="0.2">
      <c r="A973" s="9" t="s">
        <v>42</v>
      </c>
      <c r="B973" s="9" t="s">
        <v>574</v>
      </c>
      <c r="C973" s="9"/>
      <c r="D973" s="9" t="s">
        <v>82</v>
      </c>
      <c r="E973" s="38">
        <v>1795</v>
      </c>
      <c r="F973" s="39">
        <v>445505</v>
      </c>
      <c r="G973" s="40">
        <v>248.19220055710309</v>
      </c>
      <c r="H973" s="41">
        <v>-0.113657753236411</v>
      </c>
      <c r="I973" s="40">
        <v>33.426183844011142</v>
      </c>
      <c r="J973" s="41">
        <v>0.1346786231355428</v>
      </c>
      <c r="K973" s="9" t="s">
        <v>1569</v>
      </c>
    </row>
    <row r="974" spans="1:11" x14ac:dyDescent="0.2">
      <c r="A974" s="9" t="s">
        <v>42</v>
      </c>
      <c r="B974" s="9" t="s">
        <v>1570</v>
      </c>
      <c r="C974" s="9"/>
      <c r="D974" s="9" t="s">
        <v>80</v>
      </c>
      <c r="E974" s="38">
        <v>1049</v>
      </c>
      <c r="F974" s="39">
        <v>682252.21</v>
      </c>
      <c r="G974" s="40">
        <v>650.38342230695901</v>
      </c>
      <c r="H974" s="41"/>
      <c r="I974" s="40">
        <v>159.29799923736891</v>
      </c>
      <c r="J974" s="41">
        <v>0.24492936593052589</v>
      </c>
      <c r="K974" s="9" t="s">
        <v>1571</v>
      </c>
    </row>
    <row r="975" spans="1:11" x14ac:dyDescent="0.2">
      <c r="A975" s="9" t="s">
        <v>42</v>
      </c>
      <c r="B975" s="9" t="s">
        <v>396</v>
      </c>
      <c r="C975" s="9"/>
      <c r="D975" s="9" t="s">
        <v>78</v>
      </c>
      <c r="E975" s="38">
        <v>1497</v>
      </c>
      <c r="F975" s="39">
        <v>1981874.26</v>
      </c>
      <c r="G975" s="40">
        <v>1323.8973012692049</v>
      </c>
      <c r="H975" s="41">
        <v>-0.19054626823304929</v>
      </c>
      <c r="I975" s="40">
        <v>138.85</v>
      </c>
      <c r="J975" s="41">
        <v>0.1048797364167795</v>
      </c>
      <c r="K975" s="9" t="s">
        <v>1572</v>
      </c>
    </row>
    <row r="976" spans="1:11" x14ac:dyDescent="0.2">
      <c r="A976" s="9" t="s">
        <v>42</v>
      </c>
      <c r="B976" s="9" t="s">
        <v>398</v>
      </c>
      <c r="C976" s="9"/>
      <c r="D976" s="9" t="s">
        <v>76</v>
      </c>
      <c r="E976" s="38">
        <v>3092</v>
      </c>
      <c r="F976" s="39">
        <v>801372.29</v>
      </c>
      <c r="G976" s="40">
        <v>259.17603169469601</v>
      </c>
      <c r="H976" s="41">
        <v>-5.6910129433194352E-2</v>
      </c>
      <c r="I976" s="40">
        <v>31.42453893919793</v>
      </c>
      <c r="J976" s="41">
        <v>0.1212478589695184</v>
      </c>
      <c r="K976" s="9" t="s">
        <v>1573</v>
      </c>
    </row>
    <row r="977" spans="1:11" x14ac:dyDescent="0.2">
      <c r="A977" s="9" t="s">
        <v>49</v>
      </c>
      <c r="B977" s="9" t="s">
        <v>1574</v>
      </c>
      <c r="C977" s="9"/>
      <c r="D977" s="9" t="s">
        <v>77</v>
      </c>
      <c r="E977" s="38">
        <v>1436</v>
      </c>
      <c r="F977" s="39">
        <v>1097181.32</v>
      </c>
      <c r="G977" s="40">
        <v>764.0538440111419</v>
      </c>
      <c r="H977" s="41"/>
      <c r="I977" s="40">
        <v>90.344074930362112</v>
      </c>
      <c r="J977" s="41">
        <v>0.1182430736243304</v>
      </c>
      <c r="K977" s="9" t="s">
        <v>1575</v>
      </c>
    </row>
    <row r="978" spans="1:11" x14ac:dyDescent="0.2">
      <c r="A978" s="9" t="s">
        <v>49</v>
      </c>
      <c r="B978" s="9" t="s">
        <v>164</v>
      </c>
      <c r="C978" s="9"/>
      <c r="D978" s="9" t="s">
        <v>76</v>
      </c>
      <c r="E978" s="38">
        <v>4173</v>
      </c>
      <c r="F978" s="39">
        <v>3517306.34</v>
      </c>
      <c r="G978" s="40">
        <v>842.8723556194584</v>
      </c>
      <c r="H978" s="41">
        <v>-3.821165029410712E-2</v>
      </c>
      <c r="I978" s="40">
        <v>80.298066714593816</v>
      </c>
      <c r="J978" s="41">
        <v>9.5267173231206245E-2</v>
      </c>
      <c r="K978" s="9" t="s">
        <v>1576</v>
      </c>
    </row>
    <row r="979" spans="1:11" x14ac:dyDescent="0.2">
      <c r="A979" s="9" t="s">
        <v>49</v>
      </c>
      <c r="B979" s="9" t="s">
        <v>166</v>
      </c>
      <c r="C979" s="9"/>
      <c r="D979" s="9" t="s">
        <v>76</v>
      </c>
      <c r="E979" s="38">
        <v>3736</v>
      </c>
      <c r="F979" s="39">
        <v>1172869.56</v>
      </c>
      <c r="G979" s="40">
        <v>313.93724839400431</v>
      </c>
      <c r="H979" s="41">
        <v>8.3028666053457809E-2</v>
      </c>
      <c r="I979" s="40">
        <v>18.80837398286938</v>
      </c>
      <c r="J979" s="41">
        <v>5.9911253217280178E-2</v>
      </c>
      <c r="K979" s="9" t="s">
        <v>1577</v>
      </c>
    </row>
    <row r="980" spans="1:11" x14ac:dyDescent="0.2">
      <c r="A980" s="9" t="s">
        <v>49</v>
      </c>
      <c r="B980" s="9" t="s">
        <v>981</v>
      </c>
      <c r="C980" s="9"/>
      <c r="D980" s="9" t="s">
        <v>76</v>
      </c>
      <c r="E980" s="38">
        <v>10157</v>
      </c>
      <c r="F980" s="39">
        <v>5132756.330000001</v>
      </c>
      <c r="G980" s="40">
        <v>505.34176725411061</v>
      </c>
      <c r="H980" s="41">
        <v>0.13857411360094979</v>
      </c>
      <c r="I980" s="40">
        <v>53.763094457024707</v>
      </c>
      <c r="J980" s="41">
        <v>0.106389572247627</v>
      </c>
      <c r="K980" s="9" t="s">
        <v>1578</v>
      </c>
    </row>
    <row r="981" spans="1:11" x14ac:dyDescent="0.2">
      <c r="A981" s="9" t="s">
        <v>49</v>
      </c>
      <c r="B981" s="9" t="s">
        <v>169</v>
      </c>
      <c r="C981" s="9"/>
      <c r="D981" s="9" t="s">
        <v>76</v>
      </c>
      <c r="E981" s="38">
        <v>6838</v>
      </c>
      <c r="F981" s="39">
        <v>3739825.21</v>
      </c>
      <c r="G981" s="40">
        <v>546.9179891781223</v>
      </c>
      <c r="H981" s="41">
        <v>-3.6915300410478619E-3</v>
      </c>
      <c r="I981" s="40">
        <v>94.061227493419125</v>
      </c>
      <c r="J981" s="41">
        <v>0.171984153665834</v>
      </c>
      <c r="K981" s="9" t="s">
        <v>1579</v>
      </c>
    </row>
    <row r="982" spans="1:11" x14ac:dyDescent="0.2">
      <c r="A982" s="9" t="s">
        <v>49</v>
      </c>
      <c r="B982" s="9" t="s">
        <v>1580</v>
      </c>
      <c r="C982" s="9"/>
      <c r="D982" s="9" t="s">
        <v>82</v>
      </c>
      <c r="E982" s="38">
        <v>9000</v>
      </c>
      <c r="F982" s="39">
        <v>5225082.7699999996</v>
      </c>
      <c r="G982" s="40">
        <v>580.56475222222218</v>
      </c>
      <c r="H982" s="41">
        <v>0.12898254090810249</v>
      </c>
      <c r="I982" s="40">
        <v>59.965259833333327</v>
      </c>
      <c r="J982" s="41">
        <v>0.10328780657765541</v>
      </c>
      <c r="K982" s="9" t="s">
        <v>1581</v>
      </c>
    </row>
    <row r="983" spans="1:11" x14ac:dyDescent="0.2">
      <c r="A983" s="9" t="s">
        <v>49</v>
      </c>
      <c r="B983" s="9" t="s">
        <v>406</v>
      </c>
      <c r="C983" s="9"/>
      <c r="D983" s="9" t="s">
        <v>76</v>
      </c>
      <c r="E983" s="38">
        <v>3924</v>
      </c>
      <c r="F983" s="39">
        <v>942363.34999999986</v>
      </c>
      <c r="G983" s="40">
        <v>240.15375891946991</v>
      </c>
      <c r="H983" s="41">
        <v>-0.12864820322551859</v>
      </c>
      <c r="I983" s="40">
        <v>58.613659633027517</v>
      </c>
      <c r="J983" s="41">
        <v>0.24406721717265431</v>
      </c>
      <c r="K983" s="9" t="s">
        <v>1582</v>
      </c>
    </row>
    <row r="984" spans="1:11" x14ac:dyDescent="0.2">
      <c r="A984" s="9" t="s">
        <v>49</v>
      </c>
      <c r="B984" s="9" t="s">
        <v>87</v>
      </c>
      <c r="C984" s="9"/>
      <c r="D984" s="9" t="s">
        <v>87</v>
      </c>
      <c r="E984" s="38">
        <v>8208</v>
      </c>
      <c r="F984" s="39">
        <v>46380633.329999998</v>
      </c>
      <c r="G984" s="40">
        <v>5650.6619554093568</v>
      </c>
      <c r="H984" s="41">
        <v>1.1767999208340509E-2</v>
      </c>
      <c r="I984" s="40">
        <v>36.549707602339183</v>
      </c>
      <c r="J984" s="41">
        <v>6.4682169789594809E-3</v>
      </c>
      <c r="K984" s="9" t="s">
        <v>1583</v>
      </c>
    </row>
    <row r="985" spans="1:11" x14ac:dyDescent="0.2">
      <c r="A985" s="9" t="s">
        <v>49</v>
      </c>
      <c r="B985" s="9" t="s">
        <v>173</v>
      </c>
      <c r="C985" s="9"/>
      <c r="D985" s="9" t="s">
        <v>80</v>
      </c>
      <c r="E985" s="38">
        <v>270</v>
      </c>
      <c r="F985" s="39">
        <v>939076</v>
      </c>
      <c r="G985" s="40">
        <v>3478.0592592592589</v>
      </c>
      <c r="H985" s="41">
        <v>6.783002546284321E-2</v>
      </c>
      <c r="I985" s="40">
        <v>462.38702222222219</v>
      </c>
      <c r="J985" s="41">
        <v>0.13294397471557151</v>
      </c>
      <c r="K985" s="9" t="s">
        <v>1584</v>
      </c>
    </row>
    <row r="986" spans="1:11" x14ac:dyDescent="0.2">
      <c r="A986" s="9" t="s">
        <v>49</v>
      </c>
      <c r="B986" s="9" t="s">
        <v>1443</v>
      </c>
      <c r="C986" s="9"/>
      <c r="D986" s="9" t="s">
        <v>78</v>
      </c>
      <c r="E986" s="38">
        <v>200</v>
      </c>
      <c r="F986" s="39">
        <v>369653.94</v>
      </c>
      <c r="G986" s="40">
        <v>1848.2697000000001</v>
      </c>
      <c r="H986" s="41">
        <v>-0.1075713223145759</v>
      </c>
      <c r="I986" s="40">
        <v>250</v>
      </c>
      <c r="J986" s="41">
        <v>0.13526164498611859</v>
      </c>
      <c r="K986" s="9" t="s">
        <v>1585</v>
      </c>
    </row>
    <row r="987" spans="1:11" x14ac:dyDescent="0.2">
      <c r="A987" s="9" t="s">
        <v>49</v>
      </c>
      <c r="B987" s="9" t="s">
        <v>177</v>
      </c>
      <c r="C987" s="9"/>
      <c r="D987" s="9" t="s">
        <v>85</v>
      </c>
      <c r="E987" s="38">
        <v>7212</v>
      </c>
      <c r="F987" s="39">
        <v>1836239.44</v>
      </c>
      <c r="G987" s="40">
        <v>254.60890737659449</v>
      </c>
      <c r="H987" s="41"/>
      <c r="I987" s="40">
        <v>27.731558569051579</v>
      </c>
      <c r="J987" s="41">
        <v>0.10891825763202211</v>
      </c>
      <c r="K987" s="9" t="s">
        <v>1586</v>
      </c>
    </row>
    <row r="988" spans="1:11" x14ac:dyDescent="0.2">
      <c r="A988" s="9" t="s">
        <v>49</v>
      </c>
      <c r="B988" s="9" t="s">
        <v>179</v>
      </c>
      <c r="C988" s="9"/>
      <c r="D988" s="9" t="s">
        <v>79</v>
      </c>
      <c r="E988" s="38">
        <v>5125</v>
      </c>
      <c r="F988" s="39">
        <v>4163892</v>
      </c>
      <c r="G988" s="40">
        <v>812.46673170731708</v>
      </c>
      <c r="H988" s="41">
        <v>-7.3008518983640552E-2</v>
      </c>
      <c r="I988" s="40">
        <v>70.940000078048783</v>
      </c>
      <c r="J988" s="41">
        <v>8.7314344464265642E-2</v>
      </c>
      <c r="K988" s="9" t="s">
        <v>1587</v>
      </c>
    </row>
    <row r="989" spans="1:11" x14ac:dyDescent="0.2">
      <c r="A989" s="9" t="s">
        <v>49</v>
      </c>
      <c r="B989" s="9" t="s">
        <v>1082</v>
      </c>
      <c r="C989" s="9"/>
      <c r="D989" s="9" t="s">
        <v>86</v>
      </c>
      <c r="E989" s="38">
        <v>132621</v>
      </c>
      <c r="F989" s="39">
        <v>0</v>
      </c>
      <c r="G989" s="40"/>
      <c r="H989" s="41">
        <v>2.0073260047015051E-2</v>
      </c>
      <c r="I989" s="40">
        <v>7.4512479923993933</v>
      </c>
      <c r="J989" s="41"/>
      <c r="K989" s="9" t="s">
        <v>1588</v>
      </c>
    </row>
    <row r="990" spans="1:11" x14ac:dyDescent="0.2">
      <c r="A990" s="9" t="s">
        <v>49</v>
      </c>
      <c r="B990" s="9" t="s">
        <v>1447</v>
      </c>
      <c r="C990" s="9"/>
      <c r="D990" s="9" t="s">
        <v>83</v>
      </c>
      <c r="E990" s="38">
        <v>4</v>
      </c>
      <c r="F990" s="39">
        <v>0</v>
      </c>
      <c r="G990" s="40"/>
      <c r="H990" s="41"/>
      <c r="I990" s="40">
        <v>1200</v>
      </c>
      <c r="J990" s="41"/>
      <c r="K990" s="9" t="s">
        <v>1589</v>
      </c>
    </row>
    <row r="991" spans="1:11" x14ac:dyDescent="0.2">
      <c r="A991" s="9" t="s">
        <v>49</v>
      </c>
      <c r="B991" s="9" t="s">
        <v>187</v>
      </c>
      <c r="C991" s="9"/>
      <c r="D991" s="9" t="s">
        <v>76</v>
      </c>
      <c r="E991" s="38">
        <v>1953</v>
      </c>
      <c r="F991" s="39">
        <v>793007.41000000015</v>
      </c>
      <c r="G991" s="40">
        <v>406.04578084997439</v>
      </c>
      <c r="H991" s="41">
        <v>0.1095395513735453</v>
      </c>
      <c r="I991" s="40">
        <v>43.52278525345622</v>
      </c>
      <c r="J991" s="41">
        <v>0.107186891986293</v>
      </c>
      <c r="K991" s="9" t="s">
        <v>1590</v>
      </c>
    </row>
    <row r="992" spans="1:11" x14ac:dyDescent="0.2">
      <c r="A992" s="9" t="s">
        <v>49</v>
      </c>
      <c r="B992" s="9" t="s">
        <v>1591</v>
      </c>
      <c r="C992" s="9"/>
      <c r="D992" s="9" t="s">
        <v>79</v>
      </c>
      <c r="E992" s="38">
        <v>1327</v>
      </c>
      <c r="F992" s="39">
        <v>155353.5</v>
      </c>
      <c r="G992" s="40">
        <v>117.07121326299929</v>
      </c>
      <c r="H992" s="41">
        <v>-0.65037685149435831</v>
      </c>
      <c r="I992" s="40">
        <v>49.715404973624707</v>
      </c>
      <c r="J992" s="41">
        <v>0.4246595178093831</v>
      </c>
      <c r="K992" s="9" t="s">
        <v>1592</v>
      </c>
    </row>
    <row r="993" spans="1:11" x14ac:dyDescent="0.2">
      <c r="A993" s="9" t="s">
        <v>49</v>
      </c>
      <c r="B993" s="9" t="s">
        <v>191</v>
      </c>
      <c r="C993" s="9"/>
      <c r="D993" s="9" t="s">
        <v>76</v>
      </c>
      <c r="E993" s="38">
        <v>5376</v>
      </c>
      <c r="F993" s="39">
        <v>2844077.87</v>
      </c>
      <c r="G993" s="40">
        <v>529.03234188988097</v>
      </c>
      <c r="H993" s="41">
        <v>-7.8329276615478838E-2</v>
      </c>
      <c r="I993" s="40">
        <v>79.508408705357141</v>
      </c>
      <c r="J993" s="41">
        <v>0.1502902609343815</v>
      </c>
      <c r="K993" s="9" t="s">
        <v>1593</v>
      </c>
    </row>
    <row r="994" spans="1:11" x14ac:dyDescent="0.2">
      <c r="A994" s="9" t="s">
        <v>49</v>
      </c>
      <c r="B994" s="9" t="s">
        <v>193</v>
      </c>
      <c r="C994" s="9"/>
      <c r="D994" s="9" t="s">
        <v>82</v>
      </c>
      <c r="E994" s="38">
        <v>2488</v>
      </c>
      <c r="F994" s="39">
        <v>1283974.78</v>
      </c>
      <c r="G994" s="40">
        <v>516.0670337620578</v>
      </c>
      <c r="H994" s="41">
        <v>2.639176421276054E-2</v>
      </c>
      <c r="I994" s="40">
        <v>84.274625884244372</v>
      </c>
      <c r="J994" s="41">
        <v>0.16330170379203249</v>
      </c>
      <c r="K994" s="9" t="s">
        <v>1594</v>
      </c>
    </row>
    <row r="995" spans="1:11" x14ac:dyDescent="0.2">
      <c r="A995" s="9" t="s">
        <v>49</v>
      </c>
      <c r="B995" s="9" t="s">
        <v>426</v>
      </c>
      <c r="C995" s="9"/>
      <c r="D995" s="9" t="s">
        <v>81</v>
      </c>
      <c r="E995" s="38">
        <v>5504</v>
      </c>
      <c r="F995" s="39">
        <v>1882799.5</v>
      </c>
      <c r="G995" s="40">
        <v>342.07839752906978</v>
      </c>
      <c r="H995" s="41">
        <v>-3.8482695800872782E-2</v>
      </c>
      <c r="I995" s="40">
        <v>40.879360465116278</v>
      </c>
      <c r="J995" s="41">
        <v>0.1195028998042543</v>
      </c>
      <c r="K995" s="9" t="s">
        <v>1595</v>
      </c>
    </row>
    <row r="996" spans="1:11" x14ac:dyDescent="0.2">
      <c r="A996" s="9" t="s">
        <v>49</v>
      </c>
      <c r="B996" s="9" t="s">
        <v>1596</v>
      </c>
      <c r="C996" s="9"/>
      <c r="D996" s="9" t="s">
        <v>80</v>
      </c>
      <c r="E996" s="38">
        <v>957</v>
      </c>
      <c r="F996" s="39">
        <v>411950.39</v>
      </c>
      <c r="G996" s="40">
        <v>430.4601776384535</v>
      </c>
      <c r="H996" s="41">
        <v>-0.17879055247602241</v>
      </c>
      <c r="I996" s="40">
        <v>58.112122100313478</v>
      </c>
      <c r="J996" s="41">
        <v>0.1349999956305418</v>
      </c>
      <c r="K996" s="9" t="s">
        <v>1597</v>
      </c>
    </row>
    <row r="997" spans="1:11" x14ac:dyDescent="0.2">
      <c r="A997" s="9" t="s">
        <v>49</v>
      </c>
      <c r="B997" s="9" t="s">
        <v>1213</v>
      </c>
      <c r="C997" s="9"/>
      <c r="D997" s="9" t="s">
        <v>85</v>
      </c>
      <c r="E997" s="38">
        <v>2004</v>
      </c>
      <c r="F997" s="39">
        <v>0</v>
      </c>
      <c r="G997" s="40"/>
      <c r="H997" s="41"/>
      <c r="I997" s="40">
        <v>82.47</v>
      </c>
      <c r="J997" s="41"/>
      <c r="K997" s="9" t="s">
        <v>1598</v>
      </c>
    </row>
    <row r="998" spans="1:11" x14ac:dyDescent="0.2">
      <c r="A998" s="9" t="s">
        <v>49</v>
      </c>
      <c r="B998" s="9" t="s">
        <v>1599</v>
      </c>
      <c r="C998" s="9"/>
      <c r="D998" s="9" t="s">
        <v>84</v>
      </c>
      <c r="E998" s="38">
        <v>200</v>
      </c>
      <c r="F998" s="39">
        <v>183437</v>
      </c>
      <c r="G998" s="40">
        <v>917.18499999999995</v>
      </c>
      <c r="H998" s="41"/>
      <c r="I998" s="40">
        <v>507.66220199999998</v>
      </c>
      <c r="J998" s="41">
        <v>0.55350033199409054</v>
      </c>
      <c r="K998" s="9" t="s">
        <v>1600</v>
      </c>
    </row>
    <row r="999" spans="1:11" x14ac:dyDescent="0.2">
      <c r="A999" s="9" t="s">
        <v>49</v>
      </c>
      <c r="B999" s="9" t="s">
        <v>200</v>
      </c>
      <c r="C999" s="9"/>
      <c r="D999" s="9" t="s">
        <v>77</v>
      </c>
      <c r="E999" s="38">
        <v>6506</v>
      </c>
      <c r="F999" s="39">
        <v>1257080.3400000001</v>
      </c>
      <c r="G999" s="40">
        <v>193.21861973562869</v>
      </c>
      <c r="H999" s="41">
        <v>-8.7653465672546366E-2</v>
      </c>
      <c r="I999" s="40">
        <v>55.357534583461423</v>
      </c>
      <c r="J999" s="41">
        <v>0.28650207034500269</v>
      </c>
      <c r="K999" s="9" t="s">
        <v>1601</v>
      </c>
    </row>
    <row r="1000" spans="1:11" x14ac:dyDescent="0.2">
      <c r="A1000" s="9" t="s">
        <v>49</v>
      </c>
      <c r="B1000" s="9" t="s">
        <v>202</v>
      </c>
      <c r="C1000" s="9"/>
      <c r="D1000" s="9" t="s">
        <v>81</v>
      </c>
      <c r="E1000" s="38">
        <v>774</v>
      </c>
      <c r="F1000" s="39">
        <v>1156079.27</v>
      </c>
      <c r="G1000" s="40">
        <v>1493.6424677002581</v>
      </c>
      <c r="H1000" s="41">
        <v>-1.3860649490239541E-2</v>
      </c>
      <c r="I1000" s="40">
        <v>168.41678139534881</v>
      </c>
      <c r="J1000" s="41">
        <v>0.1127557531586913</v>
      </c>
      <c r="K1000" s="9" t="s">
        <v>1602</v>
      </c>
    </row>
    <row r="1001" spans="1:11" x14ac:dyDescent="0.2">
      <c r="A1001" s="9" t="s">
        <v>49</v>
      </c>
      <c r="B1001" s="9" t="s">
        <v>877</v>
      </c>
      <c r="C1001" s="9"/>
      <c r="D1001" s="9" t="s">
        <v>76</v>
      </c>
      <c r="E1001" s="38">
        <v>12276</v>
      </c>
      <c r="F1001" s="39">
        <v>1650945.91</v>
      </c>
      <c r="G1001" s="40">
        <v>134.485655751059</v>
      </c>
      <c r="H1001" s="41">
        <v>-8.0502684387462359E-2</v>
      </c>
      <c r="I1001" s="40">
        <v>16.13827869012708</v>
      </c>
      <c r="J1001" s="41">
        <v>0.12</v>
      </c>
      <c r="K1001" s="9" t="s">
        <v>1603</v>
      </c>
    </row>
    <row r="1002" spans="1:11" x14ac:dyDescent="0.2">
      <c r="A1002" s="9" t="s">
        <v>49</v>
      </c>
      <c r="B1002" s="9" t="s">
        <v>432</v>
      </c>
      <c r="C1002" s="9"/>
      <c r="D1002" s="9" t="s">
        <v>81</v>
      </c>
      <c r="E1002" s="38">
        <v>959</v>
      </c>
      <c r="F1002" s="39">
        <v>2883700.39</v>
      </c>
      <c r="G1002" s="40">
        <v>3006.9868508863401</v>
      </c>
      <c r="H1002" s="41">
        <v>3.6180251351405988E-4</v>
      </c>
      <c r="I1002" s="40">
        <v>222.87348800834201</v>
      </c>
      <c r="J1002" s="41">
        <v>7.411854426388588E-2</v>
      </c>
      <c r="K1002" s="9" t="s">
        <v>1604</v>
      </c>
    </row>
    <row r="1003" spans="1:11" x14ac:dyDescent="0.2">
      <c r="A1003" s="9" t="s">
        <v>49</v>
      </c>
      <c r="B1003" s="9" t="s">
        <v>1458</v>
      </c>
      <c r="C1003" s="9"/>
      <c r="D1003" s="9" t="s">
        <v>80</v>
      </c>
      <c r="E1003" s="38">
        <v>644</v>
      </c>
      <c r="F1003" s="39">
        <v>683076.22999999986</v>
      </c>
      <c r="G1003" s="40">
        <v>1060.677375776397</v>
      </c>
      <c r="H1003" s="41">
        <v>2.7203117780938511E-2</v>
      </c>
      <c r="I1003" s="40">
        <v>178.59055155279501</v>
      </c>
      <c r="J1003" s="41">
        <v>0.16837405570385611</v>
      </c>
      <c r="K1003" s="9" t="s">
        <v>1605</v>
      </c>
    </row>
    <row r="1004" spans="1:11" x14ac:dyDescent="0.2">
      <c r="A1004" s="9" t="s">
        <v>49</v>
      </c>
      <c r="B1004" s="9" t="s">
        <v>208</v>
      </c>
      <c r="C1004" s="9"/>
      <c r="D1004" s="9" t="s">
        <v>78</v>
      </c>
      <c r="E1004" s="38">
        <v>1388</v>
      </c>
      <c r="F1004" s="39">
        <v>950830.33</v>
      </c>
      <c r="G1004" s="40">
        <v>685.0362608069164</v>
      </c>
      <c r="H1004" s="41">
        <v>-0.11406510652519671</v>
      </c>
      <c r="I1004" s="40">
        <v>95.905076801152745</v>
      </c>
      <c r="J1004" s="41">
        <v>0.140000000420685</v>
      </c>
      <c r="K1004" s="9" t="s">
        <v>1606</v>
      </c>
    </row>
    <row r="1005" spans="1:11" x14ac:dyDescent="0.2">
      <c r="A1005" s="9" t="s">
        <v>49</v>
      </c>
      <c r="B1005" s="9" t="s">
        <v>1607</v>
      </c>
      <c r="C1005" s="9"/>
      <c r="D1005" s="9" t="s">
        <v>83</v>
      </c>
      <c r="E1005" s="38">
        <v>2906</v>
      </c>
      <c r="F1005" s="39">
        <v>0</v>
      </c>
      <c r="G1005" s="40"/>
      <c r="H1005" s="41">
        <v>-6.7747084139389513E-2</v>
      </c>
      <c r="I1005" s="40">
        <v>31.28011011699931</v>
      </c>
      <c r="J1005" s="41"/>
      <c r="K1005" s="9" t="s">
        <v>1608</v>
      </c>
    </row>
    <row r="1006" spans="1:11" x14ac:dyDescent="0.2">
      <c r="A1006" s="9" t="s">
        <v>49</v>
      </c>
      <c r="B1006" s="9" t="s">
        <v>1609</v>
      </c>
      <c r="C1006" s="9"/>
      <c r="D1006" s="9" t="s">
        <v>83</v>
      </c>
      <c r="E1006" s="38">
        <v>3345</v>
      </c>
      <c r="F1006" s="39">
        <v>0</v>
      </c>
      <c r="G1006" s="40"/>
      <c r="H1006" s="41"/>
      <c r="I1006" s="40">
        <v>17.937219730941699</v>
      </c>
      <c r="J1006" s="41"/>
      <c r="K1006" s="9" t="s">
        <v>1610</v>
      </c>
    </row>
    <row r="1007" spans="1:11" x14ac:dyDescent="0.2">
      <c r="A1007" s="9" t="s">
        <v>49</v>
      </c>
      <c r="B1007" s="9" t="s">
        <v>1099</v>
      </c>
      <c r="C1007" s="9"/>
      <c r="D1007" s="9" t="s">
        <v>81</v>
      </c>
      <c r="E1007" s="38">
        <v>7500</v>
      </c>
      <c r="F1007" s="39">
        <v>5435233.4400000004</v>
      </c>
      <c r="G1007" s="40">
        <v>724.69779200000005</v>
      </c>
      <c r="H1007" s="41">
        <v>-6.3656478994527338E-2</v>
      </c>
      <c r="I1007" s="40">
        <v>51.570191999999999</v>
      </c>
      <c r="J1007" s="41">
        <v>7.1160961947570003E-2</v>
      </c>
      <c r="K1007" s="9" t="s">
        <v>1611</v>
      </c>
    </row>
    <row r="1008" spans="1:11" x14ac:dyDescent="0.2">
      <c r="A1008" s="9" t="s">
        <v>49</v>
      </c>
      <c r="B1008" s="9" t="s">
        <v>884</v>
      </c>
      <c r="C1008" s="9"/>
      <c r="D1008" s="9" t="s">
        <v>76</v>
      </c>
      <c r="E1008" s="38">
        <v>4188</v>
      </c>
      <c r="F1008" s="39">
        <v>1083682.3799999999</v>
      </c>
      <c r="G1008" s="40">
        <v>258.75892550143271</v>
      </c>
      <c r="H1008" s="41">
        <v>2.2324723576699491E-2</v>
      </c>
      <c r="I1008" s="40">
        <v>52.094999999999999</v>
      </c>
      <c r="J1008" s="41">
        <v>0.20132638864166091</v>
      </c>
      <c r="K1008" s="9" t="s">
        <v>1612</v>
      </c>
    </row>
    <row r="1009" spans="1:11" x14ac:dyDescent="0.2">
      <c r="A1009" s="9" t="s">
        <v>49</v>
      </c>
      <c r="B1009" s="9" t="s">
        <v>1613</v>
      </c>
      <c r="C1009" s="9"/>
      <c r="D1009" s="9" t="s">
        <v>76</v>
      </c>
      <c r="E1009" s="38">
        <v>2356</v>
      </c>
      <c r="F1009" s="39">
        <v>647647.91999999993</v>
      </c>
      <c r="G1009" s="40">
        <v>274.89300509337858</v>
      </c>
      <c r="H1009" s="41">
        <v>7.0375094815833344E-2</v>
      </c>
      <c r="I1009" s="40">
        <v>52.095000000000013</v>
      </c>
      <c r="J1009" s="41">
        <v>0.1895100967822147</v>
      </c>
      <c r="K1009" s="9" t="s">
        <v>1614</v>
      </c>
    </row>
    <row r="1010" spans="1:11" x14ac:dyDescent="0.2">
      <c r="A1010" s="9" t="s">
        <v>49</v>
      </c>
      <c r="B1010" s="9" t="s">
        <v>1615</v>
      </c>
      <c r="C1010" s="9"/>
      <c r="D1010" s="9" t="s">
        <v>78</v>
      </c>
      <c r="E1010" s="38">
        <v>150</v>
      </c>
      <c r="F1010" s="39">
        <v>126839.48</v>
      </c>
      <c r="G1010" s="40">
        <v>845.59653333333324</v>
      </c>
      <c r="H1010" s="41">
        <v>-2.9846583816185299E-2</v>
      </c>
      <c r="I1010" s="40">
        <v>290.35198000000003</v>
      </c>
      <c r="J1010" s="41">
        <v>0.34336940674938121</v>
      </c>
      <c r="K1010" s="9" t="s">
        <v>1616</v>
      </c>
    </row>
    <row r="1011" spans="1:11" x14ac:dyDescent="0.2">
      <c r="A1011" s="9" t="s">
        <v>49</v>
      </c>
      <c r="B1011" s="9" t="s">
        <v>888</v>
      </c>
      <c r="C1011" s="9"/>
      <c r="D1011" s="9" t="s">
        <v>86</v>
      </c>
      <c r="E1011" s="38">
        <v>207700</v>
      </c>
      <c r="F1011" s="39">
        <v>0</v>
      </c>
      <c r="G1011" s="40"/>
      <c r="H1011" s="41">
        <v>-1</v>
      </c>
      <c r="I1011" s="40">
        <v>0.57006900144439099</v>
      </c>
      <c r="J1011" s="41"/>
      <c r="K1011" s="9" t="s">
        <v>1617</v>
      </c>
    </row>
    <row r="1012" spans="1:11" x14ac:dyDescent="0.2">
      <c r="A1012" s="9" t="s">
        <v>49</v>
      </c>
      <c r="B1012" s="9" t="s">
        <v>1001</v>
      </c>
      <c r="C1012" s="9"/>
      <c r="D1012" s="9" t="s">
        <v>76</v>
      </c>
      <c r="E1012" s="38">
        <v>3997</v>
      </c>
      <c r="F1012" s="39">
        <v>1095280.99</v>
      </c>
      <c r="G1012" s="40">
        <v>274.02576682511892</v>
      </c>
      <c r="H1012" s="41">
        <v>-0.1210583949221964</v>
      </c>
      <c r="I1012" s="40">
        <v>51.74184288216162</v>
      </c>
      <c r="J1012" s="41">
        <v>0.18882108599364991</v>
      </c>
      <c r="K1012" s="9" t="s">
        <v>1618</v>
      </c>
    </row>
    <row r="1013" spans="1:11" x14ac:dyDescent="0.2">
      <c r="A1013" s="9" t="s">
        <v>49</v>
      </c>
      <c r="B1013" s="9" t="s">
        <v>1619</v>
      </c>
      <c r="C1013" s="9"/>
      <c r="D1013" s="9" t="s">
        <v>83</v>
      </c>
      <c r="E1013" s="38">
        <v>1</v>
      </c>
      <c r="F1013" s="39">
        <v>0</v>
      </c>
      <c r="G1013" s="40"/>
      <c r="H1013" s="41"/>
      <c r="I1013" s="40">
        <v>11496.89</v>
      </c>
      <c r="J1013" s="41"/>
      <c r="K1013" s="9" t="s">
        <v>1620</v>
      </c>
    </row>
    <row r="1014" spans="1:11" x14ac:dyDescent="0.2">
      <c r="A1014" s="9" t="s">
        <v>49</v>
      </c>
      <c r="B1014" s="9" t="s">
        <v>231</v>
      </c>
      <c r="C1014" s="9"/>
      <c r="D1014" s="9" t="s">
        <v>76</v>
      </c>
      <c r="E1014" s="38">
        <v>4662</v>
      </c>
      <c r="F1014" s="39">
        <v>0</v>
      </c>
      <c r="G1014" s="40"/>
      <c r="H1014" s="41"/>
      <c r="I1014" s="40">
        <v>29.49377940797941</v>
      </c>
      <c r="J1014" s="41"/>
      <c r="K1014" s="9" t="s">
        <v>1621</v>
      </c>
    </row>
    <row r="1015" spans="1:11" x14ac:dyDescent="0.2">
      <c r="A1015" s="9" t="s">
        <v>49</v>
      </c>
      <c r="B1015" s="9" t="s">
        <v>893</v>
      </c>
      <c r="C1015" s="9"/>
      <c r="D1015" s="9" t="s">
        <v>78</v>
      </c>
      <c r="E1015" s="38">
        <v>530</v>
      </c>
      <c r="F1015" s="39">
        <v>567158.83000000007</v>
      </c>
      <c r="G1015" s="40">
        <v>1070.1110000000001</v>
      </c>
      <c r="H1015" s="41">
        <v>-4.2755314072529173E-2</v>
      </c>
      <c r="I1015" s="40">
        <v>155.59154264150939</v>
      </c>
      <c r="J1015" s="41">
        <v>0.14539757337463999</v>
      </c>
      <c r="K1015" s="9" t="s">
        <v>1622</v>
      </c>
    </row>
    <row r="1016" spans="1:11" x14ac:dyDescent="0.2">
      <c r="A1016" s="9" t="s">
        <v>49</v>
      </c>
      <c r="B1016" s="9" t="s">
        <v>235</v>
      </c>
      <c r="C1016" s="9"/>
      <c r="D1016" s="9" t="s">
        <v>77</v>
      </c>
      <c r="E1016" s="38">
        <v>2958</v>
      </c>
      <c r="F1016" s="39">
        <v>1090644.55</v>
      </c>
      <c r="G1016" s="40">
        <v>368.71012508451662</v>
      </c>
      <c r="H1016" s="41">
        <v>-0.2080300090607777</v>
      </c>
      <c r="I1016" s="40">
        <v>49.987259432048667</v>
      </c>
      <c r="J1016" s="41">
        <v>0.13557332991761609</v>
      </c>
      <c r="K1016" s="9" t="s">
        <v>1623</v>
      </c>
    </row>
    <row r="1017" spans="1:11" x14ac:dyDescent="0.2">
      <c r="A1017" s="9" t="s">
        <v>49</v>
      </c>
      <c r="B1017" s="9" t="s">
        <v>456</v>
      </c>
      <c r="C1017" s="9"/>
      <c r="D1017" s="9" t="s">
        <v>76</v>
      </c>
      <c r="E1017" s="38">
        <v>1492</v>
      </c>
      <c r="F1017" s="39">
        <v>547114.25</v>
      </c>
      <c r="G1017" s="40">
        <v>366.69855898123319</v>
      </c>
      <c r="H1017" s="41">
        <v>-0.2429299056194355</v>
      </c>
      <c r="I1017" s="40">
        <v>69.15760053619303</v>
      </c>
      <c r="J1017" s="41">
        <v>0.1885952339936311</v>
      </c>
      <c r="K1017" s="9" t="s">
        <v>1624</v>
      </c>
    </row>
    <row r="1018" spans="1:11" x14ac:dyDescent="0.2">
      <c r="A1018" s="9" t="s">
        <v>49</v>
      </c>
      <c r="B1018" s="9" t="s">
        <v>243</v>
      </c>
      <c r="C1018" s="9"/>
      <c r="D1018" s="9" t="s">
        <v>82</v>
      </c>
      <c r="E1018" s="38">
        <v>1052</v>
      </c>
      <c r="F1018" s="39">
        <v>706907.47000000009</v>
      </c>
      <c r="G1018" s="40">
        <v>671.9652756653993</v>
      </c>
      <c r="H1018" s="41">
        <v>-8.121345270206648E-2</v>
      </c>
      <c r="I1018" s="40">
        <v>66.539923574144481</v>
      </c>
      <c r="J1018" s="41">
        <v>9.902286023374457E-2</v>
      </c>
      <c r="K1018" s="9" t="s">
        <v>1625</v>
      </c>
    </row>
    <row r="1019" spans="1:11" x14ac:dyDescent="0.2">
      <c r="A1019" s="9" t="s">
        <v>49</v>
      </c>
      <c r="B1019" s="9" t="s">
        <v>461</v>
      </c>
      <c r="C1019" s="9"/>
      <c r="D1019" s="9" t="s">
        <v>76</v>
      </c>
      <c r="E1019" s="38">
        <v>3567</v>
      </c>
      <c r="F1019" s="39">
        <v>1860813.08</v>
      </c>
      <c r="G1019" s="40">
        <v>521.67453882814698</v>
      </c>
      <c r="H1019" s="41"/>
      <c r="I1019" s="40">
        <v>82.59920000000001</v>
      </c>
      <c r="J1019" s="41">
        <v>0.15833473526529601</v>
      </c>
      <c r="K1019" s="9" t="s">
        <v>1626</v>
      </c>
    </row>
    <row r="1020" spans="1:11" x14ac:dyDescent="0.2">
      <c r="A1020" s="9" t="s">
        <v>49</v>
      </c>
      <c r="B1020" s="9" t="s">
        <v>1627</v>
      </c>
      <c r="C1020" s="9"/>
      <c r="D1020" s="9" t="s">
        <v>83</v>
      </c>
      <c r="E1020" s="38">
        <v>1</v>
      </c>
      <c r="F1020" s="39">
        <v>0</v>
      </c>
      <c r="G1020" s="40"/>
      <c r="H1020" s="41"/>
      <c r="I1020" s="40">
        <v>14845.56</v>
      </c>
      <c r="J1020" s="41"/>
      <c r="K1020" s="9" t="s">
        <v>1628</v>
      </c>
    </row>
    <row r="1021" spans="1:11" x14ac:dyDescent="0.2">
      <c r="A1021" s="9" t="s">
        <v>49</v>
      </c>
      <c r="B1021" s="9" t="s">
        <v>908</v>
      </c>
      <c r="C1021" s="9"/>
      <c r="D1021" s="9" t="s">
        <v>80</v>
      </c>
      <c r="E1021" s="38">
        <v>993</v>
      </c>
      <c r="F1021" s="39">
        <v>0</v>
      </c>
      <c r="G1021" s="40"/>
      <c r="H1021" s="41">
        <v>0.1176285447814529</v>
      </c>
      <c r="I1021" s="40">
        <v>109.78482779456191</v>
      </c>
      <c r="J1021" s="41"/>
      <c r="K1021" s="9" t="s">
        <v>1629</v>
      </c>
    </row>
    <row r="1022" spans="1:11" x14ac:dyDescent="0.2">
      <c r="A1022" s="9" t="s">
        <v>49</v>
      </c>
      <c r="B1022" s="9" t="s">
        <v>247</v>
      </c>
      <c r="C1022" s="9"/>
      <c r="D1022" s="9" t="s">
        <v>76</v>
      </c>
      <c r="E1022" s="38">
        <v>23644</v>
      </c>
      <c r="F1022" s="39">
        <v>4591851.5</v>
      </c>
      <c r="G1022" s="40">
        <v>194.2078962950431</v>
      </c>
      <c r="H1022" s="41">
        <v>-0.113720424413042</v>
      </c>
      <c r="I1022" s="40">
        <v>34.118064625274911</v>
      </c>
      <c r="J1022" s="41">
        <v>0.17567805056413521</v>
      </c>
      <c r="K1022" s="9" t="s">
        <v>1630</v>
      </c>
    </row>
    <row r="1023" spans="1:11" x14ac:dyDescent="0.2">
      <c r="A1023" s="9" t="s">
        <v>49</v>
      </c>
      <c r="B1023" s="9" t="s">
        <v>249</v>
      </c>
      <c r="C1023" s="9"/>
      <c r="D1023" s="9" t="s">
        <v>82</v>
      </c>
      <c r="E1023" s="38">
        <v>2684</v>
      </c>
      <c r="F1023" s="39">
        <v>913805.92</v>
      </c>
      <c r="G1023" s="40">
        <v>340.46420268256338</v>
      </c>
      <c r="H1023" s="41">
        <v>-4.1157809285640903E-2</v>
      </c>
      <c r="I1023" s="40">
        <v>34.870000149031299</v>
      </c>
      <c r="J1023" s="41">
        <v>0.10241899111356161</v>
      </c>
      <c r="K1023" s="9" t="s">
        <v>1631</v>
      </c>
    </row>
    <row r="1024" spans="1:11" x14ac:dyDescent="0.2">
      <c r="A1024" s="9" t="s">
        <v>49</v>
      </c>
      <c r="B1024" s="9" t="s">
        <v>1632</v>
      </c>
      <c r="C1024" s="9"/>
      <c r="D1024" s="9" t="s">
        <v>83</v>
      </c>
      <c r="E1024" s="38">
        <v>9289</v>
      </c>
      <c r="F1024" s="39">
        <v>0</v>
      </c>
      <c r="G1024" s="40"/>
      <c r="H1024" s="41"/>
      <c r="I1024" s="40">
        <v>12.07880288513295</v>
      </c>
      <c r="J1024" s="41"/>
      <c r="K1024" s="9" t="s">
        <v>1633</v>
      </c>
    </row>
    <row r="1025" spans="1:11" x14ac:dyDescent="0.2">
      <c r="A1025" s="9" t="s">
        <v>49</v>
      </c>
      <c r="B1025" s="9" t="s">
        <v>140</v>
      </c>
      <c r="C1025" s="9"/>
      <c r="D1025" s="9" t="s">
        <v>83</v>
      </c>
      <c r="E1025" s="38">
        <v>5783</v>
      </c>
      <c r="F1025" s="39">
        <v>4415778.33</v>
      </c>
      <c r="G1025" s="40">
        <v>763.57916825177244</v>
      </c>
      <c r="H1025" s="41">
        <v>0.20374784872774299</v>
      </c>
      <c r="I1025" s="40">
        <v>99.265291872730415</v>
      </c>
      <c r="J1025" s="41">
        <v>0.13</v>
      </c>
      <c r="K1025" s="9" t="s">
        <v>1634</v>
      </c>
    </row>
    <row r="1026" spans="1:11" x14ac:dyDescent="0.2">
      <c r="A1026" s="9" t="s">
        <v>49</v>
      </c>
      <c r="B1026" s="9" t="s">
        <v>256</v>
      </c>
      <c r="C1026" s="9"/>
      <c r="D1026" s="9" t="s">
        <v>76</v>
      </c>
      <c r="E1026" s="38">
        <v>1993</v>
      </c>
      <c r="F1026" s="39">
        <v>1086186.72</v>
      </c>
      <c r="G1026" s="40">
        <v>545.00086302057196</v>
      </c>
      <c r="H1026" s="41">
        <v>-0.11814664463392111</v>
      </c>
      <c r="I1026" s="40">
        <v>81.374811841445052</v>
      </c>
      <c r="J1026" s="41">
        <v>0.14931134492235371</v>
      </c>
      <c r="K1026" s="9" t="s">
        <v>1635</v>
      </c>
    </row>
    <row r="1027" spans="1:11" x14ac:dyDescent="0.2">
      <c r="A1027" s="9" t="s">
        <v>49</v>
      </c>
      <c r="B1027" s="9" t="s">
        <v>1636</v>
      </c>
      <c r="C1027" s="9"/>
      <c r="D1027" s="9" t="s">
        <v>82</v>
      </c>
      <c r="E1027" s="38">
        <v>5800</v>
      </c>
      <c r="F1027" s="39">
        <v>0</v>
      </c>
      <c r="G1027" s="40"/>
      <c r="H1027" s="41"/>
      <c r="I1027" s="40">
        <v>36.303081724137932</v>
      </c>
      <c r="J1027" s="41"/>
      <c r="K1027" s="9" t="s">
        <v>1637</v>
      </c>
    </row>
    <row r="1028" spans="1:11" x14ac:dyDescent="0.2">
      <c r="A1028" s="9" t="s">
        <v>49</v>
      </c>
      <c r="B1028" s="9" t="s">
        <v>260</v>
      </c>
      <c r="C1028" s="9"/>
      <c r="D1028" s="9" t="s">
        <v>76</v>
      </c>
      <c r="E1028" s="38">
        <v>2957</v>
      </c>
      <c r="F1028" s="39">
        <v>1257867.69</v>
      </c>
      <c r="G1028" s="40">
        <v>425.38643557659782</v>
      </c>
      <c r="H1028" s="41">
        <v>2.1922456286809281E-2</v>
      </c>
      <c r="I1028" s="40">
        <v>84.640135272235369</v>
      </c>
      <c r="J1028" s="41">
        <v>0.198972341836684</v>
      </c>
      <c r="K1028" s="9" t="s">
        <v>1638</v>
      </c>
    </row>
    <row r="1029" spans="1:11" x14ac:dyDescent="0.2">
      <c r="A1029" s="9" t="s">
        <v>49</v>
      </c>
      <c r="B1029" s="9" t="s">
        <v>473</v>
      </c>
      <c r="C1029" s="9"/>
      <c r="D1029" s="9" t="s">
        <v>86</v>
      </c>
      <c r="E1029" s="38">
        <v>103545</v>
      </c>
      <c r="F1029" s="39">
        <v>0</v>
      </c>
      <c r="G1029" s="40"/>
      <c r="H1029" s="41">
        <v>-8.468467748916475E-2</v>
      </c>
      <c r="I1029" s="40">
        <v>4.288246976676807</v>
      </c>
      <c r="J1029" s="41"/>
      <c r="K1029" s="9" t="s">
        <v>1639</v>
      </c>
    </row>
    <row r="1030" spans="1:11" x14ac:dyDescent="0.2">
      <c r="A1030" s="9" t="s">
        <v>49</v>
      </c>
      <c r="B1030" s="9" t="s">
        <v>475</v>
      </c>
      <c r="C1030" s="9"/>
      <c r="D1030" s="9" t="s">
        <v>76</v>
      </c>
      <c r="E1030" s="38">
        <v>1300</v>
      </c>
      <c r="F1030" s="39">
        <v>534660.25000000012</v>
      </c>
      <c r="G1030" s="40">
        <v>411.27711538461551</v>
      </c>
      <c r="H1030" s="41">
        <v>2.0008501866334259E-2</v>
      </c>
      <c r="I1030" s="40">
        <v>36.127711538461547</v>
      </c>
      <c r="J1030" s="41">
        <v>8.7842746865883517E-2</v>
      </c>
      <c r="K1030" s="9" t="s">
        <v>1640</v>
      </c>
    </row>
    <row r="1031" spans="1:11" x14ac:dyDescent="0.2">
      <c r="A1031" s="9" t="s">
        <v>49</v>
      </c>
      <c r="B1031" s="9" t="s">
        <v>479</v>
      </c>
      <c r="C1031" s="9"/>
      <c r="D1031" s="9" t="s">
        <v>77</v>
      </c>
      <c r="E1031" s="38">
        <v>4965</v>
      </c>
      <c r="F1031" s="39">
        <v>4654670.4000000004</v>
      </c>
      <c r="G1031" s="40">
        <v>937.4965558912387</v>
      </c>
      <c r="H1031" s="41">
        <v>1.233443019031996E-2</v>
      </c>
      <c r="I1031" s="40">
        <v>105.76723879154081</v>
      </c>
      <c r="J1031" s="41">
        <v>0.11281880250855141</v>
      </c>
      <c r="K1031" s="9" t="s">
        <v>1641</v>
      </c>
    </row>
    <row r="1032" spans="1:11" x14ac:dyDescent="0.2">
      <c r="A1032" s="9" t="s">
        <v>49</v>
      </c>
      <c r="B1032" s="9" t="s">
        <v>481</v>
      </c>
      <c r="C1032" s="9"/>
      <c r="D1032" s="9" t="s">
        <v>77</v>
      </c>
      <c r="E1032" s="38">
        <v>2078</v>
      </c>
      <c r="F1032" s="39">
        <v>1413343.38</v>
      </c>
      <c r="G1032" s="40">
        <v>680.14599615014436</v>
      </c>
      <c r="H1032" s="41">
        <v>5.7067599220925462E-2</v>
      </c>
      <c r="I1032" s="40">
        <v>113.4439842155919</v>
      </c>
      <c r="J1032" s="41">
        <v>0.16679357793433039</v>
      </c>
      <c r="K1032" s="9" t="s">
        <v>1642</v>
      </c>
    </row>
    <row r="1033" spans="1:11" x14ac:dyDescent="0.2">
      <c r="A1033" s="9" t="s">
        <v>49</v>
      </c>
      <c r="B1033" s="9" t="s">
        <v>1123</v>
      </c>
      <c r="C1033" s="9"/>
      <c r="D1033" s="9" t="s">
        <v>76</v>
      </c>
      <c r="E1033" s="38">
        <v>4712</v>
      </c>
      <c r="F1033" s="39">
        <v>1621196.43</v>
      </c>
      <c r="G1033" s="40">
        <v>344.05696731748719</v>
      </c>
      <c r="H1033" s="41">
        <v>-0.1072508187441127</v>
      </c>
      <c r="I1033" s="40">
        <v>44.257941256366728</v>
      </c>
      <c r="J1033" s="41">
        <v>0.1286355035953293</v>
      </c>
      <c r="K1033" s="9" t="s">
        <v>1643</v>
      </c>
    </row>
    <row r="1034" spans="1:11" x14ac:dyDescent="0.2">
      <c r="A1034" s="9" t="s">
        <v>49</v>
      </c>
      <c r="B1034" s="9" t="s">
        <v>267</v>
      </c>
      <c r="C1034" s="9"/>
      <c r="D1034" s="9" t="s">
        <v>77</v>
      </c>
      <c r="E1034" s="38">
        <v>2287</v>
      </c>
      <c r="F1034" s="39">
        <v>1606577.14</v>
      </c>
      <c r="G1034" s="40">
        <v>702.48235242676003</v>
      </c>
      <c r="H1034" s="41">
        <v>9.028305666400202E-2</v>
      </c>
      <c r="I1034" s="40">
        <v>130.99318530826409</v>
      </c>
      <c r="J1034" s="41">
        <v>0.18647185207676981</v>
      </c>
      <c r="K1034" s="9" t="s">
        <v>1644</v>
      </c>
    </row>
    <row r="1035" spans="1:11" x14ac:dyDescent="0.2">
      <c r="A1035" s="9" t="s">
        <v>49</v>
      </c>
      <c r="B1035" s="9" t="s">
        <v>484</v>
      </c>
      <c r="C1035" s="9"/>
      <c r="D1035" s="9" t="s">
        <v>77</v>
      </c>
      <c r="E1035" s="38">
        <v>1791</v>
      </c>
      <c r="F1035" s="39">
        <v>991984.32000000007</v>
      </c>
      <c r="G1035" s="40">
        <v>553.87175879396989</v>
      </c>
      <c r="H1035" s="41">
        <v>3.1081252108719919E-2</v>
      </c>
      <c r="I1035" s="40">
        <v>67.653639754327187</v>
      </c>
      <c r="J1035" s="41">
        <v>0.1221467581261768</v>
      </c>
      <c r="K1035" s="9" t="s">
        <v>1645</v>
      </c>
    </row>
    <row r="1036" spans="1:11" x14ac:dyDescent="0.2">
      <c r="A1036" s="9" t="s">
        <v>49</v>
      </c>
      <c r="B1036" s="9" t="s">
        <v>271</v>
      </c>
      <c r="C1036" s="9"/>
      <c r="D1036" s="9" t="s">
        <v>78</v>
      </c>
      <c r="E1036" s="38">
        <v>1600</v>
      </c>
      <c r="F1036" s="39">
        <v>1807975</v>
      </c>
      <c r="G1036" s="40">
        <v>1129.984375</v>
      </c>
      <c r="H1036" s="41">
        <v>0.32373824154572178</v>
      </c>
      <c r="I1036" s="40">
        <v>90.299062500000005</v>
      </c>
      <c r="J1036" s="41">
        <v>7.9911779753591719E-2</v>
      </c>
      <c r="K1036" s="9" t="s">
        <v>1646</v>
      </c>
    </row>
    <row r="1037" spans="1:11" x14ac:dyDescent="0.2">
      <c r="A1037" s="9" t="s">
        <v>49</v>
      </c>
      <c r="B1037" s="9" t="s">
        <v>1647</v>
      </c>
      <c r="C1037" s="9"/>
      <c r="D1037" s="9" t="s">
        <v>82</v>
      </c>
      <c r="E1037" s="38">
        <v>22678</v>
      </c>
      <c r="F1037" s="39">
        <v>3487799.73</v>
      </c>
      <c r="G1037" s="40">
        <v>153.79661919040481</v>
      </c>
      <c r="H1037" s="41">
        <v>-2.8113200074144751E-2</v>
      </c>
      <c r="I1037" s="40">
        <v>32.954046212188032</v>
      </c>
      <c r="J1037" s="41">
        <v>0.21427029011209889</v>
      </c>
      <c r="K1037" s="9" t="s">
        <v>1648</v>
      </c>
    </row>
    <row r="1038" spans="1:11" x14ac:dyDescent="0.2">
      <c r="A1038" s="9" t="s">
        <v>49</v>
      </c>
      <c r="B1038" s="9" t="s">
        <v>1129</v>
      </c>
      <c r="C1038" s="9"/>
      <c r="D1038" s="9" t="s">
        <v>80</v>
      </c>
      <c r="E1038" s="38">
        <v>315</v>
      </c>
      <c r="F1038" s="39">
        <v>166005.6</v>
      </c>
      <c r="G1038" s="40">
        <v>527.00190476190471</v>
      </c>
      <c r="H1038" s="41">
        <v>-0.243357042362009</v>
      </c>
      <c r="I1038" s="40">
        <v>228.95231619047621</v>
      </c>
      <c r="J1038" s="41">
        <v>0.43444305252352938</v>
      </c>
      <c r="K1038" s="9" t="s">
        <v>1649</v>
      </c>
    </row>
    <row r="1039" spans="1:11" x14ac:dyDescent="0.2">
      <c r="A1039" s="9" t="s">
        <v>49</v>
      </c>
      <c r="B1039" s="9" t="s">
        <v>489</v>
      </c>
      <c r="C1039" s="9"/>
      <c r="D1039" s="9" t="s">
        <v>82</v>
      </c>
      <c r="E1039" s="38">
        <v>2361</v>
      </c>
      <c r="F1039" s="39">
        <v>4227502.01</v>
      </c>
      <c r="G1039" s="40">
        <v>1790.5557009741631</v>
      </c>
      <c r="H1039" s="41">
        <v>2.8891975751159701E-2</v>
      </c>
      <c r="I1039" s="40">
        <v>153.18769250317661</v>
      </c>
      <c r="J1039" s="41">
        <v>8.5553156721030157E-2</v>
      </c>
      <c r="K1039" s="9" t="s">
        <v>1650</v>
      </c>
    </row>
    <row r="1040" spans="1:11" x14ac:dyDescent="0.2">
      <c r="A1040" s="9" t="s">
        <v>49</v>
      </c>
      <c r="B1040" s="9" t="s">
        <v>275</v>
      </c>
      <c r="C1040" s="9"/>
      <c r="D1040" s="9" t="s">
        <v>83</v>
      </c>
      <c r="E1040" s="38">
        <v>3985</v>
      </c>
      <c r="F1040" s="39">
        <v>2360151.4300000002</v>
      </c>
      <c r="G1040" s="40">
        <v>592.25882810539531</v>
      </c>
      <c r="H1040" s="41">
        <v>-5.7064990952243509E-2</v>
      </c>
      <c r="I1040" s="40">
        <v>69.586584466750324</v>
      </c>
      <c r="J1040" s="41">
        <v>0.11749353688716491</v>
      </c>
      <c r="K1040" s="9" t="s">
        <v>1651</v>
      </c>
    </row>
    <row r="1041" spans="1:11" x14ac:dyDescent="0.2">
      <c r="A1041" s="9" t="s">
        <v>49</v>
      </c>
      <c r="B1041" s="9" t="s">
        <v>277</v>
      </c>
      <c r="C1041" s="9"/>
      <c r="D1041" s="9" t="s">
        <v>76</v>
      </c>
      <c r="E1041" s="38">
        <v>1567</v>
      </c>
      <c r="F1041" s="39">
        <v>790489.81</v>
      </c>
      <c r="G1041" s="40">
        <v>504.46063178047228</v>
      </c>
      <c r="H1041" s="41">
        <v>-0.19918089300446809</v>
      </c>
      <c r="I1041" s="40">
        <v>79.081742948308872</v>
      </c>
      <c r="J1041" s="41">
        <v>0.15676494450953141</v>
      </c>
      <c r="K1041" s="9" t="s">
        <v>1652</v>
      </c>
    </row>
    <row r="1042" spans="1:11" x14ac:dyDescent="0.2">
      <c r="A1042" s="9" t="s">
        <v>49</v>
      </c>
      <c r="B1042" s="9" t="s">
        <v>494</v>
      </c>
      <c r="C1042" s="9"/>
      <c r="D1042" s="9" t="s">
        <v>85</v>
      </c>
      <c r="E1042" s="38">
        <v>1265</v>
      </c>
      <c r="F1042" s="39">
        <v>1364645.75</v>
      </c>
      <c r="G1042" s="40">
        <v>1078.7713438735179</v>
      </c>
      <c r="H1042" s="41">
        <v>0.5331433769061229</v>
      </c>
      <c r="I1042" s="40">
        <v>92.958651699604744</v>
      </c>
      <c r="J1042" s="41">
        <v>8.6170857455130756E-2</v>
      </c>
      <c r="K1042" s="9" t="s">
        <v>1653</v>
      </c>
    </row>
    <row r="1043" spans="1:11" x14ac:dyDescent="0.2">
      <c r="A1043" s="9" t="s">
        <v>49</v>
      </c>
      <c r="B1043" s="9" t="s">
        <v>283</v>
      </c>
      <c r="C1043" s="9"/>
      <c r="D1043" s="9" t="s">
        <v>78</v>
      </c>
      <c r="E1043" s="38">
        <v>631</v>
      </c>
      <c r="F1043" s="39">
        <v>493135.42</v>
      </c>
      <c r="G1043" s="40">
        <v>781.51413629160072</v>
      </c>
      <c r="H1043" s="41">
        <v>6.6574548745192919E-2</v>
      </c>
      <c r="I1043" s="40">
        <v>124.858347385103</v>
      </c>
      <c r="J1043" s="41">
        <v>0.1597646691044825</v>
      </c>
      <c r="K1043" s="9" t="s">
        <v>1654</v>
      </c>
    </row>
    <row r="1044" spans="1:11" x14ac:dyDescent="0.2">
      <c r="A1044" s="9" t="s">
        <v>49</v>
      </c>
      <c r="B1044" s="9" t="s">
        <v>1655</v>
      </c>
      <c r="C1044" s="9"/>
      <c r="D1044" s="9" t="s">
        <v>79</v>
      </c>
      <c r="E1044" s="38">
        <v>1349</v>
      </c>
      <c r="F1044" s="39">
        <v>0</v>
      </c>
      <c r="G1044" s="40"/>
      <c r="H1044" s="41"/>
      <c r="I1044" s="40">
        <v>39.285306449221643</v>
      </c>
      <c r="J1044" s="41"/>
      <c r="K1044" s="9" t="s">
        <v>1656</v>
      </c>
    </row>
    <row r="1045" spans="1:11" x14ac:dyDescent="0.2">
      <c r="A1045" s="9" t="s">
        <v>49</v>
      </c>
      <c r="B1045" s="9" t="s">
        <v>502</v>
      </c>
      <c r="C1045" s="9"/>
      <c r="D1045" s="9" t="s">
        <v>86</v>
      </c>
      <c r="E1045" s="38">
        <v>194700</v>
      </c>
      <c r="F1045" s="39">
        <v>18230156.309999999</v>
      </c>
      <c r="G1045" s="40">
        <v>93.632030354391389</v>
      </c>
      <c r="H1045" s="41">
        <v>-0.1102092723135802</v>
      </c>
      <c r="I1045" s="40">
        <v>0.4</v>
      </c>
      <c r="J1045" s="41">
        <v>4.2720423607821491E-3</v>
      </c>
      <c r="K1045" s="9" t="s">
        <v>1657</v>
      </c>
    </row>
    <row r="1046" spans="1:11" x14ac:dyDescent="0.2">
      <c r="A1046" s="9" t="s">
        <v>49</v>
      </c>
      <c r="B1046" s="9" t="s">
        <v>1139</v>
      </c>
      <c r="C1046" s="9"/>
      <c r="D1046" s="9" t="s">
        <v>79</v>
      </c>
      <c r="E1046" s="38">
        <v>2232</v>
      </c>
      <c r="F1046" s="39">
        <v>80758.5</v>
      </c>
      <c r="G1046" s="40">
        <v>36.182123655913983</v>
      </c>
      <c r="H1046" s="41">
        <v>-0.26422074457380068</v>
      </c>
      <c r="I1046" s="40">
        <v>36.181865053763438</v>
      </c>
      <c r="J1046" s="41">
        <v>0.99999285276472449</v>
      </c>
      <c r="K1046" s="9" t="s">
        <v>1658</v>
      </c>
    </row>
    <row r="1047" spans="1:11" x14ac:dyDescent="0.2">
      <c r="A1047" s="9" t="s">
        <v>49</v>
      </c>
      <c r="B1047" s="9" t="s">
        <v>1396</v>
      </c>
      <c r="C1047" s="9"/>
      <c r="D1047" s="9" t="s">
        <v>76</v>
      </c>
      <c r="E1047" s="38">
        <v>5500</v>
      </c>
      <c r="F1047" s="39">
        <v>3258269.24</v>
      </c>
      <c r="G1047" s="40">
        <v>592.41258909090902</v>
      </c>
      <c r="H1047" s="41">
        <v>9.0795477649815312E-2</v>
      </c>
      <c r="I1047" s="40">
        <v>54.936718909090906</v>
      </c>
      <c r="J1047" s="41">
        <v>9.2733881623607017E-2</v>
      </c>
      <c r="K1047" s="9" t="s">
        <v>1659</v>
      </c>
    </row>
    <row r="1048" spans="1:11" x14ac:dyDescent="0.2">
      <c r="A1048" s="9" t="s">
        <v>49</v>
      </c>
      <c r="B1048" s="9" t="s">
        <v>1660</v>
      </c>
      <c r="C1048" s="9"/>
      <c r="D1048" s="9" t="s">
        <v>83</v>
      </c>
      <c r="E1048" s="38">
        <v>1</v>
      </c>
      <c r="F1048" s="39">
        <v>0</v>
      </c>
      <c r="G1048" s="40"/>
      <c r="H1048" s="41"/>
      <c r="I1048" s="40">
        <v>48000</v>
      </c>
      <c r="J1048" s="41"/>
      <c r="K1048" s="9" t="s">
        <v>1661</v>
      </c>
    </row>
    <row r="1049" spans="1:11" x14ac:dyDescent="0.2">
      <c r="A1049" s="9" t="s">
        <v>49</v>
      </c>
      <c r="B1049" s="9" t="s">
        <v>301</v>
      </c>
      <c r="C1049" s="9"/>
      <c r="D1049" s="9" t="s">
        <v>82</v>
      </c>
      <c r="E1049" s="38">
        <v>3712</v>
      </c>
      <c r="F1049" s="39">
        <v>1284662.31</v>
      </c>
      <c r="G1049" s="40">
        <v>346.08359644396552</v>
      </c>
      <c r="H1049" s="41"/>
      <c r="I1049" s="40">
        <v>41.799428017241382</v>
      </c>
      <c r="J1049" s="41">
        <v>0.1207784143678972</v>
      </c>
      <c r="K1049" s="9" t="s">
        <v>1662</v>
      </c>
    </row>
    <row r="1050" spans="1:11" x14ac:dyDescent="0.2">
      <c r="A1050" s="9" t="s">
        <v>49</v>
      </c>
      <c r="B1050" s="9" t="s">
        <v>1663</v>
      </c>
      <c r="C1050" s="9"/>
      <c r="D1050" s="9" t="s">
        <v>76</v>
      </c>
      <c r="E1050" s="38">
        <v>3207</v>
      </c>
      <c r="F1050" s="39">
        <v>0</v>
      </c>
      <c r="G1050" s="40"/>
      <c r="H1050" s="41"/>
      <c r="I1050" s="40">
        <v>46.772684752104773</v>
      </c>
      <c r="J1050" s="41"/>
      <c r="K1050" s="9" t="s">
        <v>1664</v>
      </c>
    </row>
    <row r="1051" spans="1:11" x14ac:dyDescent="0.2">
      <c r="A1051" s="9" t="s">
        <v>49</v>
      </c>
      <c r="B1051" s="9" t="s">
        <v>1665</v>
      </c>
      <c r="C1051" s="9"/>
      <c r="D1051" s="9" t="s">
        <v>84</v>
      </c>
      <c r="E1051" s="38">
        <v>150</v>
      </c>
      <c r="F1051" s="39">
        <v>134789</v>
      </c>
      <c r="G1051" s="40">
        <v>898.59333333333336</v>
      </c>
      <c r="H1051" s="41"/>
      <c r="I1051" s="40">
        <v>637.96453599999995</v>
      </c>
      <c r="J1051" s="41">
        <v>0.70995912426088181</v>
      </c>
      <c r="K1051" s="9" t="s">
        <v>1666</v>
      </c>
    </row>
    <row r="1052" spans="1:11" x14ac:dyDescent="0.2">
      <c r="A1052" s="9" t="s">
        <v>49</v>
      </c>
      <c r="B1052" s="9" t="s">
        <v>1667</v>
      </c>
      <c r="C1052" s="9"/>
      <c r="D1052" s="9" t="s">
        <v>76</v>
      </c>
      <c r="E1052" s="38">
        <v>7920</v>
      </c>
      <c r="F1052" s="39">
        <v>2811275</v>
      </c>
      <c r="G1052" s="40">
        <v>354.95896464646472</v>
      </c>
      <c r="H1052" s="41">
        <v>-3.744016269541682E-2</v>
      </c>
      <c r="I1052" s="40">
        <v>30.303030303030301</v>
      </c>
      <c r="J1052" s="41">
        <v>8.5370516936265572E-2</v>
      </c>
      <c r="K1052" s="9" t="s">
        <v>1668</v>
      </c>
    </row>
    <row r="1053" spans="1:11" x14ac:dyDescent="0.2">
      <c r="A1053" s="9" t="s">
        <v>49</v>
      </c>
      <c r="B1053" s="9" t="s">
        <v>1669</v>
      </c>
      <c r="C1053" s="9"/>
      <c r="D1053" s="9" t="s">
        <v>80</v>
      </c>
      <c r="E1053" s="38">
        <v>554</v>
      </c>
      <c r="F1053" s="39">
        <v>0</v>
      </c>
      <c r="G1053" s="40"/>
      <c r="H1053" s="41"/>
      <c r="I1053" s="40">
        <v>149.60378989169669</v>
      </c>
      <c r="J1053" s="41"/>
      <c r="K1053" s="9" t="s">
        <v>1670</v>
      </c>
    </row>
    <row r="1054" spans="1:11" x14ac:dyDescent="0.2">
      <c r="A1054" s="9" t="s">
        <v>49</v>
      </c>
      <c r="B1054" s="9" t="s">
        <v>1671</v>
      </c>
      <c r="C1054" s="9"/>
      <c r="D1054" s="9" t="s">
        <v>76</v>
      </c>
      <c r="E1054" s="38">
        <v>2197</v>
      </c>
      <c r="F1054" s="39">
        <v>0</v>
      </c>
      <c r="G1054" s="40"/>
      <c r="H1054" s="41"/>
      <c r="I1054" s="40">
        <v>47.792444242148377</v>
      </c>
      <c r="J1054" s="41"/>
      <c r="K1054" s="9" t="s">
        <v>1672</v>
      </c>
    </row>
    <row r="1055" spans="1:11" x14ac:dyDescent="0.2">
      <c r="A1055" s="9" t="s">
        <v>49</v>
      </c>
      <c r="B1055" s="9" t="s">
        <v>309</v>
      </c>
      <c r="C1055" s="9"/>
      <c r="D1055" s="9" t="s">
        <v>80</v>
      </c>
      <c r="E1055" s="38">
        <v>552</v>
      </c>
      <c r="F1055" s="39">
        <v>748971.33000000007</v>
      </c>
      <c r="G1055" s="40">
        <v>1356.832119565217</v>
      </c>
      <c r="H1055" s="41">
        <v>3.062360604639763E-2</v>
      </c>
      <c r="I1055" s="40">
        <v>289.1549521739131</v>
      </c>
      <c r="J1055" s="41">
        <v>0.21311033841575749</v>
      </c>
      <c r="K1055" s="9" t="s">
        <v>1673</v>
      </c>
    </row>
    <row r="1056" spans="1:11" x14ac:dyDescent="0.2">
      <c r="A1056" s="9" t="s">
        <v>49</v>
      </c>
      <c r="B1056" s="9" t="s">
        <v>710</v>
      </c>
      <c r="C1056" s="9"/>
      <c r="D1056" s="9" t="s">
        <v>76</v>
      </c>
      <c r="E1056" s="38">
        <v>2158</v>
      </c>
      <c r="F1056" s="39">
        <v>375566</v>
      </c>
      <c r="G1056" s="40">
        <v>174.03429101019461</v>
      </c>
      <c r="H1056" s="41">
        <v>-0.1266907941809427</v>
      </c>
      <c r="I1056" s="40">
        <v>56.070634476366997</v>
      </c>
      <c r="J1056" s="41">
        <v>0.32218153187455728</v>
      </c>
      <c r="K1056" s="9" t="s">
        <v>1674</v>
      </c>
    </row>
    <row r="1057" spans="1:11" x14ac:dyDescent="0.2">
      <c r="A1057" s="9" t="s">
        <v>49</v>
      </c>
      <c r="B1057" s="9" t="s">
        <v>1675</v>
      </c>
      <c r="C1057" s="9"/>
      <c r="D1057" s="9" t="s">
        <v>76</v>
      </c>
      <c r="E1057" s="38">
        <v>2783</v>
      </c>
      <c r="F1057" s="39">
        <v>2163509.6</v>
      </c>
      <c r="G1057" s="40">
        <v>777.40194035213801</v>
      </c>
      <c r="H1057" s="41">
        <v>0.20603170610037211</v>
      </c>
      <c r="I1057" s="40">
        <v>74.733428781890041</v>
      </c>
      <c r="J1057" s="41">
        <v>9.6132290006940568E-2</v>
      </c>
      <c r="K1057" s="9" t="s">
        <v>1676</v>
      </c>
    </row>
    <row r="1058" spans="1:11" x14ac:dyDescent="0.2">
      <c r="A1058" s="9" t="s">
        <v>49</v>
      </c>
      <c r="B1058" s="9" t="s">
        <v>1677</v>
      </c>
      <c r="C1058" s="9"/>
      <c r="D1058" s="9" t="s">
        <v>83</v>
      </c>
      <c r="E1058" s="38">
        <v>1</v>
      </c>
      <c r="F1058" s="39">
        <v>0</v>
      </c>
      <c r="G1058" s="40"/>
      <c r="H1058" s="41"/>
      <c r="I1058" s="40">
        <v>110000.04</v>
      </c>
      <c r="J1058" s="41"/>
      <c r="K1058" s="9" t="s">
        <v>1678</v>
      </c>
    </row>
    <row r="1059" spans="1:11" x14ac:dyDescent="0.2">
      <c r="A1059" s="9" t="s">
        <v>49</v>
      </c>
      <c r="B1059" s="9" t="s">
        <v>317</v>
      </c>
      <c r="C1059" s="9"/>
      <c r="D1059" s="9" t="s">
        <v>76</v>
      </c>
      <c r="E1059" s="38">
        <v>3526</v>
      </c>
      <c r="F1059" s="39">
        <v>2307915.44</v>
      </c>
      <c r="G1059" s="40">
        <v>654.54209869540557</v>
      </c>
      <c r="H1059" s="41">
        <v>0.24308092332894601</v>
      </c>
      <c r="I1059" s="40">
        <v>68.057498695405556</v>
      </c>
      <c r="J1059" s="41">
        <v>0.1039772672087154</v>
      </c>
      <c r="K1059" s="9" t="s">
        <v>1679</v>
      </c>
    </row>
    <row r="1060" spans="1:11" x14ac:dyDescent="0.2">
      <c r="A1060" s="9" t="s">
        <v>49</v>
      </c>
      <c r="B1060" s="9" t="s">
        <v>1517</v>
      </c>
      <c r="C1060" s="9"/>
      <c r="D1060" s="9" t="s">
        <v>76</v>
      </c>
      <c r="E1060" s="38">
        <v>7508</v>
      </c>
      <c r="F1060" s="39">
        <v>2059753.91</v>
      </c>
      <c r="G1060" s="40">
        <v>274.34122402770379</v>
      </c>
      <c r="H1060" s="41">
        <v>0.2111346412691599</v>
      </c>
      <c r="I1060" s="40">
        <v>44.570735961640906</v>
      </c>
      <c r="J1060" s="41">
        <v>0.16246459539431091</v>
      </c>
      <c r="K1060" s="9" t="s">
        <v>1680</v>
      </c>
    </row>
    <row r="1061" spans="1:11" x14ac:dyDescent="0.2">
      <c r="A1061" s="9" t="s">
        <v>49</v>
      </c>
      <c r="B1061" s="9" t="s">
        <v>321</v>
      </c>
      <c r="C1061" s="9"/>
      <c r="D1061" s="9" t="s">
        <v>78</v>
      </c>
      <c r="E1061" s="38">
        <v>892</v>
      </c>
      <c r="F1061" s="39">
        <v>1676133.84</v>
      </c>
      <c r="G1061" s="40">
        <v>1879.0738116591931</v>
      </c>
      <c r="H1061" s="41">
        <v>-2.8751186148110171E-2</v>
      </c>
      <c r="I1061" s="40">
        <v>189.1130058295964</v>
      </c>
      <c r="J1061" s="41">
        <v>0.10064160580398521</v>
      </c>
      <c r="K1061" s="9" t="s">
        <v>1681</v>
      </c>
    </row>
    <row r="1062" spans="1:11" x14ac:dyDescent="0.2">
      <c r="A1062" s="9" t="s">
        <v>49</v>
      </c>
      <c r="B1062" s="9" t="s">
        <v>1682</v>
      </c>
      <c r="C1062" s="9"/>
      <c r="D1062" s="9" t="s">
        <v>77</v>
      </c>
      <c r="E1062" s="38">
        <v>2131</v>
      </c>
      <c r="F1062" s="39">
        <v>1098938.71</v>
      </c>
      <c r="G1062" s="40">
        <v>515.69155795401218</v>
      </c>
      <c r="H1062" s="41">
        <v>-7.7408290702277407E-2</v>
      </c>
      <c r="I1062" s="40">
        <v>68.280398122946963</v>
      </c>
      <c r="J1062" s="41">
        <v>0.13240549912014651</v>
      </c>
      <c r="K1062" s="9" t="s">
        <v>1683</v>
      </c>
    </row>
    <row r="1063" spans="1:11" x14ac:dyDescent="0.2">
      <c r="A1063" s="9" t="s">
        <v>49</v>
      </c>
      <c r="B1063" s="9" t="s">
        <v>1684</v>
      </c>
      <c r="C1063" s="9"/>
      <c r="D1063" s="9" t="s">
        <v>79</v>
      </c>
      <c r="E1063" s="38">
        <v>1143</v>
      </c>
      <c r="F1063" s="39">
        <v>828423.10000000009</v>
      </c>
      <c r="G1063" s="40">
        <v>724.77961504811901</v>
      </c>
      <c r="H1063" s="41">
        <v>0.93514258070268141</v>
      </c>
      <c r="I1063" s="40">
        <v>80.171225196850372</v>
      </c>
      <c r="J1063" s="41">
        <v>0.11061462482154349</v>
      </c>
      <c r="K1063" s="9" t="s">
        <v>1685</v>
      </c>
    </row>
    <row r="1064" spans="1:11" x14ac:dyDescent="0.2">
      <c r="A1064" s="9" t="s">
        <v>49</v>
      </c>
      <c r="B1064" s="9" t="s">
        <v>331</v>
      </c>
      <c r="C1064" s="9"/>
      <c r="D1064" s="9" t="s">
        <v>81</v>
      </c>
      <c r="E1064" s="38">
        <v>999</v>
      </c>
      <c r="F1064" s="39">
        <v>0</v>
      </c>
      <c r="G1064" s="40"/>
      <c r="H1064" s="41"/>
      <c r="I1064" s="40">
        <v>145.14514474474481</v>
      </c>
      <c r="J1064" s="41"/>
      <c r="K1064" s="9" t="s">
        <v>1686</v>
      </c>
    </row>
    <row r="1065" spans="1:11" x14ac:dyDescent="0.2">
      <c r="A1065" s="9" t="s">
        <v>49</v>
      </c>
      <c r="B1065" s="9" t="s">
        <v>607</v>
      </c>
      <c r="C1065" s="9"/>
      <c r="D1065" s="9" t="s">
        <v>85</v>
      </c>
      <c r="E1065" s="38">
        <v>11000</v>
      </c>
      <c r="F1065" s="39">
        <v>5554671.3800000008</v>
      </c>
      <c r="G1065" s="40">
        <v>504.97012545454561</v>
      </c>
      <c r="H1065" s="41">
        <v>8.436374873085685E-2</v>
      </c>
      <c r="I1065" s="40">
        <v>50.497016181818189</v>
      </c>
      <c r="J1065" s="41">
        <v>0.1000000072011461</v>
      </c>
      <c r="K1065" s="9" t="s">
        <v>1687</v>
      </c>
    </row>
    <row r="1066" spans="1:11" x14ac:dyDescent="0.2">
      <c r="A1066" s="9" t="s">
        <v>49</v>
      </c>
      <c r="B1066" s="9" t="s">
        <v>1688</v>
      </c>
      <c r="C1066" s="9"/>
      <c r="D1066" s="9" t="s">
        <v>86</v>
      </c>
      <c r="E1066" s="38">
        <v>50704</v>
      </c>
      <c r="F1066" s="39">
        <v>0</v>
      </c>
      <c r="G1066" s="40"/>
      <c r="H1066" s="41"/>
      <c r="I1066" s="40">
        <v>12</v>
      </c>
      <c r="J1066" s="41"/>
      <c r="K1066" s="9" t="s">
        <v>1689</v>
      </c>
    </row>
    <row r="1067" spans="1:11" x14ac:dyDescent="0.2">
      <c r="A1067" s="9" t="s">
        <v>49</v>
      </c>
      <c r="B1067" s="9" t="s">
        <v>1690</v>
      </c>
      <c r="C1067" s="9"/>
      <c r="D1067" s="9" t="s">
        <v>80</v>
      </c>
      <c r="E1067" s="38">
        <v>1011</v>
      </c>
      <c r="F1067" s="39">
        <v>270062.62</v>
      </c>
      <c r="G1067" s="40">
        <v>267.12425321463888</v>
      </c>
      <c r="H1067" s="41">
        <v>-0.1935933658951598</v>
      </c>
      <c r="I1067" s="40">
        <v>40.633731750741838</v>
      </c>
      <c r="J1067" s="41">
        <v>0.15211547158951499</v>
      </c>
      <c r="K1067" s="9" t="s">
        <v>1691</v>
      </c>
    </row>
    <row r="1068" spans="1:11" x14ac:dyDescent="0.2">
      <c r="A1068" s="9" t="s">
        <v>49</v>
      </c>
      <c r="B1068" s="9" t="s">
        <v>520</v>
      </c>
      <c r="C1068" s="9"/>
      <c r="D1068" s="9" t="s">
        <v>77</v>
      </c>
      <c r="E1068" s="38">
        <v>8485</v>
      </c>
      <c r="F1068" s="39">
        <v>2205894.31</v>
      </c>
      <c r="G1068" s="40">
        <v>259.97575839717149</v>
      </c>
      <c r="H1068" s="41">
        <v>-9.2318165782005482E-2</v>
      </c>
      <c r="I1068" s="40">
        <v>39.961294048320561</v>
      </c>
      <c r="J1068" s="41">
        <v>0.15371161640105949</v>
      </c>
      <c r="K1068" s="9" t="s">
        <v>1692</v>
      </c>
    </row>
    <row r="1069" spans="1:11" x14ac:dyDescent="0.2">
      <c r="A1069" s="9" t="s">
        <v>49</v>
      </c>
      <c r="B1069" s="9" t="s">
        <v>1693</v>
      </c>
      <c r="C1069" s="9"/>
      <c r="D1069" s="9" t="s">
        <v>76</v>
      </c>
      <c r="E1069" s="38">
        <v>5044</v>
      </c>
      <c r="F1069" s="39">
        <v>463981.41</v>
      </c>
      <c r="G1069" s="40">
        <v>91.986798176050755</v>
      </c>
      <c r="H1069" s="41">
        <v>0.83066957165838207</v>
      </c>
      <c r="I1069" s="40">
        <v>9.1986798176050755</v>
      </c>
      <c r="J1069" s="41">
        <v>0.1</v>
      </c>
      <c r="K1069" s="9" t="s">
        <v>1694</v>
      </c>
    </row>
    <row r="1070" spans="1:11" x14ac:dyDescent="0.2">
      <c r="A1070" s="9" t="s">
        <v>49</v>
      </c>
      <c r="B1070" s="9" t="s">
        <v>339</v>
      </c>
      <c r="C1070" s="9"/>
      <c r="D1070" s="9" t="s">
        <v>80</v>
      </c>
      <c r="E1070" s="38">
        <v>847</v>
      </c>
      <c r="F1070" s="39">
        <v>1115949.04</v>
      </c>
      <c r="G1070" s="40">
        <v>1317.5313341204251</v>
      </c>
      <c r="H1070" s="41">
        <v>6.4301520132742179E-2</v>
      </c>
      <c r="I1070" s="40">
        <v>251.0288429752066</v>
      </c>
      <c r="J1070" s="41">
        <v>0.1905296947968162</v>
      </c>
      <c r="K1070" s="9" t="s">
        <v>1695</v>
      </c>
    </row>
    <row r="1071" spans="1:11" x14ac:dyDescent="0.2">
      <c r="A1071" s="9" t="s">
        <v>49</v>
      </c>
      <c r="B1071" s="9" t="s">
        <v>343</v>
      </c>
      <c r="C1071" s="9"/>
      <c r="D1071" s="9" t="s">
        <v>79</v>
      </c>
      <c r="E1071" s="38">
        <v>3939</v>
      </c>
      <c r="F1071" s="39">
        <v>8388011.3000000017</v>
      </c>
      <c r="G1071" s="40">
        <v>2129.4773546585429</v>
      </c>
      <c r="H1071" s="41">
        <v>2.9612682440263671E-2</v>
      </c>
      <c r="I1071" s="40">
        <v>148.24274308200049</v>
      </c>
      <c r="J1071" s="41">
        <v>6.9614613537776232E-2</v>
      </c>
      <c r="K1071" s="9" t="s">
        <v>1696</v>
      </c>
    </row>
    <row r="1072" spans="1:11" x14ac:dyDescent="0.2">
      <c r="A1072" s="9" t="s">
        <v>49</v>
      </c>
      <c r="B1072" s="9" t="s">
        <v>1697</v>
      </c>
      <c r="C1072" s="9"/>
      <c r="D1072" s="9" t="s">
        <v>76</v>
      </c>
      <c r="E1072" s="38">
        <v>802</v>
      </c>
      <c r="F1072" s="39">
        <v>0</v>
      </c>
      <c r="G1072" s="40"/>
      <c r="H1072" s="41"/>
      <c r="I1072" s="40">
        <v>105.99</v>
      </c>
      <c r="J1072" s="41"/>
      <c r="K1072" s="9" t="s">
        <v>1698</v>
      </c>
    </row>
    <row r="1073" spans="1:11" x14ac:dyDescent="0.2">
      <c r="A1073" s="9" t="s">
        <v>49</v>
      </c>
      <c r="B1073" s="9" t="s">
        <v>353</v>
      </c>
      <c r="C1073" s="9"/>
      <c r="D1073" s="9" t="s">
        <v>76</v>
      </c>
      <c r="E1073" s="38">
        <v>2126</v>
      </c>
      <c r="F1073" s="39">
        <v>1087062.6499999999</v>
      </c>
      <c r="G1073" s="40">
        <v>511.31827375352782</v>
      </c>
      <c r="H1073" s="41">
        <v>-6.9067564932902684E-2</v>
      </c>
      <c r="I1073" s="40">
        <v>71.161364252116641</v>
      </c>
      <c r="J1073" s="41">
        <v>0.13917234705837789</v>
      </c>
      <c r="K1073" s="9" t="s">
        <v>1699</v>
      </c>
    </row>
    <row r="1074" spans="1:11" x14ac:dyDescent="0.2">
      <c r="A1074" s="9" t="s">
        <v>49</v>
      </c>
      <c r="B1074" s="9" t="s">
        <v>355</v>
      </c>
      <c r="C1074" s="9"/>
      <c r="D1074" s="9" t="s">
        <v>82</v>
      </c>
      <c r="E1074" s="38">
        <v>2118</v>
      </c>
      <c r="F1074" s="39">
        <v>1089129.05</v>
      </c>
      <c r="G1074" s="40">
        <v>514.22523607176583</v>
      </c>
      <c r="H1074" s="41">
        <v>-0.10354462207560811</v>
      </c>
      <c r="I1074" s="40">
        <v>74.140653918791315</v>
      </c>
      <c r="J1074" s="41">
        <v>0.14417933760925761</v>
      </c>
      <c r="K1074" s="9" t="s">
        <v>1700</v>
      </c>
    </row>
    <row r="1075" spans="1:11" x14ac:dyDescent="0.2">
      <c r="A1075" s="9" t="s">
        <v>49</v>
      </c>
      <c r="B1075" s="9" t="s">
        <v>1701</v>
      </c>
      <c r="C1075" s="9"/>
      <c r="D1075" s="9" t="s">
        <v>81</v>
      </c>
      <c r="E1075" s="38">
        <v>1452</v>
      </c>
      <c r="F1075" s="39">
        <v>195894.86</v>
      </c>
      <c r="G1075" s="40">
        <v>134.91381542699719</v>
      </c>
      <c r="H1075" s="41"/>
      <c r="I1075" s="40">
        <v>66.686624793388418</v>
      </c>
      <c r="J1075" s="41">
        <v>0.49429055565827501</v>
      </c>
      <c r="K1075" s="9" t="s">
        <v>1702</v>
      </c>
    </row>
    <row r="1076" spans="1:11" x14ac:dyDescent="0.2">
      <c r="A1076" s="9" t="s">
        <v>49</v>
      </c>
      <c r="B1076" s="9" t="s">
        <v>538</v>
      </c>
      <c r="C1076" s="9"/>
      <c r="D1076" s="9" t="s">
        <v>80</v>
      </c>
      <c r="E1076" s="38">
        <v>1456</v>
      </c>
      <c r="F1076" s="39">
        <v>1470132.75</v>
      </c>
      <c r="G1076" s="40">
        <v>1009.706559065934</v>
      </c>
      <c r="H1076" s="41">
        <v>-7.7446008646578177E-2</v>
      </c>
      <c r="I1076" s="40">
        <v>94.748330013736236</v>
      </c>
      <c r="J1076" s="41">
        <v>9.3837490866045925E-2</v>
      </c>
      <c r="K1076" s="9" t="s">
        <v>1703</v>
      </c>
    </row>
    <row r="1077" spans="1:11" x14ac:dyDescent="0.2">
      <c r="A1077" s="9" t="s">
        <v>49</v>
      </c>
      <c r="B1077" s="9" t="s">
        <v>1419</v>
      </c>
      <c r="C1077" s="9"/>
      <c r="D1077" s="9" t="s">
        <v>80</v>
      </c>
      <c r="E1077" s="38">
        <v>564</v>
      </c>
      <c r="F1077" s="39">
        <v>534344.52</v>
      </c>
      <c r="G1077" s="40">
        <v>947.41936170212773</v>
      </c>
      <c r="H1077" s="41">
        <v>-6.0017961343319083E-2</v>
      </c>
      <c r="I1077" s="40">
        <v>142.11290425531911</v>
      </c>
      <c r="J1077" s="41">
        <v>0.15</v>
      </c>
      <c r="K1077" s="9" t="s">
        <v>1704</v>
      </c>
    </row>
    <row r="1078" spans="1:11" x14ac:dyDescent="0.2">
      <c r="A1078" s="9" t="s">
        <v>49</v>
      </c>
      <c r="B1078" s="9" t="s">
        <v>357</v>
      </c>
      <c r="C1078" s="9"/>
      <c r="D1078" s="9" t="s">
        <v>76</v>
      </c>
      <c r="E1078" s="38">
        <v>1052</v>
      </c>
      <c r="F1078" s="39">
        <v>1458922.02</v>
      </c>
      <c r="G1078" s="40">
        <v>1386.808003802282</v>
      </c>
      <c r="H1078" s="41">
        <v>1.1492533093753881E-2</v>
      </c>
      <c r="I1078" s="40">
        <v>166.7040923954373</v>
      </c>
      <c r="J1078" s="41">
        <v>0.1202070451990299</v>
      </c>
      <c r="K1078" s="9" t="s">
        <v>1705</v>
      </c>
    </row>
    <row r="1079" spans="1:11" x14ac:dyDescent="0.2">
      <c r="A1079" s="9" t="s">
        <v>49</v>
      </c>
      <c r="B1079" s="9" t="s">
        <v>545</v>
      </c>
      <c r="C1079" s="9"/>
      <c r="D1079" s="9" t="s">
        <v>76</v>
      </c>
      <c r="E1079" s="38">
        <v>7612</v>
      </c>
      <c r="F1079" s="39">
        <v>1996011.02</v>
      </c>
      <c r="G1079" s="40">
        <v>262.21899894902788</v>
      </c>
      <c r="H1079" s="41">
        <v>-1.864400868648531E-2</v>
      </c>
      <c r="I1079" s="40">
        <v>42.005659485023642</v>
      </c>
      <c r="J1079" s="41">
        <v>0.16019304342317711</v>
      </c>
      <c r="K1079" s="9" t="s">
        <v>1706</v>
      </c>
    </row>
    <row r="1080" spans="1:11" x14ac:dyDescent="0.2">
      <c r="A1080" s="9" t="s">
        <v>49</v>
      </c>
      <c r="B1080" s="9" t="s">
        <v>1707</v>
      </c>
      <c r="C1080" s="9"/>
      <c r="D1080" s="9" t="s">
        <v>81</v>
      </c>
      <c r="E1080" s="38">
        <v>4554</v>
      </c>
      <c r="F1080" s="39">
        <v>0</v>
      </c>
      <c r="G1080" s="40"/>
      <c r="H1080" s="41"/>
      <c r="I1080" s="40">
        <v>51.008599999999987</v>
      </c>
      <c r="J1080" s="41"/>
      <c r="K1080" s="9" t="s">
        <v>1708</v>
      </c>
    </row>
    <row r="1081" spans="1:11" x14ac:dyDescent="0.2">
      <c r="A1081" s="9" t="s">
        <v>49</v>
      </c>
      <c r="B1081" s="9" t="s">
        <v>365</v>
      </c>
      <c r="C1081" s="9"/>
      <c r="D1081" s="9" t="s">
        <v>81</v>
      </c>
      <c r="E1081" s="38">
        <v>8720</v>
      </c>
      <c r="F1081" s="39">
        <v>8207809.2600000007</v>
      </c>
      <c r="G1081" s="40">
        <v>941.26252981651385</v>
      </c>
      <c r="H1081" s="41">
        <v>-1.165547616764841E-2</v>
      </c>
      <c r="I1081" s="40">
        <v>57.877623853211013</v>
      </c>
      <c r="J1081" s="41">
        <v>6.1489352884889027E-2</v>
      </c>
      <c r="K1081" s="9" t="s">
        <v>1709</v>
      </c>
    </row>
    <row r="1082" spans="1:11" x14ac:dyDescent="0.2">
      <c r="A1082" s="9" t="s">
        <v>49</v>
      </c>
      <c r="B1082" s="9" t="s">
        <v>550</v>
      </c>
      <c r="C1082" s="9"/>
      <c r="D1082" s="9" t="s">
        <v>76</v>
      </c>
      <c r="E1082" s="38">
        <v>3500</v>
      </c>
      <c r="F1082" s="39">
        <v>928081.77000000014</v>
      </c>
      <c r="G1082" s="40">
        <v>265.16622000000012</v>
      </c>
      <c r="H1082" s="41">
        <v>-7.1153460421546688E-2</v>
      </c>
      <c r="I1082" s="40">
        <v>32.857142742857143</v>
      </c>
      <c r="J1082" s="41">
        <v>0.12391149499682549</v>
      </c>
      <c r="K1082" s="9" t="s">
        <v>1710</v>
      </c>
    </row>
    <row r="1083" spans="1:11" x14ac:dyDescent="0.2">
      <c r="A1083" s="9" t="s">
        <v>49</v>
      </c>
      <c r="B1083" s="9" t="s">
        <v>1711</v>
      </c>
      <c r="C1083" s="9"/>
      <c r="D1083" s="9" t="s">
        <v>76</v>
      </c>
      <c r="E1083" s="38">
        <v>1709</v>
      </c>
      <c r="F1083" s="39">
        <v>621890.68999999994</v>
      </c>
      <c r="G1083" s="40">
        <v>363.8915681685196</v>
      </c>
      <c r="H1083" s="41">
        <v>3.4211410297617179E-2</v>
      </c>
      <c r="I1083" s="40">
        <v>40.502913984786417</v>
      </c>
      <c r="J1083" s="41">
        <v>0.1113048982932997</v>
      </c>
      <c r="K1083" s="9" t="s">
        <v>1712</v>
      </c>
    </row>
    <row r="1084" spans="1:11" x14ac:dyDescent="0.2">
      <c r="A1084" s="9" t="s">
        <v>49</v>
      </c>
      <c r="B1084" s="9" t="s">
        <v>1713</v>
      </c>
      <c r="C1084" s="9"/>
      <c r="D1084" s="9" t="s">
        <v>81</v>
      </c>
      <c r="E1084" s="38">
        <v>659</v>
      </c>
      <c r="F1084" s="39">
        <v>853578</v>
      </c>
      <c r="G1084" s="40">
        <v>1295.262518968133</v>
      </c>
      <c r="H1084" s="41">
        <v>-3.4404113517889023E-2</v>
      </c>
      <c r="I1084" s="40">
        <v>166.68866221547799</v>
      </c>
      <c r="J1084" s="41">
        <v>0.1286910257762032</v>
      </c>
      <c r="K1084" s="9" t="s">
        <v>1714</v>
      </c>
    </row>
    <row r="1085" spans="1:11" x14ac:dyDescent="0.2">
      <c r="A1085" s="9" t="s">
        <v>49</v>
      </c>
      <c r="B1085" s="9" t="s">
        <v>1715</v>
      </c>
      <c r="C1085" s="9"/>
      <c r="D1085" s="9" t="s">
        <v>80</v>
      </c>
      <c r="E1085" s="38">
        <v>443</v>
      </c>
      <c r="F1085" s="39">
        <v>307007.49</v>
      </c>
      <c r="G1085" s="40">
        <v>693.01916478555302</v>
      </c>
      <c r="H1085" s="41">
        <v>1.609821285418625E-2</v>
      </c>
      <c r="I1085" s="40">
        <v>144.10353860045149</v>
      </c>
      <c r="J1085" s="41">
        <v>0.20793586371459541</v>
      </c>
      <c r="K1085" s="9" t="s">
        <v>1716</v>
      </c>
    </row>
    <row r="1086" spans="1:11" x14ac:dyDescent="0.2">
      <c r="A1086" s="9" t="s">
        <v>49</v>
      </c>
      <c r="B1086" s="9" t="s">
        <v>367</v>
      </c>
      <c r="C1086" s="9"/>
      <c r="D1086" s="9" t="s">
        <v>76</v>
      </c>
      <c r="E1086" s="38">
        <v>6326</v>
      </c>
      <c r="F1086" s="39">
        <v>1266806.55</v>
      </c>
      <c r="G1086" s="40">
        <v>200.2539598482453</v>
      </c>
      <c r="H1086" s="41">
        <v>-0.10536248496353651</v>
      </c>
      <c r="I1086" s="40">
        <v>22.76</v>
      </c>
      <c r="J1086" s="41">
        <v>0.1136556801036433</v>
      </c>
      <c r="K1086" s="9" t="s">
        <v>1717</v>
      </c>
    </row>
    <row r="1087" spans="1:11" x14ac:dyDescent="0.2">
      <c r="A1087" s="9" t="s">
        <v>49</v>
      </c>
      <c r="B1087" s="9" t="s">
        <v>371</v>
      </c>
      <c r="C1087" s="9"/>
      <c r="D1087" s="9" t="s">
        <v>76</v>
      </c>
      <c r="E1087" s="38">
        <v>3008</v>
      </c>
      <c r="F1087" s="39">
        <v>480088.9</v>
      </c>
      <c r="G1087" s="40">
        <v>159.60402260638301</v>
      </c>
      <c r="H1087" s="41">
        <v>-0.17188301929213631</v>
      </c>
      <c r="I1087" s="40">
        <v>57.308988829787232</v>
      </c>
      <c r="J1087" s="41">
        <v>0.35906982727573988</v>
      </c>
      <c r="K1087" s="9" t="s">
        <v>1718</v>
      </c>
    </row>
    <row r="1088" spans="1:11" x14ac:dyDescent="0.2">
      <c r="A1088" s="9" t="s">
        <v>49</v>
      </c>
      <c r="B1088" s="9" t="s">
        <v>1719</v>
      </c>
      <c r="C1088" s="9"/>
      <c r="D1088" s="9" t="s">
        <v>83</v>
      </c>
      <c r="E1088" s="38">
        <v>75000</v>
      </c>
      <c r="F1088" s="39">
        <v>0</v>
      </c>
      <c r="G1088" s="40"/>
      <c r="H1088" s="41"/>
      <c r="I1088" s="40">
        <v>6.4533328000000001E-2</v>
      </c>
      <c r="J1088" s="41"/>
      <c r="K1088" s="9" t="s">
        <v>1720</v>
      </c>
    </row>
    <row r="1089" spans="1:11" x14ac:dyDescent="0.2">
      <c r="A1089" s="9" t="s">
        <v>49</v>
      </c>
      <c r="B1089" s="9" t="s">
        <v>1050</v>
      </c>
      <c r="C1089" s="9"/>
      <c r="D1089" s="9" t="s">
        <v>77</v>
      </c>
      <c r="E1089" s="38">
        <v>2328</v>
      </c>
      <c r="F1089" s="39">
        <v>2150867</v>
      </c>
      <c r="G1089" s="40">
        <v>923.91194158075598</v>
      </c>
      <c r="H1089" s="41">
        <v>-2.0882119632586411E-2</v>
      </c>
      <c r="I1089" s="40">
        <v>83.100263659793811</v>
      </c>
      <c r="J1089" s="41">
        <v>8.9943922055617562E-2</v>
      </c>
      <c r="K1089" s="9" t="s">
        <v>1721</v>
      </c>
    </row>
    <row r="1090" spans="1:11" x14ac:dyDescent="0.2">
      <c r="A1090" s="9" t="s">
        <v>49</v>
      </c>
      <c r="B1090" s="9" t="s">
        <v>376</v>
      </c>
      <c r="C1090" s="9"/>
      <c r="D1090" s="9" t="s">
        <v>79</v>
      </c>
      <c r="E1090" s="38">
        <v>10044</v>
      </c>
      <c r="F1090" s="39">
        <v>0</v>
      </c>
      <c r="G1090" s="40"/>
      <c r="H1090" s="41"/>
      <c r="I1090" s="40">
        <v>59</v>
      </c>
      <c r="J1090" s="41"/>
      <c r="K1090" s="9" t="s">
        <v>1722</v>
      </c>
    </row>
    <row r="1091" spans="1:11" x14ac:dyDescent="0.2">
      <c r="A1091" s="9" t="s">
        <v>49</v>
      </c>
      <c r="B1091" s="9" t="s">
        <v>388</v>
      </c>
      <c r="C1091" s="9"/>
      <c r="D1091" s="9" t="s">
        <v>76</v>
      </c>
      <c r="E1091" s="38">
        <v>12785</v>
      </c>
      <c r="F1091" s="39">
        <v>5032983.26</v>
      </c>
      <c r="G1091" s="40">
        <v>393.66314118107152</v>
      </c>
      <c r="H1091" s="41">
        <v>-5.4150305566433368E-2</v>
      </c>
      <c r="I1091" s="40">
        <v>72.204917293703559</v>
      </c>
      <c r="J1091" s="41">
        <v>0.1834180286147028</v>
      </c>
      <c r="K1091" s="9" t="s">
        <v>1723</v>
      </c>
    </row>
    <row r="1092" spans="1:11" x14ac:dyDescent="0.2">
      <c r="A1092" s="9" t="s">
        <v>49</v>
      </c>
      <c r="B1092" s="9" t="s">
        <v>390</v>
      </c>
      <c r="C1092" s="9"/>
      <c r="D1092" s="9" t="s">
        <v>83</v>
      </c>
      <c r="E1092" s="38">
        <v>3933</v>
      </c>
      <c r="F1092" s="39">
        <v>861562</v>
      </c>
      <c r="G1092" s="40">
        <v>219.0597508263412</v>
      </c>
      <c r="H1092" s="41">
        <v>-7.2512220007349457E-2</v>
      </c>
      <c r="I1092" s="40">
        <v>43.224002135774207</v>
      </c>
      <c r="J1092" s="41">
        <v>0.19731603807967391</v>
      </c>
      <c r="K1092" s="9" t="s">
        <v>1724</v>
      </c>
    </row>
    <row r="1093" spans="1:11" x14ac:dyDescent="0.2">
      <c r="A1093" s="9" t="s">
        <v>49</v>
      </c>
      <c r="B1093" s="9" t="s">
        <v>1564</v>
      </c>
      <c r="C1093" s="9"/>
      <c r="D1093" s="9" t="s">
        <v>83</v>
      </c>
      <c r="E1093" s="38">
        <v>1</v>
      </c>
      <c r="F1093" s="39">
        <v>0</v>
      </c>
      <c r="G1093" s="40"/>
      <c r="H1093" s="41"/>
      <c r="I1093" s="40">
        <v>35775</v>
      </c>
      <c r="J1093" s="41"/>
      <c r="K1093" s="9" t="s">
        <v>1725</v>
      </c>
    </row>
    <row r="1094" spans="1:11" x14ac:dyDescent="0.2">
      <c r="A1094" s="9" t="s">
        <v>49</v>
      </c>
      <c r="B1094" s="9" t="s">
        <v>741</v>
      </c>
      <c r="C1094" s="9"/>
      <c r="D1094" s="9" t="s">
        <v>80</v>
      </c>
      <c r="E1094" s="38">
        <v>220</v>
      </c>
      <c r="F1094" s="39">
        <v>231569.82</v>
      </c>
      <c r="G1094" s="40">
        <v>1052.590090909091</v>
      </c>
      <c r="H1094" s="41"/>
      <c r="I1094" s="40">
        <v>327.72727090909092</v>
      </c>
      <c r="J1094" s="41">
        <v>0.31135317892461112</v>
      </c>
      <c r="K1094" s="9" t="s">
        <v>1726</v>
      </c>
    </row>
    <row r="1095" spans="1:11" x14ac:dyDescent="0.2">
      <c r="A1095" s="9" t="s">
        <v>49</v>
      </c>
      <c r="B1095" s="9" t="s">
        <v>571</v>
      </c>
      <c r="C1095" s="9"/>
      <c r="D1095" s="9" t="s">
        <v>76</v>
      </c>
      <c r="E1095" s="38">
        <v>3589</v>
      </c>
      <c r="F1095" s="39">
        <v>849176.82</v>
      </c>
      <c r="G1095" s="40">
        <v>236.6054109779883</v>
      </c>
      <c r="H1095" s="41">
        <v>-4.1608672129397103E-2</v>
      </c>
      <c r="I1095" s="40">
        <v>64.986784062412937</v>
      </c>
      <c r="J1095" s="41">
        <v>0.27466313552930011</v>
      </c>
      <c r="K1095" s="9" t="s">
        <v>1727</v>
      </c>
    </row>
    <row r="1096" spans="1:11" x14ac:dyDescent="0.2">
      <c r="A1096" s="9" t="s">
        <v>49</v>
      </c>
      <c r="B1096" s="9" t="s">
        <v>644</v>
      </c>
      <c r="C1096" s="9"/>
      <c r="D1096" s="9" t="s">
        <v>82</v>
      </c>
      <c r="E1096" s="38">
        <v>4219</v>
      </c>
      <c r="F1096" s="39">
        <v>3386135.67</v>
      </c>
      <c r="G1096" s="40">
        <v>802.59200521450589</v>
      </c>
      <c r="H1096" s="41">
        <v>5.8713456032489182E-2</v>
      </c>
      <c r="I1096" s="40">
        <v>72.233280469305527</v>
      </c>
      <c r="J1096" s="41">
        <v>0.09</v>
      </c>
      <c r="K1096" s="9" t="s">
        <v>1728</v>
      </c>
    </row>
    <row r="1097" spans="1:11" x14ac:dyDescent="0.2">
      <c r="A1097" s="9" t="s">
        <v>49</v>
      </c>
      <c r="B1097" s="9" t="s">
        <v>392</v>
      </c>
      <c r="C1097" s="9"/>
      <c r="D1097" s="9" t="s">
        <v>76</v>
      </c>
      <c r="E1097" s="38">
        <v>4006</v>
      </c>
      <c r="F1097" s="39">
        <v>1411226.75</v>
      </c>
      <c r="G1097" s="40">
        <v>352.2782700948577</v>
      </c>
      <c r="H1097" s="41">
        <v>-0.13244041511005741</v>
      </c>
      <c r="I1097" s="40">
        <v>40.286566325511743</v>
      </c>
      <c r="J1097" s="41">
        <v>0.1143600663040153</v>
      </c>
      <c r="K1097" s="9" t="s">
        <v>1729</v>
      </c>
    </row>
    <row r="1098" spans="1:11" x14ac:dyDescent="0.2">
      <c r="A1098" s="9" t="s">
        <v>49</v>
      </c>
      <c r="B1098" s="9" t="s">
        <v>574</v>
      </c>
      <c r="C1098" s="9"/>
      <c r="D1098" s="9" t="s">
        <v>82</v>
      </c>
      <c r="E1098" s="38">
        <v>1857</v>
      </c>
      <c r="F1098" s="39">
        <v>343873</v>
      </c>
      <c r="G1098" s="40">
        <v>185.17662897145931</v>
      </c>
      <c r="H1098" s="41">
        <v>-0.26589611745144293</v>
      </c>
      <c r="I1098" s="40">
        <v>23.694130533117931</v>
      </c>
      <c r="J1098" s="41">
        <v>0.1279542168184184</v>
      </c>
      <c r="K1098" s="9" t="s">
        <v>1730</v>
      </c>
    </row>
    <row r="1099" spans="1:11" x14ac:dyDescent="0.2">
      <c r="A1099" s="9" t="s">
        <v>49</v>
      </c>
      <c r="B1099" s="9" t="s">
        <v>396</v>
      </c>
      <c r="C1099" s="9"/>
      <c r="D1099" s="9" t="s">
        <v>78</v>
      </c>
      <c r="E1099" s="38">
        <v>1500</v>
      </c>
      <c r="F1099" s="39">
        <v>1422067.31</v>
      </c>
      <c r="G1099" s="40">
        <v>948.0448733333335</v>
      </c>
      <c r="H1099" s="41">
        <v>-8.5334958990604531E-2</v>
      </c>
      <c r="I1099" s="40">
        <v>97.77</v>
      </c>
      <c r="J1099" s="41">
        <v>0.10312802985394549</v>
      </c>
      <c r="K1099" s="9" t="s">
        <v>1731</v>
      </c>
    </row>
    <row r="1100" spans="1:11" x14ac:dyDescent="0.2">
      <c r="A1100" s="9" t="s">
        <v>49</v>
      </c>
      <c r="B1100" s="9" t="s">
        <v>1732</v>
      </c>
      <c r="C1100" s="9"/>
      <c r="D1100" s="9" t="s">
        <v>82</v>
      </c>
      <c r="E1100" s="38">
        <v>150</v>
      </c>
      <c r="F1100" s="39">
        <v>57052</v>
      </c>
      <c r="G1100" s="40">
        <v>380.34666666666669</v>
      </c>
      <c r="H1100" s="41">
        <v>-0.13843866370187799</v>
      </c>
      <c r="I1100" s="40">
        <v>57.051999999999992</v>
      </c>
      <c r="J1100" s="41">
        <v>0.15</v>
      </c>
      <c r="K1100" s="9" t="s">
        <v>1733</v>
      </c>
    </row>
    <row r="1101" spans="1:11" x14ac:dyDescent="0.2">
      <c r="A1101" s="9" t="s">
        <v>49</v>
      </c>
      <c r="B1101" s="9" t="s">
        <v>398</v>
      </c>
      <c r="C1101" s="9"/>
      <c r="D1101" s="9" t="s">
        <v>76</v>
      </c>
      <c r="E1101" s="38">
        <v>2878</v>
      </c>
      <c r="F1101" s="39">
        <v>859323.1100000001</v>
      </c>
      <c r="G1101" s="40">
        <v>298.5834294649062</v>
      </c>
      <c r="H1101" s="41">
        <v>0.1162583761431131</v>
      </c>
      <c r="I1101" s="40">
        <v>57.975107713690058</v>
      </c>
      <c r="J1101" s="41">
        <v>0.1941671974817481</v>
      </c>
      <c r="K1101" s="9" t="s">
        <v>1734</v>
      </c>
    </row>
    <row r="1102" spans="1:11" x14ac:dyDescent="0.2">
      <c r="A1102" s="9" t="s">
        <v>50</v>
      </c>
      <c r="B1102" s="9" t="s">
        <v>650</v>
      </c>
      <c r="C1102" s="9"/>
      <c r="D1102" s="9" t="s">
        <v>76</v>
      </c>
      <c r="E1102" s="38">
        <v>4463</v>
      </c>
      <c r="F1102" s="39">
        <v>3190236</v>
      </c>
      <c r="G1102" s="40">
        <v>714.8187317947569</v>
      </c>
      <c r="H1102" s="41">
        <v>0.15170061793045661</v>
      </c>
      <c r="I1102" s="40">
        <v>58.86533721711853</v>
      </c>
      <c r="J1102" s="41">
        <v>8.2350020500050775E-2</v>
      </c>
      <c r="K1102" s="9" t="s">
        <v>1735</v>
      </c>
    </row>
    <row r="1103" spans="1:11" x14ac:dyDescent="0.2">
      <c r="A1103" s="9" t="s">
        <v>50</v>
      </c>
      <c r="B1103" s="9" t="s">
        <v>164</v>
      </c>
      <c r="C1103" s="9"/>
      <c r="D1103" s="9" t="s">
        <v>76</v>
      </c>
      <c r="E1103" s="38">
        <v>3773</v>
      </c>
      <c r="F1103" s="39">
        <v>3201060</v>
      </c>
      <c r="G1103" s="40">
        <v>848.41240392260795</v>
      </c>
      <c r="H1103" s="41">
        <v>6.4685374858730493E-2</v>
      </c>
      <c r="I1103" s="40">
        <v>92.456930824277762</v>
      </c>
      <c r="J1103" s="41">
        <v>0.10897640156698089</v>
      </c>
      <c r="K1103" s="9" t="s">
        <v>1736</v>
      </c>
    </row>
    <row r="1104" spans="1:11" x14ac:dyDescent="0.2">
      <c r="A1104" s="9" t="s">
        <v>50</v>
      </c>
      <c r="B1104" s="9" t="s">
        <v>166</v>
      </c>
      <c r="C1104" s="9"/>
      <c r="D1104" s="9" t="s">
        <v>76</v>
      </c>
      <c r="E1104" s="38">
        <v>3551</v>
      </c>
      <c r="F1104" s="39">
        <v>2179128</v>
      </c>
      <c r="G1104" s="40">
        <v>613.66600957476771</v>
      </c>
      <c r="H1104" s="41">
        <v>-0.20231023369884671</v>
      </c>
      <c r="I1104" s="40">
        <v>73.38890453393411</v>
      </c>
      <c r="J1104" s="41">
        <v>0.1195909556483144</v>
      </c>
      <c r="K1104" s="9" t="s">
        <v>1737</v>
      </c>
    </row>
    <row r="1105" spans="1:11" x14ac:dyDescent="0.2">
      <c r="A1105" s="9" t="s">
        <v>50</v>
      </c>
      <c r="B1105" s="9" t="s">
        <v>168</v>
      </c>
      <c r="C1105" s="9"/>
      <c r="D1105" s="9" t="s">
        <v>77</v>
      </c>
      <c r="E1105" s="38">
        <v>1610</v>
      </c>
      <c r="F1105" s="39">
        <v>1397304</v>
      </c>
      <c r="G1105" s="40">
        <v>867.8906832298137</v>
      </c>
      <c r="H1105" s="41">
        <v>-0.14513870843610269</v>
      </c>
      <c r="I1105" s="40">
        <v>121.7739130434783</v>
      </c>
      <c r="J1105" s="41">
        <v>0.1403101973514711</v>
      </c>
      <c r="K1105" s="9" t="s">
        <v>1738</v>
      </c>
    </row>
    <row r="1106" spans="1:11" x14ac:dyDescent="0.2">
      <c r="A1106" s="9" t="s">
        <v>50</v>
      </c>
      <c r="B1106" s="9" t="s">
        <v>1739</v>
      </c>
      <c r="C1106" s="9"/>
      <c r="D1106" s="9" t="s">
        <v>77</v>
      </c>
      <c r="E1106" s="38">
        <v>1404</v>
      </c>
      <c r="F1106" s="39">
        <v>605880</v>
      </c>
      <c r="G1106" s="40">
        <v>431.53846153846149</v>
      </c>
      <c r="H1106" s="41">
        <v>0.28238949081997128</v>
      </c>
      <c r="I1106" s="40">
        <v>43.153846153846153</v>
      </c>
      <c r="J1106" s="41">
        <v>0.1</v>
      </c>
      <c r="K1106" s="9" t="s">
        <v>1740</v>
      </c>
    </row>
    <row r="1107" spans="1:11" x14ac:dyDescent="0.2">
      <c r="A1107" s="9" t="s">
        <v>50</v>
      </c>
      <c r="B1107" s="9" t="s">
        <v>169</v>
      </c>
      <c r="C1107" s="9"/>
      <c r="D1107" s="9" t="s">
        <v>76</v>
      </c>
      <c r="E1107" s="38">
        <v>6984</v>
      </c>
      <c r="F1107" s="39">
        <v>5547336</v>
      </c>
      <c r="G1107" s="40">
        <v>794.2920962199313</v>
      </c>
      <c r="H1107" s="41">
        <v>3.7038000511227777E-2</v>
      </c>
      <c r="I1107" s="40">
        <v>101.84879725085911</v>
      </c>
      <c r="J1107" s="41">
        <v>0.1282258727432411</v>
      </c>
      <c r="K1107" s="9" t="s">
        <v>1741</v>
      </c>
    </row>
    <row r="1108" spans="1:11" x14ac:dyDescent="0.2">
      <c r="A1108" s="9" t="s">
        <v>50</v>
      </c>
      <c r="B1108" s="9" t="s">
        <v>406</v>
      </c>
      <c r="C1108" s="9"/>
      <c r="D1108" s="9" t="s">
        <v>76</v>
      </c>
      <c r="E1108" s="38">
        <v>4027</v>
      </c>
      <c r="F1108" s="39">
        <v>812952</v>
      </c>
      <c r="G1108" s="40">
        <v>201.8753414452446</v>
      </c>
      <c r="H1108" s="41">
        <v>-0.12876348987346711</v>
      </c>
      <c r="I1108" s="40">
        <v>42.00148994288552</v>
      </c>
      <c r="J1108" s="41">
        <v>0.20805656422519411</v>
      </c>
      <c r="K1108" s="9" t="s">
        <v>1742</v>
      </c>
    </row>
    <row r="1109" spans="1:11" x14ac:dyDescent="0.2">
      <c r="A1109" s="9" t="s">
        <v>50</v>
      </c>
      <c r="B1109" s="9" t="s">
        <v>408</v>
      </c>
      <c r="C1109" s="9"/>
      <c r="D1109" s="9" t="s">
        <v>76</v>
      </c>
      <c r="E1109" s="38">
        <v>6017</v>
      </c>
      <c r="F1109" s="39">
        <v>2256432</v>
      </c>
      <c r="G1109" s="40">
        <v>375.00947315938168</v>
      </c>
      <c r="H1109" s="41">
        <v>5.6450996133436952E-2</v>
      </c>
      <c r="I1109" s="40">
        <v>65.470500249293664</v>
      </c>
      <c r="J1109" s="41">
        <v>0.17458359037631091</v>
      </c>
      <c r="K1109" s="9" t="s">
        <v>1743</v>
      </c>
    </row>
    <row r="1110" spans="1:11" x14ac:dyDescent="0.2">
      <c r="A1110" s="9" t="s">
        <v>50</v>
      </c>
      <c r="B1110" s="9" t="s">
        <v>87</v>
      </c>
      <c r="C1110" s="9"/>
      <c r="D1110" s="9" t="s">
        <v>87</v>
      </c>
      <c r="E1110" s="38">
        <v>9810</v>
      </c>
      <c r="F1110" s="39">
        <v>54803928</v>
      </c>
      <c r="G1110" s="40">
        <v>5586.5370030581043</v>
      </c>
      <c r="H1110" s="41">
        <v>-9.2621211600127887E-2</v>
      </c>
      <c r="I1110" s="40">
        <v>62.699694189602447</v>
      </c>
      <c r="J1110" s="41">
        <v>1.1223356106883429E-2</v>
      </c>
      <c r="K1110" s="9" t="s">
        <v>1744</v>
      </c>
    </row>
    <row r="1111" spans="1:11" x14ac:dyDescent="0.2">
      <c r="A1111" s="9" t="s">
        <v>50</v>
      </c>
      <c r="B1111" s="9" t="s">
        <v>985</v>
      </c>
      <c r="C1111" s="9"/>
      <c r="D1111" s="9" t="s">
        <v>76</v>
      </c>
      <c r="E1111" s="38">
        <v>4510</v>
      </c>
      <c r="F1111" s="39">
        <v>2403660</v>
      </c>
      <c r="G1111" s="40">
        <v>532.96230598669626</v>
      </c>
      <c r="H1111" s="41">
        <v>-0.170619862317753</v>
      </c>
      <c r="I1111" s="40">
        <v>81.389800443458981</v>
      </c>
      <c r="J1111" s="41">
        <v>0.15271211402611021</v>
      </c>
      <c r="K1111" s="9" t="s">
        <v>1745</v>
      </c>
    </row>
    <row r="1112" spans="1:11" x14ac:dyDescent="0.2">
      <c r="A1112" s="9" t="s">
        <v>50</v>
      </c>
      <c r="B1112" s="9" t="s">
        <v>173</v>
      </c>
      <c r="C1112" s="9"/>
      <c r="D1112" s="9" t="s">
        <v>80</v>
      </c>
      <c r="E1112" s="38">
        <v>563</v>
      </c>
      <c r="F1112" s="39">
        <v>1565640</v>
      </c>
      <c r="G1112" s="40">
        <v>2780.8880994671399</v>
      </c>
      <c r="H1112" s="41">
        <v>0.1180610597916156</v>
      </c>
      <c r="I1112" s="40">
        <v>222.47957371225581</v>
      </c>
      <c r="J1112" s="41">
        <v>8.0003065838890164E-2</v>
      </c>
      <c r="K1112" s="9" t="s">
        <v>1746</v>
      </c>
    </row>
    <row r="1113" spans="1:11" x14ac:dyDescent="0.2">
      <c r="A1113" s="9" t="s">
        <v>50</v>
      </c>
      <c r="B1113" s="9" t="s">
        <v>862</v>
      </c>
      <c r="C1113" s="9"/>
      <c r="D1113" s="9" t="s">
        <v>83</v>
      </c>
      <c r="E1113" s="38">
        <v>880</v>
      </c>
      <c r="F1113" s="39">
        <v>1525644</v>
      </c>
      <c r="G1113" s="40">
        <v>1733.6863636363639</v>
      </c>
      <c r="H1113" s="41">
        <v>-7.7243012531986411E-3</v>
      </c>
      <c r="I1113" s="40">
        <v>104.0181818181818</v>
      </c>
      <c r="J1113" s="41">
        <v>5.9998269583205519E-2</v>
      </c>
      <c r="K1113" s="9" t="s">
        <v>1747</v>
      </c>
    </row>
    <row r="1114" spans="1:11" x14ac:dyDescent="0.2">
      <c r="A1114" s="9" t="s">
        <v>50</v>
      </c>
      <c r="B1114" s="9" t="s">
        <v>1748</v>
      </c>
      <c r="C1114" s="9"/>
      <c r="D1114" s="9" t="s">
        <v>78</v>
      </c>
      <c r="E1114" s="38">
        <v>2063</v>
      </c>
      <c r="F1114" s="39">
        <v>3581076</v>
      </c>
      <c r="G1114" s="40">
        <v>1735.858458555502</v>
      </c>
      <c r="H1114" s="41">
        <v>-0.33857787931533928</v>
      </c>
      <c r="I1114" s="40">
        <v>149.38633058652451</v>
      </c>
      <c r="J1114" s="41">
        <v>8.6059050408313034E-2</v>
      </c>
      <c r="K1114" s="9" t="s">
        <v>1749</v>
      </c>
    </row>
    <row r="1115" spans="1:11" x14ac:dyDescent="0.2">
      <c r="A1115" s="9" t="s">
        <v>50</v>
      </c>
      <c r="B1115" s="9" t="s">
        <v>661</v>
      </c>
      <c r="C1115" s="9"/>
      <c r="D1115" s="9" t="s">
        <v>76</v>
      </c>
      <c r="E1115" s="38">
        <v>8116</v>
      </c>
      <c r="F1115" s="39">
        <v>2042664</v>
      </c>
      <c r="G1115" s="40">
        <v>251.68358797437159</v>
      </c>
      <c r="H1115" s="41">
        <v>-0.1596214762848441</v>
      </c>
      <c r="I1115" s="40">
        <v>98.80926564810251</v>
      </c>
      <c r="J1115" s="41">
        <v>0.39259320181880131</v>
      </c>
      <c r="K1115" s="9" t="s">
        <v>1750</v>
      </c>
    </row>
    <row r="1116" spans="1:11" x14ac:dyDescent="0.2">
      <c r="A1116" s="9" t="s">
        <v>50</v>
      </c>
      <c r="B1116" s="9" t="s">
        <v>175</v>
      </c>
      <c r="C1116" s="9"/>
      <c r="D1116" s="9" t="s">
        <v>78</v>
      </c>
      <c r="E1116" s="38">
        <v>180</v>
      </c>
      <c r="F1116" s="39">
        <v>1067616</v>
      </c>
      <c r="G1116" s="40">
        <v>5931.2</v>
      </c>
      <c r="H1116" s="41">
        <v>-0.26753798977301058</v>
      </c>
      <c r="I1116" s="40">
        <v>659.4</v>
      </c>
      <c r="J1116" s="41">
        <v>0.11117480442406261</v>
      </c>
      <c r="K1116" s="9" t="s">
        <v>1751</v>
      </c>
    </row>
    <row r="1117" spans="1:11" x14ac:dyDescent="0.2">
      <c r="A1117" s="9" t="s">
        <v>50</v>
      </c>
      <c r="B1117" s="9" t="s">
        <v>177</v>
      </c>
      <c r="C1117" s="9"/>
      <c r="D1117" s="9" t="s">
        <v>85</v>
      </c>
      <c r="E1117" s="38">
        <v>18054</v>
      </c>
      <c r="F1117" s="39">
        <v>3881796</v>
      </c>
      <c r="G1117" s="40">
        <v>215.0103024260552</v>
      </c>
      <c r="H1117" s="41"/>
      <c r="I1117" s="40">
        <v>22.160186108341641</v>
      </c>
      <c r="J1117" s="41">
        <v>0.1030656943332416</v>
      </c>
      <c r="K1117" s="9" t="s">
        <v>1752</v>
      </c>
    </row>
    <row r="1118" spans="1:11" x14ac:dyDescent="0.2">
      <c r="A1118" s="9" t="s">
        <v>50</v>
      </c>
      <c r="B1118" s="9" t="s">
        <v>179</v>
      </c>
      <c r="C1118" s="9"/>
      <c r="D1118" s="9" t="s">
        <v>79</v>
      </c>
      <c r="E1118" s="38">
        <v>5408</v>
      </c>
      <c r="F1118" s="39">
        <v>4935192</v>
      </c>
      <c r="G1118" s="40">
        <v>912.57248520710061</v>
      </c>
      <c r="H1118" s="41">
        <v>-0.1070484401726526</v>
      </c>
      <c r="I1118" s="40">
        <v>89.946745562130175</v>
      </c>
      <c r="J1118" s="41">
        <v>9.8563946448284076E-2</v>
      </c>
      <c r="K1118" s="9" t="s">
        <v>1753</v>
      </c>
    </row>
    <row r="1119" spans="1:11" x14ac:dyDescent="0.2">
      <c r="A1119" s="9" t="s">
        <v>50</v>
      </c>
      <c r="B1119" s="9" t="s">
        <v>1082</v>
      </c>
      <c r="C1119" s="9"/>
      <c r="D1119" s="9" t="s">
        <v>86</v>
      </c>
      <c r="E1119" s="38">
        <v>236184</v>
      </c>
      <c r="F1119" s="39">
        <v>28720032</v>
      </c>
      <c r="G1119" s="40">
        <v>121.60024387765471</v>
      </c>
      <c r="H1119" s="41"/>
      <c r="I1119" s="40">
        <v>4.9139315110253019</v>
      </c>
      <c r="J1119" s="41">
        <v>4.0410539932546043E-2</v>
      </c>
      <c r="K1119" s="9" t="s">
        <v>1754</v>
      </c>
    </row>
    <row r="1120" spans="1:11" x14ac:dyDescent="0.2">
      <c r="A1120" s="9" t="s">
        <v>50</v>
      </c>
      <c r="B1120" s="9" t="s">
        <v>1082</v>
      </c>
      <c r="C1120" s="9"/>
      <c r="D1120" s="9" t="s">
        <v>86</v>
      </c>
      <c r="E1120" s="38">
        <v>68547</v>
      </c>
      <c r="F1120" s="39">
        <v>9328752</v>
      </c>
      <c r="G1120" s="40">
        <v>136.09278305396299</v>
      </c>
      <c r="H1120" s="41">
        <v>2.1649101611048459E-2</v>
      </c>
      <c r="I1120" s="40">
        <v>8.9609173267976718</v>
      </c>
      <c r="J1120" s="41">
        <v>6.5844177227564846E-2</v>
      </c>
      <c r="K1120" s="9" t="s">
        <v>1754</v>
      </c>
    </row>
    <row r="1121" spans="1:11" x14ac:dyDescent="0.2">
      <c r="A1121" s="9" t="s">
        <v>50</v>
      </c>
      <c r="B1121" s="9" t="s">
        <v>755</v>
      </c>
      <c r="C1121" s="9"/>
      <c r="D1121" s="9" t="s">
        <v>86</v>
      </c>
      <c r="E1121" s="38">
        <v>45786</v>
      </c>
      <c r="F1121" s="39">
        <v>0</v>
      </c>
      <c r="G1121" s="40"/>
      <c r="H1121" s="41"/>
      <c r="I1121" s="40">
        <v>34.037216616432971</v>
      </c>
      <c r="J1121" s="41"/>
      <c r="K1121" s="9" t="s">
        <v>1755</v>
      </c>
    </row>
    <row r="1122" spans="1:11" x14ac:dyDescent="0.2">
      <c r="A1122" s="9" t="s">
        <v>50</v>
      </c>
      <c r="B1122" s="9" t="s">
        <v>1756</v>
      </c>
      <c r="C1122" s="9"/>
      <c r="D1122" s="9" t="s">
        <v>81</v>
      </c>
      <c r="E1122" s="38">
        <v>636</v>
      </c>
      <c r="F1122" s="39">
        <v>1511976</v>
      </c>
      <c r="G1122" s="40">
        <v>2377.3207547169809</v>
      </c>
      <c r="H1122" s="41">
        <v>0.26427566343986342</v>
      </c>
      <c r="I1122" s="40">
        <v>233.15094339622641</v>
      </c>
      <c r="J1122" s="41">
        <v>9.8072985285480724E-2</v>
      </c>
      <c r="K1122" s="9" t="s">
        <v>1757</v>
      </c>
    </row>
    <row r="1123" spans="1:11" x14ac:dyDescent="0.2">
      <c r="A1123" s="9" t="s">
        <v>50</v>
      </c>
      <c r="B1123" s="9" t="s">
        <v>1758</v>
      </c>
      <c r="C1123" s="9"/>
      <c r="D1123" s="9" t="s">
        <v>76</v>
      </c>
      <c r="E1123" s="38">
        <v>5809</v>
      </c>
      <c r="F1123" s="39">
        <v>3042156</v>
      </c>
      <c r="G1123" s="40">
        <v>523.69702186262691</v>
      </c>
      <c r="H1123" s="41">
        <v>0.1225986908568803</v>
      </c>
      <c r="I1123" s="40">
        <v>52.369082458254432</v>
      </c>
      <c r="J1123" s="41">
        <v>9.9998816628733042E-2</v>
      </c>
      <c r="K1123" s="9" t="s">
        <v>1759</v>
      </c>
    </row>
    <row r="1124" spans="1:11" x14ac:dyDescent="0.2">
      <c r="A1124" s="9" t="s">
        <v>50</v>
      </c>
      <c r="B1124" s="9" t="s">
        <v>191</v>
      </c>
      <c r="C1124" s="9"/>
      <c r="D1124" s="9" t="s">
        <v>76</v>
      </c>
      <c r="E1124" s="38">
        <v>5264</v>
      </c>
      <c r="F1124" s="39">
        <v>2504496</v>
      </c>
      <c r="G1124" s="40">
        <v>475.77811550151978</v>
      </c>
      <c r="H1124" s="41"/>
      <c r="I1124" s="40">
        <v>63</v>
      </c>
      <c r="J1124" s="41">
        <v>0.13241466546562661</v>
      </c>
      <c r="K1124" s="9" t="s">
        <v>1760</v>
      </c>
    </row>
    <row r="1125" spans="1:11" x14ac:dyDescent="0.2">
      <c r="A1125" s="9" t="s">
        <v>50</v>
      </c>
      <c r="B1125" s="9" t="s">
        <v>193</v>
      </c>
      <c r="C1125" s="9"/>
      <c r="D1125" s="9" t="s">
        <v>82</v>
      </c>
      <c r="E1125" s="38">
        <v>3682</v>
      </c>
      <c r="F1125" s="39">
        <v>2264988</v>
      </c>
      <c r="G1125" s="40">
        <v>615.15154807170018</v>
      </c>
      <c r="H1125" s="41">
        <v>1.5981589462222931E-2</v>
      </c>
      <c r="I1125" s="40">
        <v>105.04073872895169</v>
      </c>
      <c r="J1125" s="41">
        <v>0.1707558715542864</v>
      </c>
      <c r="K1125" s="9" t="s">
        <v>1761</v>
      </c>
    </row>
    <row r="1126" spans="1:11" x14ac:dyDescent="0.2">
      <c r="A1126" s="9" t="s">
        <v>50</v>
      </c>
      <c r="B1126" s="9" t="s">
        <v>200</v>
      </c>
      <c r="C1126" s="9"/>
      <c r="D1126" s="9" t="s">
        <v>77</v>
      </c>
      <c r="E1126" s="38">
        <v>5151</v>
      </c>
      <c r="F1126" s="39">
        <v>4689528</v>
      </c>
      <c r="G1126" s="40">
        <v>910.4111822947001</v>
      </c>
      <c r="H1126" s="41">
        <v>-0.18924159158070661</v>
      </c>
      <c r="I1126" s="40">
        <v>98.418171228887601</v>
      </c>
      <c r="J1126" s="41">
        <v>0.108102990322267</v>
      </c>
      <c r="K1126" s="9" t="s">
        <v>1762</v>
      </c>
    </row>
    <row r="1127" spans="1:11" x14ac:dyDescent="0.2">
      <c r="A1127" s="9" t="s">
        <v>50</v>
      </c>
      <c r="B1127" s="9" t="s">
        <v>432</v>
      </c>
      <c r="C1127" s="9"/>
      <c r="D1127" s="9" t="s">
        <v>81</v>
      </c>
      <c r="E1127" s="38">
        <v>822</v>
      </c>
      <c r="F1127" s="39">
        <v>4071072</v>
      </c>
      <c r="G1127" s="40">
        <v>4952.6423357664225</v>
      </c>
      <c r="H1127" s="41">
        <v>0.1283756570260737</v>
      </c>
      <c r="I1127" s="40">
        <v>380.77372262773719</v>
      </c>
      <c r="J1127" s="41">
        <v>7.6882943853609068E-2</v>
      </c>
      <c r="K1127" s="9" t="s">
        <v>1763</v>
      </c>
    </row>
    <row r="1128" spans="1:11" x14ac:dyDescent="0.2">
      <c r="A1128" s="9" t="s">
        <v>50</v>
      </c>
      <c r="B1128" s="9" t="s">
        <v>759</v>
      </c>
      <c r="C1128" s="9"/>
      <c r="D1128" s="9" t="s">
        <v>76</v>
      </c>
      <c r="E1128" s="38">
        <v>3900</v>
      </c>
      <c r="F1128" s="39">
        <v>1081332</v>
      </c>
      <c r="G1128" s="40">
        <v>277.26461538461541</v>
      </c>
      <c r="H1128" s="41">
        <v>-6.4459186729658238E-2</v>
      </c>
      <c r="I1128" s="40">
        <v>85.84</v>
      </c>
      <c r="J1128" s="41">
        <v>0.30959594278168029</v>
      </c>
      <c r="K1128" s="9" t="s">
        <v>1764</v>
      </c>
    </row>
    <row r="1129" spans="1:11" x14ac:dyDescent="0.2">
      <c r="A1129" s="9" t="s">
        <v>50</v>
      </c>
      <c r="B1129" s="9" t="s">
        <v>206</v>
      </c>
      <c r="C1129" s="9"/>
      <c r="D1129" s="9" t="s">
        <v>80</v>
      </c>
      <c r="E1129" s="38">
        <v>199</v>
      </c>
      <c r="F1129" s="39">
        <v>1242456</v>
      </c>
      <c r="G1129" s="40">
        <v>6243.4974874371856</v>
      </c>
      <c r="H1129" s="41">
        <v>-8.7046521485551476E-3</v>
      </c>
      <c r="I1129" s="40">
        <v>694.9145728643216</v>
      </c>
      <c r="J1129" s="41">
        <v>0.11130213061871</v>
      </c>
      <c r="K1129" s="9" t="s">
        <v>1765</v>
      </c>
    </row>
    <row r="1130" spans="1:11" x14ac:dyDescent="0.2">
      <c r="A1130" s="9" t="s">
        <v>50</v>
      </c>
      <c r="B1130" s="9" t="s">
        <v>208</v>
      </c>
      <c r="C1130" s="9"/>
      <c r="D1130" s="9" t="s">
        <v>78</v>
      </c>
      <c r="E1130" s="38">
        <v>1746</v>
      </c>
      <c r="F1130" s="39">
        <v>1134084</v>
      </c>
      <c r="G1130" s="40">
        <v>649.53264604811</v>
      </c>
      <c r="H1130" s="41">
        <v>-6.6901812410346734E-2</v>
      </c>
      <c r="I1130" s="40">
        <v>104.9209621993127</v>
      </c>
      <c r="J1130" s="41">
        <v>0.16153300813696339</v>
      </c>
      <c r="K1130" s="9" t="s">
        <v>1766</v>
      </c>
    </row>
    <row r="1131" spans="1:11" x14ac:dyDescent="0.2">
      <c r="A1131" s="9" t="s">
        <v>50</v>
      </c>
      <c r="B1131" s="9" t="s">
        <v>437</v>
      </c>
      <c r="C1131" s="9"/>
      <c r="D1131" s="9" t="s">
        <v>77</v>
      </c>
      <c r="E1131" s="38">
        <v>3076</v>
      </c>
      <c r="F1131" s="39">
        <v>1028292</v>
      </c>
      <c r="G1131" s="40">
        <v>334.29518855656698</v>
      </c>
      <c r="H1131" s="41">
        <v>-0.1883305550061688</v>
      </c>
      <c r="I1131" s="40">
        <v>114.6085825747724</v>
      </c>
      <c r="J1131" s="41">
        <v>0.34283647057450611</v>
      </c>
      <c r="K1131" s="9" t="s">
        <v>1767</v>
      </c>
    </row>
    <row r="1132" spans="1:11" x14ac:dyDescent="0.2">
      <c r="A1132" s="9" t="s">
        <v>50</v>
      </c>
      <c r="B1132" s="9" t="s">
        <v>1768</v>
      </c>
      <c r="C1132" s="9"/>
      <c r="D1132" s="9" t="s">
        <v>83</v>
      </c>
      <c r="E1132" s="38">
        <v>4136</v>
      </c>
      <c r="F1132" s="39">
        <v>0</v>
      </c>
      <c r="G1132" s="40"/>
      <c r="H1132" s="41"/>
      <c r="I1132" s="40">
        <v>54.821083172146999</v>
      </c>
      <c r="J1132" s="41"/>
      <c r="K1132" s="9" t="s">
        <v>1769</v>
      </c>
    </row>
    <row r="1133" spans="1:11" x14ac:dyDescent="0.2">
      <c r="A1133" s="9" t="s">
        <v>50</v>
      </c>
      <c r="B1133" s="9" t="s">
        <v>1770</v>
      </c>
      <c r="C1133" s="9"/>
      <c r="D1133" s="9" t="s">
        <v>77</v>
      </c>
      <c r="E1133" s="38">
        <v>2390</v>
      </c>
      <c r="F1133" s="39">
        <v>5066040</v>
      </c>
      <c r="G1133" s="40">
        <v>2119.682008368201</v>
      </c>
      <c r="H1133" s="41">
        <v>-8.1325543574352038E-2</v>
      </c>
      <c r="I1133" s="40">
        <v>200.29958158995819</v>
      </c>
      <c r="J1133" s="41">
        <v>9.4495108605538058E-2</v>
      </c>
      <c r="K1133" s="9" t="s">
        <v>1771</v>
      </c>
    </row>
    <row r="1134" spans="1:11" x14ac:dyDescent="0.2">
      <c r="A1134" s="9" t="s">
        <v>50</v>
      </c>
      <c r="B1134" s="9" t="s">
        <v>1772</v>
      </c>
      <c r="C1134" s="9"/>
      <c r="D1134" s="9" t="s">
        <v>81</v>
      </c>
      <c r="E1134" s="38">
        <v>4182</v>
      </c>
      <c r="F1134" s="39">
        <v>1601808</v>
      </c>
      <c r="G1134" s="40">
        <v>383.02439024390242</v>
      </c>
      <c r="H1134" s="41"/>
      <c r="I1134" s="40">
        <v>40.312769010043041</v>
      </c>
      <c r="J1134" s="41">
        <v>0.10524856911689789</v>
      </c>
      <c r="K1134" s="9" t="s">
        <v>1773</v>
      </c>
    </row>
    <row r="1135" spans="1:11" x14ac:dyDescent="0.2">
      <c r="A1135" s="9" t="s">
        <v>50</v>
      </c>
      <c r="B1135" s="9" t="s">
        <v>1774</v>
      </c>
      <c r="C1135" s="9"/>
      <c r="D1135" s="9" t="s">
        <v>78</v>
      </c>
      <c r="E1135" s="38">
        <v>180</v>
      </c>
      <c r="F1135" s="39">
        <v>749760</v>
      </c>
      <c r="G1135" s="40">
        <v>4165.333333333333</v>
      </c>
      <c r="H1135" s="41">
        <v>-1.08917179455365E-2</v>
      </c>
      <c r="I1135" s="40">
        <v>652.33333333333337</v>
      </c>
      <c r="J1135" s="41">
        <v>0.15661011523687579</v>
      </c>
      <c r="K1135" s="9" t="s">
        <v>1775</v>
      </c>
    </row>
    <row r="1136" spans="1:11" x14ac:dyDescent="0.2">
      <c r="A1136" s="9" t="s">
        <v>50</v>
      </c>
      <c r="B1136" s="9" t="s">
        <v>676</v>
      </c>
      <c r="C1136" s="9"/>
      <c r="D1136" s="9" t="s">
        <v>77</v>
      </c>
      <c r="E1136" s="38">
        <v>2339</v>
      </c>
      <c r="F1136" s="39">
        <v>2575668</v>
      </c>
      <c r="G1136" s="40">
        <v>1101.1834117144081</v>
      </c>
      <c r="H1136" s="41"/>
      <c r="I1136" s="40">
        <v>107.3125267208209</v>
      </c>
      <c r="J1136" s="41">
        <v>9.7452000801345515E-2</v>
      </c>
      <c r="K1136" s="9" t="s">
        <v>1776</v>
      </c>
    </row>
    <row r="1137" spans="1:11" x14ac:dyDescent="0.2">
      <c r="A1137" s="9" t="s">
        <v>50</v>
      </c>
      <c r="B1137" s="9" t="s">
        <v>1777</v>
      </c>
      <c r="C1137" s="9"/>
      <c r="D1137" s="9" t="s">
        <v>80</v>
      </c>
      <c r="E1137" s="38">
        <v>180</v>
      </c>
      <c r="F1137" s="39">
        <v>522192</v>
      </c>
      <c r="G1137" s="40">
        <v>2901.0666666666671</v>
      </c>
      <c r="H1137" s="41">
        <v>7.0433712305250543E-2</v>
      </c>
      <c r="I1137" s="40">
        <v>416.66666666666669</v>
      </c>
      <c r="J1137" s="41">
        <v>0.14362533321077309</v>
      </c>
      <c r="K1137" s="9" t="s">
        <v>1778</v>
      </c>
    </row>
    <row r="1138" spans="1:11" x14ac:dyDescent="0.2">
      <c r="A1138" s="9" t="s">
        <v>50</v>
      </c>
      <c r="B1138" s="9" t="s">
        <v>1001</v>
      </c>
      <c r="C1138" s="9"/>
      <c r="D1138" s="9" t="s">
        <v>76</v>
      </c>
      <c r="E1138" s="38">
        <v>3592</v>
      </c>
      <c r="F1138" s="39">
        <v>1506468</v>
      </c>
      <c r="G1138" s="40">
        <v>419.39532293986639</v>
      </c>
      <c r="H1138" s="41">
        <v>-3.2902898239700183E-2</v>
      </c>
      <c r="I1138" s="40">
        <v>70.199331848552333</v>
      </c>
      <c r="J1138" s="41">
        <v>0.16738224774771179</v>
      </c>
      <c r="K1138" s="9" t="s">
        <v>1779</v>
      </c>
    </row>
    <row r="1139" spans="1:11" x14ac:dyDescent="0.2">
      <c r="A1139" s="9" t="s">
        <v>50</v>
      </c>
      <c r="B1139" s="9" t="s">
        <v>231</v>
      </c>
      <c r="C1139" s="9"/>
      <c r="D1139" s="9" t="s">
        <v>76</v>
      </c>
      <c r="E1139" s="38">
        <v>10963</v>
      </c>
      <c r="F1139" s="39">
        <v>4088184</v>
      </c>
      <c r="G1139" s="40">
        <v>372.90741585332478</v>
      </c>
      <c r="H1139" s="41">
        <v>-8.0289171405563561E-2</v>
      </c>
      <c r="I1139" s="40">
        <v>55.935784000729733</v>
      </c>
      <c r="J1139" s="41">
        <v>0.1499991194134119</v>
      </c>
      <c r="K1139" s="9" t="s">
        <v>1780</v>
      </c>
    </row>
    <row r="1140" spans="1:11" x14ac:dyDescent="0.2">
      <c r="A1140" s="9" t="s">
        <v>50</v>
      </c>
      <c r="B1140" s="9" t="s">
        <v>1781</v>
      </c>
      <c r="C1140" s="9"/>
      <c r="D1140" s="9" t="s">
        <v>83</v>
      </c>
      <c r="E1140" s="38">
        <v>4074</v>
      </c>
      <c r="F1140" s="39">
        <v>1774368</v>
      </c>
      <c r="G1140" s="40">
        <v>435.53460972017672</v>
      </c>
      <c r="H1140" s="41">
        <v>2.5287256931551719E-2</v>
      </c>
      <c r="I1140" s="40">
        <v>50.910162002945498</v>
      </c>
      <c r="J1140" s="41">
        <v>0.116891197316453</v>
      </c>
      <c r="K1140" s="9" t="s">
        <v>1782</v>
      </c>
    </row>
    <row r="1141" spans="1:11" x14ac:dyDescent="0.2">
      <c r="A1141" s="9" t="s">
        <v>50</v>
      </c>
      <c r="B1141" s="9" t="s">
        <v>893</v>
      </c>
      <c r="C1141" s="9"/>
      <c r="D1141" s="9" t="s">
        <v>78</v>
      </c>
      <c r="E1141" s="38">
        <v>697</v>
      </c>
      <c r="F1141" s="39">
        <v>872856</v>
      </c>
      <c r="G1141" s="40">
        <v>1252.3041606886659</v>
      </c>
      <c r="H1141" s="41">
        <v>-0.22816594417210229</v>
      </c>
      <c r="I1141" s="40">
        <v>120.2410329985653</v>
      </c>
      <c r="J1141" s="41">
        <v>9.6015837663944573E-2</v>
      </c>
      <c r="K1141" s="9" t="s">
        <v>1783</v>
      </c>
    </row>
    <row r="1142" spans="1:11" x14ac:dyDescent="0.2">
      <c r="A1142" s="9" t="s">
        <v>50</v>
      </c>
      <c r="B1142" s="9" t="s">
        <v>1784</v>
      </c>
      <c r="C1142" s="9"/>
      <c r="D1142" s="9" t="s">
        <v>81</v>
      </c>
      <c r="E1142" s="38">
        <v>7600</v>
      </c>
      <c r="F1142" s="39">
        <v>4190976</v>
      </c>
      <c r="G1142" s="40">
        <v>551.44421052631583</v>
      </c>
      <c r="H1142" s="41">
        <v>4.5109013449168817E-2</v>
      </c>
      <c r="I1142" s="40">
        <v>46.672105263157903</v>
      </c>
      <c r="J1142" s="41">
        <v>8.4636132490379323E-2</v>
      </c>
      <c r="K1142" s="9" t="s">
        <v>1785</v>
      </c>
    </row>
    <row r="1143" spans="1:11" x14ac:dyDescent="0.2">
      <c r="A1143" s="9" t="s">
        <v>50</v>
      </c>
      <c r="B1143" s="9" t="s">
        <v>456</v>
      </c>
      <c r="C1143" s="9"/>
      <c r="D1143" s="9" t="s">
        <v>76</v>
      </c>
      <c r="E1143" s="38">
        <v>1728</v>
      </c>
      <c r="F1143" s="39">
        <v>963612</v>
      </c>
      <c r="G1143" s="40">
        <v>557.64583333333337</v>
      </c>
      <c r="H1143" s="41">
        <v>0.20710511647079211</v>
      </c>
      <c r="I1143" s="40">
        <v>66.916666666666671</v>
      </c>
      <c r="J1143" s="41">
        <v>0.11999850562259499</v>
      </c>
      <c r="K1143" s="9" t="s">
        <v>1786</v>
      </c>
    </row>
    <row r="1144" spans="1:11" x14ac:dyDescent="0.2">
      <c r="A1144" s="9" t="s">
        <v>50</v>
      </c>
      <c r="B1144" s="9" t="s">
        <v>243</v>
      </c>
      <c r="C1144" s="9"/>
      <c r="D1144" s="9" t="s">
        <v>82</v>
      </c>
      <c r="E1144" s="38">
        <v>1326</v>
      </c>
      <c r="F1144" s="39">
        <v>1698348</v>
      </c>
      <c r="G1144" s="40">
        <v>1280.805429864253</v>
      </c>
      <c r="H1144" s="41"/>
      <c r="I1144" s="40">
        <v>132.00904977375569</v>
      </c>
      <c r="J1144" s="41">
        <v>0.10306721590628069</v>
      </c>
      <c r="K1144" s="9" t="s">
        <v>1787</v>
      </c>
    </row>
    <row r="1145" spans="1:11" x14ac:dyDescent="0.2">
      <c r="A1145" s="9" t="s">
        <v>50</v>
      </c>
      <c r="B1145" s="9" t="s">
        <v>1788</v>
      </c>
      <c r="C1145" s="9"/>
      <c r="D1145" s="9" t="s">
        <v>76</v>
      </c>
      <c r="E1145" s="38">
        <v>9591</v>
      </c>
      <c r="F1145" s="39">
        <v>2763660</v>
      </c>
      <c r="G1145" s="40">
        <v>288.15139192993428</v>
      </c>
      <c r="H1145" s="41">
        <v>1.301162055379116E-2</v>
      </c>
      <c r="I1145" s="40">
        <v>72.100093837973105</v>
      </c>
      <c r="J1145" s="41">
        <v>0.25021601788932069</v>
      </c>
      <c r="K1145" s="9" t="s">
        <v>1789</v>
      </c>
    </row>
    <row r="1146" spans="1:11" x14ac:dyDescent="0.2">
      <c r="A1146" s="9" t="s">
        <v>50</v>
      </c>
      <c r="B1146" s="9" t="s">
        <v>1790</v>
      </c>
      <c r="C1146" s="9"/>
      <c r="D1146" s="9" t="s">
        <v>80</v>
      </c>
      <c r="E1146" s="38">
        <v>604</v>
      </c>
      <c r="F1146" s="39">
        <v>649668</v>
      </c>
      <c r="G1146" s="40">
        <v>1075.6092715231789</v>
      </c>
      <c r="H1146" s="41">
        <v>0.1249037510680991</v>
      </c>
      <c r="I1146" s="40">
        <v>176.36423841059599</v>
      </c>
      <c r="J1146" s="41">
        <v>0.16396682613273239</v>
      </c>
      <c r="K1146" s="9" t="s">
        <v>1791</v>
      </c>
    </row>
    <row r="1147" spans="1:11" x14ac:dyDescent="0.2">
      <c r="A1147" s="9" t="s">
        <v>50</v>
      </c>
      <c r="B1147" s="9" t="s">
        <v>247</v>
      </c>
      <c r="C1147" s="9"/>
      <c r="D1147" s="9" t="s">
        <v>76</v>
      </c>
      <c r="E1147" s="38">
        <v>20850</v>
      </c>
      <c r="F1147" s="39">
        <v>5945772</v>
      </c>
      <c r="G1147" s="40">
        <v>285.16892086330932</v>
      </c>
      <c r="H1147" s="41">
        <v>-0.25079494340234071</v>
      </c>
      <c r="I1147" s="40">
        <v>47.510215827338129</v>
      </c>
      <c r="J1147" s="41">
        <v>0.16660376482650191</v>
      </c>
      <c r="K1147" s="9" t="s">
        <v>1792</v>
      </c>
    </row>
    <row r="1148" spans="1:11" x14ac:dyDescent="0.2">
      <c r="A1148" s="9" t="s">
        <v>50</v>
      </c>
      <c r="B1148" s="9" t="s">
        <v>464</v>
      </c>
      <c r="C1148" s="9"/>
      <c r="D1148" s="9" t="s">
        <v>80</v>
      </c>
      <c r="E1148" s="38">
        <v>200</v>
      </c>
      <c r="F1148" s="39">
        <v>454980</v>
      </c>
      <c r="G1148" s="40">
        <v>2274.9</v>
      </c>
      <c r="H1148" s="41">
        <v>0.22488843868918881</v>
      </c>
      <c r="I1148" s="40">
        <v>186.54</v>
      </c>
      <c r="J1148" s="41">
        <v>8.1999208756428854E-2</v>
      </c>
      <c r="K1148" s="9" t="s">
        <v>1793</v>
      </c>
    </row>
    <row r="1149" spans="1:11" x14ac:dyDescent="0.2">
      <c r="A1149" s="9" t="s">
        <v>50</v>
      </c>
      <c r="B1149" s="9" t="s">
        <v>140</v>
      </c>
      <c r="C1149" s="9"/>
      <c r="D1149" s="9" t="s">
        <v>83</v>
      </c>
      <c r="E1149" s="38">
        <v>5201</v>
      </c>
      <c r="F1149" s="39">
        <v>4000428</v>
      </c>
      <c r="G1149" s="40">
        <v>769.16516054604881</v>
      </c>
      <c r="H1149" s="41">
        <v>0.12190631765443111</v>
      </c>
      <c r="I1149" s="40">
        <v>97.077485099019412</v>
      </c>
      <c r="J1149" s="41">
        <v>0.1262114953699954</v>
      </c>
      <c r="K1149" s="9" t="s">
        <v>1794</v>
      </c>
    </row>
    <row r="1150" spans="1:11" x14ac:dyDescent="0.2">
      <c r="A1150" s="9" t="s">
        <v>50</v>
      </c>
      <c r="B1150" s="9" t="s">
        <v>260</v>
      </c>
      <c r="C1150" s="9"/>
      <c r="D1150" s="9" t="s">
        <v>76</v>
      </c>
      <c r="E1150" s="38">
        <v>3740</v>
      </c>
      <c r="F1150" s="39">
        <v>1789500</v>
      </c>
      <c r="G1150" s="40">
        <v>478.47593582887703</v>
      </c>
      <c r="H1150" s="41">
        <v>5.2497213311386112E-2</v>
      </c>
      <c r="I1150" s="40">
        <v>87.368983957219257</v>
      </c>
      <c r="J1150" s="41">
        <v>0.18259849119865881</v>
      </c>
      <c r="K1150" s="9" t="s">
        <v>1795</v>
      </c>
    </row>
    <row r="1151" spans="1:11" x14ac:dyDescent="0.2">
      <c r="A1151" s="9" t="s">
        <v>50</v>
      </c>
      <c r="B1151" s="9" t="s">
        <v>481</v>
      </c>
      <c r="C1151" s="9"/>
      <c r="D1151" s="9" t="s">
        <v>77</v>
      </c>
      <c r="E1151" s="38">
        <v>2025</v>
      </c>
      <c r="F1151" s="39">
        <v>1688364</v>
      </c>
      <c r="G1151" s="40">
        <v>833.76</v>
      </c>
      <c r="H1151" s="41">
        <v>-6.9055249609538974E-2</v>
      </c>
      <c r="I1151" s="40">
        <v>137.3688888888889</v>
      </c>
      <c r="J1151" s="41">
        <v>0.16475831041173589</v>
      </c>
      <c r="K1151" s="9" t="s">
        <v>1796</v>
      </c>
    </row>
    <row r="1152" spans="1:11" x14ac:dyDescent="0.2">
      <c r="A1152" s="9" t="s">
        <v>50</v>
      </c>
      <c r="B1152" s="9" t="s">
        <v>267</v>
      </c>
      <c r="C1152" s="9"/>
      <c r="D1152" s="9" t="s">
        <v>77</v>
      </c>
      <c r="E1152" s="38">
        <v>2902</v>
      </c>
      <c r="F1152" s="39">
        <v>2268624</v>
      </c>
      <c r="G1152" s="40">
        <v>781.74500344589933</v>
      </c>
      <c r="H1152" s="41">
        <v>-0.24551986761304501</v>
      </c>
      <c r="I1152" s="40">
        <v>144.2026188835286</v>
      </c>
      <c r="J1152" s="41">
        <v>0.18446247593254769</v>
      </c>
      <c r="K1152" s="9" t="s">
        <v>1797</v>
      </c>
    </row>
    <row r="1153" spans="1:11" x14ac:dyDescent="0.2">
      <c r="A1153" s="9" t="s">
        <v>50</v>
      </c>
      <c r="B1153" s="9" t="s">
        <v>484</v>
      </c>
      <c r="C1153" s="9"/>
      <c r="D1153" s="9" t="s">
        <v>77</v>
      </c>
      <c r="E1153" s="38">
        <v>2015</v>
      </c>
      <c r="F1153" s="39">
        <v>927144</v>
      </c>
      <c r="G1153" s="40">
        <v>460.12109181141437</v>
      </c>
      <c r="H1153" s="41">
        <v>-0.1008612909781902</v>
      </c>
      <c r="I1153" s="40">
        <v>104.9210918114144</v>
      </c>
      <c r="J1153" s="41">
        <v>0.2280293028914602</v>
      </c>
      <c r="K1153" s="9" t="s">
        <v>1798</v>
      </c>
    </row>
    <row r="1154" spans="1:11" x14ac:dyDescent="0.2">
      <c r="A1154" s="9" t="s">
        <v>50</v>
      </c>
      <c r="B1154" s="9" t="s">
        <v>271</v>
      </c>
      <c r="C1154" s="9"/>
      <c r="D1154" s="9" t="s">
        <v>78</v>
      </c>
      <c r="E1154" s="38">
        <v>1514</v>
      </c>
      <c r="F1154" s="39">
        <v>4097196</v>
      </c>
      <c r="G1154" s="40">
        <v>2706.2060766182299</v>
      </c>
      <c r="H1154" s="41">
        <v>-7.9427047639213572E-2</v>
      </c>
      <c r="I1154" s="40">
        <v>208.12945838837521</v>
      </c>
      <c r="J1154" s="41">
        <v>7.6908207466765077E-2</v>
      </c>
      <c r="K1154" s="9" t="s">
        <v>1799</v>
      </c>
    </row>
    <row r="1155" spans="1:11" x14ac:dyDescent="0.2">
      <c r="A1155" s="9" t="s">
        <v>50</v>
      </c>
      <c r="B1155" s="9" t="s">
        <v>1800</v>
      </c>
      <c r="C1155" s="9"/>
      <c r="D1155" s="9" t="s">
        <v>81</v>
      </c>
      <c r="E1155" s="38">
        <v>3624</v>
      </c>
      <c r="F1155" s="39">
        <v>2939712</v>
      </c>
      <c r="G1155" s="40">
        <v>811.17880794701989</v>
      </c>
      <c r="H1155" s="41">
        <v>6.2928943874365803E-2</v>
      </c>
      <c r="I1155" s="40">
        <v>63.281456953642383</v>
      </c>
      <c r="J1155" s="41">
        <v>7.8011723597413624E-2</v>
      </c>
      <c r="K1155" s="9" t="s">
        <v>1801</v>
      </c>
    </row>
    <row r="1156" spans="1:11" x14ac:dyDescent="0.2">
      <c r="A1156" s="9" t="s">
        <v>50</v>
      </c>
      <c r="B1156" s="9" t="s">
        <v>489</v>
      </c>
      <c r="C1156" s="9"/>
      <c r="D1156" s="9" t="s">
        <v>82</v>
      </c>
      <c r="E1156" s="38">
        <v>2000</v>
      </c>
      <c r="F1156" s="39">
        <v>7183476</v>
      </c>
      <c r="G1156" s="40">
        <v>3591.7379999999998</v>
      </c>
      <c r="H1156" s="41">
        <v>0.1128164824848252</v>
      </c>
      <c r="I1156" s="40">
        <v>253.34399999999999</v>
      </c>
      <c r="J1156" s="41">
        <v>7.0535211644056447E-2</v>
      </c>
      <c r="K1156" s="9" t="s">
        <v>1802</v>
      </c>
    </row>
    <row r="1157" spans="1:11" x14ac:dyDescent="0.2">
      <c r="A1157" s="9" t="s">
        <v>50</v>
      </c>
      <c r="B1157" s="9" t="s">
        <v>275</v>
      </c>
      <c r="C1157" s="9"/>
      <c r="D1157" s="9" t="s">
        <v>83</v>
      </c>
      <c r="E1157" s="38">
        <v>3701</v>
      </c>
      <c r="F1157" s="39">
        <v>2640168</v>
      </c>
      <c r="G1157" s="40">
        <v>713.36611726560386</v>
      </c>
      <c r="H1157" s="41">
        <v>0.13326713296918449</v>
      </c>
      <c r="I1157" s="40">
        <v>69.166171305052686</v>
      </c>
      <c r="J1157" s="41">
        <v>9.6957466343050899E-2</v>
      </c>
      <c r="K1157" s="9" t="s">
        <v>1803</v>
      </c>
    </row>
    <row r="1158" spans="1:11" x14ac:dyDescent="0.2">
      <c r="A1158" s="9" t="s">
        <v>50</v>
      </c>
      <c r="B1158" s="9" t="s">
        <v>277</v>
      </c>
      <c r="C1158" s="9"/>
      <c r="D1158" s="9" t="s">
        <v>76</v>
      </c>
      <c r="E1158" s="38">
        <v>764</v>
      </c>
      <c r="F1158" s="39">
        <v>1009692</v>
      </c>
      <c r="G1158" s="40">
        <v>1321.586387434555</v>
      </c>
      <c r="H1158" s="41">
        <v>-5.0229936548711898E-2</v>
      </c>
      <c r="I1158" s="40">
        <v>145.38219895287961</v>
      </c>
      <c r="J1158" s="41">
        <v>0.1100058235580751</v>
      </c>
      <c r="K1158" s="9" t="s">
        <v>1804</v>
      </c>
    </row>
    <row r="1159" spans="1:11" x14ac:dyDescent="0.2">
      <c r="A1159" s="9" t="s">
        <v>50</v>
      </c>
      <c r="B1159" s="9" t="s">
        <v>494</v>
      </c>
      <c r="C1159" s="9"/>
      <c r="D1159" s="9" t="s">
        <v>85</v>
      </c>
      <c r="E1159" s="38">
        <v>981</v>
      </c>
      <c r="F1159" s="39">
        <v>3750840</v>
      </c>
      <c r="G1159" s="40">
        <v>3823.4862385321098</v>
      </c>
      <c r="H1159" s="41">
        <v>-9.0515233242661947E-2</v>
      </c>
      <c r="I1159" s="40">
        <v>305.87155963302752</v>
      </c>
      <c r="J1159" s="41">
        <v>7.9998080429983687E-2</v>
      </c>
      <c r="K1159" s="9" t="s">
        <v>1805</v>
      </c>
    </row>
    <row r="1160" spans="1:11" x14ac:dyDescent="0.2">
      <c r="A1160" s="9" t="s">
        <v>50</v>
      </c>
      <c r="B1160" s="9" t="s">
        <v>283</v>
      </c>
      <c r="C1160" s="9"/>
      <c r="D1160" s="9" t="s">
        <v>78</v>
      </c>
      <c r="E1160" s="38">
        <v>974</v>
      </c>
      <c r="F1160" s="39">
        <v>631368</v>
      </c>
      <c r="G1160" s="40">
        <v>648.22176591375774</v>
      </c>
      <c r="H1160" s="41"/>
      <c r="I1160" s="40">
        <v>106.8418891170431</v>
      </c>
      <c r="J1160" s="41">
        <v>0.16482305089900029</v>
      </c>
      <c r="K1160" s="9" t="s">
        <v>1806</v>
      </c>
    </row>
    <row r="1161" spans="1:11" x14ac:dyDescent="0.2">
      <c r="A1161" s="9" t="s">
        <v>50</v>
      </c>
      <c r="B1161" s="9" t="s">
        <v>1807</v>
      </c>
      <c r="C1161" s="9"/>
      <c r="D1161" s="9" t="s">
        <v>76</v>
      </c>
      <c r="E1161" s="38">
        <v>1474</v>
      </c>
      <c r="F1161" s="39">
        <v>1062636</v>
      </c>
      <c r="G1161" s="40">
        <v>720.91994572591591</v>
      </c>
      <c r="H1161" s="41">
        <v>3.6189367133963361E-2</v>
      </c>
      <c r="I1161" s="40">
        <v>155.15332428765271</v>
      </c>
      <c r="J1161" s="41">
        <v>0.2152157465020948</v>
      </c>
      <c r="K1161" s="9" t="s">
        <v>1808</v>
      </c>
    </row>
    <row r="1162" spans="1:11" x14ac:dyDescent="0.2">
      <c r="A1162" s="9" t="s">
        <v>50</v>
      </c>
      <c r="B1162" s="9" t="s">
        <v>285</v>
      </c>
      <c r="C1162" s="9"/>
      <c r="D1162" s="9" t="s">
        <v>76</v>
      </c>
      <c r="E1162" s="38">
        <v>4200</v>
      </c>
      <c r="F1162" s="39">
        <v>7804908</v>
      </c>
      <c r="G1162" s="40">
        <v>1858.3114285714289</v>
      </c>
      <c r="H1162" s="41"/>
      <c r="I1162" s="40">
        <v>80.151428571428568</v>
      </c>
      <c r="J1162" s="41">
        <v>4.3131321983551893E-2</v>
      </c>
      <c r="K1162" s="9" t="s">
        <v>1809</v>
      </c>
    </row>
    <row r="1163" spans="1:11" x14ac:dyDescent="0.2">
      <c r="A1163" s="9" t="s">
        <v>50</v>
      </c>
      <c r="B1163" s="9" t="s">
        <v>287</v>
      </c>
      <c r="C1163" s="9"/>
      <c r="D1163" s="9" t="s">
        <v>79</v>
      </c>
      <c r="E1163" s="38">
        <v>900</v>
      </c>
      <c r="F1163" s="39">
        <v>1555776</v>
      </c>
      <c r="G1163" s="40">
        <v>1728.64</v>
      </c>
      <c r="H1163" s="41">
        <v>-4.7380331931682028E-2</v>
      </c>
      <c r="I1163" s="40">
        <v>291.36</v>
      </c>
      <c r="J1163" s="41">
        <v>0.16854868567197329</v>
      </c>
      <c r="K1163" s="9" t="s">
        <v>1810</v>
      </c>
    </row>
    <row r="1164" spans="1:11" x14ac:dyDescent="0.2">
      <c r="A1164" s="9" t="s">
        <v>50</v>
      </c>
      <c r="B1164" s="9" t="s">
        <v>1811</v>
      </c>
      <c r="C1164" s="9"/>
      <c r="D1164" s="9" t="s">
        <v>82</v>
      </c>
      <c r="E1164" s="38">
        <v>3678</v>
      </c>
      <c r="F1164" s="39">
        <v>1802832</v>
      </c>
      <c r="G1164" s="40">
        <v>490.16639477977162</v>
      </c>
      <c r="H1164" s="41">
        <v>-7.1912655717717719E-3</v>
      </c>
      <c r="I1164" s="40">
        <v>71.869494290375201</v>
      </c>
      <c r="J1164" s="41">
        <v>0.14662264703533109</v>
      </c>
      <c r="K1164" s="9" t="s">
        <v>1812</v>
      </c>
    </row>
    <row r="1165" spans="1:11" x14ac:dyDescent="0.2">
      <c r="A1165" s="9" t="s">
        <v>50</v>
      </c>
      <c r="B1165" s="9" t="s">
        <v>502</v>
      </c>
      <c r="C1165" s="9"/>
      <c r="D1165" s="9" t="s">
        <v>86</v>
      </c>
      <c r="E1165" s="38">
        <v>174217</v>
      </c>
      <c r="F1165" s="39">
        <v>0</v>
      </c>
      <c r="G1165" s="40"/>
      <c r="H1165" s="41"/>
      <c r="I1165" s="40">
        <v>0.44999052905284792</v>
      </c>
      <c r="J1165" s="41"/>
      <c r="K1165" s="9" t="s">
        <v>1813</v>
      </c>
    </row>
    <row r="1166" spans="1:11" x14ac:dyDescent="0.2">
      <c r="A1166" s="9" t="s">
        <v>50</v>
      </c>
      <c r="B1166" s="9" t="s">
        <v>301</v>
      </c>
      <c r="C1166" s="9"/>
      <c r="D1166" s="9" t="s">
        <v>82</v>
      </c>
      <c r="E1166" s="38">
        <v>2522</v>
      </c>
      <c r="F1166" s="39">
        <v>69876</v>
      </c>
      <c r="G1166" s="40">
        <v>27.706582077716099</v>
      </c>
      <c r="H1166" s="41"/>
      <c r="I1166" s="40">
        <v>64.444091990483741</v>
      </c>
      <c r="J1166" s="41">
        <v>2.3259488236304311E-2</v>
      </c>
      <c r="K1166" s="9" t="s">
        <v>1814</v>
      </c>
    </row>
    <row r="1167" spans="1:11" x14ac:dyDescent="0.2">
      <c r="A1167" s="9" t="s">
        <v>50</v>
      </c>
      <c r="B1167" s="9" t="s">
        <v>710</v>
      </c>
      <c r="C1167" s="9"/>
      <c r="D1167" s="9" t="s">
        <v>76</v>
      </c>
      <c r="E1167" s="38">
        <v>1908</v>
      </c>
      <c r="F1167" s="39">
        <v>804480</v>
      </c>
      <c r="G1167" s="40">
        <v>421.63522012578619</v>
      </c>
      <c r="H1167" s="41">
        <v>0.1123277608837069</v>
      </c>
      <c r="I1167" s="40">
        <v>61.528301886792462</v>
      </c>
      <c r="J1167" s="41">
        <v>0.14592780429594271</v>
      </c>
      <c r="K1167" s="9" t="s">
        <v>1815</v>
      </c>
    </row>
    <row r="1168" spans="1:11" x14ac:dyDescent="0.2">
      <c r="A1168" s="9" t="s">
        <v>50</v>
      </c>
      <c r="B1168" s="9" t="s">
        <v>1816</v>
      </c>
      <c r="C1168" s="9"/>
      <c r="D1168" s="9" t="s">
        <v>76</v>
      </c>
      <c r="E1168" s="38">
        <v>2795</v>
      </c>
      <c r="F1168" s="39">
        <v>2152956</v>
      </c>
      <c r="G1168" s="40">
        <v>770.28837209302321</v>
      </c>
      <c r="H1168" s="41">
        <v>1.6134578462778711E-2</v>
      </c>
      <c r="I1168" s="40">
        <v>82.46296958855099</v>
      </c>
      <c r="J1168" s="41">
        <v>0.1070546727383189</v>
      </c>
      <c r="K1168" s="9" t="s">
        <v>1817</v>
      </c>
    </row>
    <row r="1169" spans="1:11" x14ac:dyDescent="0.2">
      <c r="A1169" s="9" t="s">
        <v>50</v>
      </c>
      <c r="B1169" s="9" t="s">
        <v>1149</v>
      </c>
      <c r="C1169" s="9"/>
      <c r="D1169" s="9" t="s">
        <v>76</v>
      </c>
      <c r="E1169" s="38">
        <v>19134</v>
      </c>
      <c r="F1169" s="39">
        <v>0</v>
      </c>
      <c r="G1169" s="40"/>
      <c r="H1169" s="41"/>
      <c r="I1169" s="40">
        <v>32.899341486359361</v>
      </c>
      <c r="J1169" s="41"/>
      <c r="K1169" s="9" t="s">
        <v>1818</v>
      </c>
    </row>
    <row r="1170" spans="1:11" x14ac:dyDescent="0.2">
      <c r="A1170" s="9" t="s">
        <v>50</v>
      </c>
      <c r="B1170" s="9" t="s">
        <v>603</v>
      </c>
      <c r="C1170" s="9"/>
      <c r="D1170" s="9" t="s">
        <v>81</v>
      </c>
      <c r="E1170" s="38">
        <v>6459</v>
      </c>
      <c r="F1170" s="39">
        <v>8174280</v>
      </c>
      <c r="G1170" s="40">
        <v>1265.564328843474</v>
      </c>
      <c r="H1170" s="41">
        <v>9.4365481979243368E-2</v>
      </c>
      <c r="I1170" s="40">
        <v>88.581514166279604</v>
      </c>
      <c r="J1170" s="41">
        <v>6.9993687517432734E-2</v>
      </c>
      <c r="K1170" s="9" t="s">
        <v>1819</v>
      </c>
    </row>
    <row r="1171" spans="1:11" x14ac:dyDescent="0.2">
      <c r="A1171" s="9" t="s">
        <v>50</v>
      </c>
      <c r="B1171" s="9" t="s">
        <v>317</v>
      </c>
      <c r="C1171" s="9"/>
      <c r="D1171" s="9" t="s">
        <v>76</v>
      </c>
      <c r="E1171" s="38">
        <v>4000</v>
      </c>
      <c r="F1171" s="39">
        <v>2977728</v>
      </c>
      <c r="G1171" s="40">
        <v>744.43200000000002</v>
      </c>
      <c r="H1171" s="41">
        <v>-6.7296135662489848E-2</v>
      </c>
      <c r="I1171" s="40">
        <v>95.274000000000001</v>
      </c>
      <c r="J1171" s="41">
        <v>0.1279821394029273</v>
      </c>
      <c r="K1171" s="9" t="s">
        <v>1820</v>
      </c>
    </row>
    <row r="1172" spans="1:11" x14ac:dyDescent="0.2">
      <c r="A1172" s="9" t="s">
        <v>50</v>
      </c>
      <c r="B1172" s="9" t="s">
        <v>321</v>
      </c>
      <c r="C1172" s="9"/>
      <c r="D1172" s="9" t="s">
        <v>78</v>
      </c>
      <c r="E1172" s="38">
        <v>1000</v>
      </c>
      <c r="F1172" s="39">
        <v>4177380</v>
      </c>
      <c r="G1172" s="40">
        <v>4177.38</v>
      </c>
      <c r="H1172" s="41">
        <v>1.6832677211050161E-2</v>
      </c>
      <c r="I1172" s="40">
        <v>311.07600000000002</v>
      </c>
      <c r="J1172" s="41">
        <v>7.4466771038306304E-2</v>
      </c>
      <c r="K1172" s="9" t="s">
        <v>1821</v>
      </c>
    </row>
    <row r="1173" spans="1:11" x14ac:dyDescent="0.2">
      <c r="A1173" s="9" t="s">
        <v>50</v>
      </c>
      <c r="B1173" s="9" t="s">
        <v>1822</v>
      </c>
      <c r="C1173" s="9"/>
      <c r="D1173" s="9" t="s">
        <v>81</v>
      </c>
      <c r="E1173" s="38">
        <v>572</v>
      </c>
      <c r="F1173" s="39">
        <v>520140</v>
      </c>
      <c r="G1173" s="40">
        <v>909.33566433566432</v>
      </c>
      <c r="H1173" s="41">
        <v>0.41439387225082519</v>
      </c>
      <c r="I1173" s="40">
        <v>217.027972027972</v>
      </c>
      <c r="J1173" s="41">
        <v>0.23866651286192181</v>
      </c>
      <c r="K1173" s="9" t="s">
        <v>1823</v>
      </c>
    </row>
    <row r="1174" spans="1:11" x14ac:dyDescent="0.2">
      <c r="A1174" s="9" t="s">
        <v>50</v>
      </c>
      <c r="B1174" s="9" t="s">
        <v>1824</v>
      </c>
      <c r="C1174" s="9"/>
      <c r="D1174" s="9" t="s">
        <v>79</v>
      </c>
      <c r="E1174" s="38">
        <v>903</v>
      </c>
      <c r="F1174" s="39">
        <v>358068</v>
      </c>
      <c r="G1174" s="40">
        <v>396.53156146179401</v>
      </c>
      <c r="H1174" s="41">
        <v>-7.0704696923288166E-2</v>
      </c>
      <c r="I1174" s="40">
        <v>100.358803986711</v>
      </c>
      <c r="J1174" s="41">
        <v>0.25309159154127148</v>
      </c>
      <c r="K1174" s="9" t="s">
        <v>1825</v>
      </c>
    </row>
    <row r="1175" spans="1:11" x14ac:dyDescent="0.2">
      <c r="A1175" s="9" t="s">
        <v>50</v>
      </c>
      <c r="B1175" s="9" t="s">
        <v>520</v>
      </c>
      <c r="C1175" s="9"/>
      <c r="D1175" s="9" t="s">
        <v>77</v>
      </c>
      <c r="E1175" s="38">
        <v>7204</v>
      </c>
      <c r="F1175" s="39">
        <v>3066084</v>
      </c>
      <c r="G1175" s="40">
        <v>425.60855080510828</v>
      </c>
      <c r="H1175" s="41">
        <v>-2.703719088795532E-2</v>
      </c>
      <c r="I1175" s="40">
        <v>74.058856191004992</v>
      </c>
      <c r="J1175" s="41">
        <v>0.17400697436860829</v>
      </c>
      <c r="K1175" s="9" t="s">
        <v>1826</v>
      </c>
    </row>
    <row r="1176" spans="1:11" x14ac:dyDescent="0.2">
      <c r="A1176" s="9" t="s">
        <v>50</v>
      </c>
      <c r="B1176" s="9" t="s">
        <v>946</v>
      </c>
      <c r="C1176" s="9"/>
      <c r="D1176" s="9" t="s">
        <v>78</v>
      </c>
      <c r="E1176" s="38">
        <v>1800</v>
      </c>
      <c r="F1176" s="39">
        <v>4304160</v>
      </c>
      <c r="G1176" s="40">
        <v>2391.1999999999998</v>
      </c>
      <c r="H1176" s="41">
        <v>-0.16661208507956429</v>
      </c>
      <c r="I1176" s="40">
        <v>181.8666666666667</v>
      </c>
      <c r="J1176" s="41">
        <v>7.6056652169064348E-2</v>
      </c>
      <c r="K1176" s="9" t="s">
        <v>1827</v>
      </c>
    </row>
    <row r="1177" spans="1:11" x14ac:dyDescent="0.2">
      <c r="A1177" s="9" t="s">
        <v>50</v>
      </c>
      <c r="B1177" s="9" t="s">
        <v>343</v>
      </c>
      <c r="C1177" s="9"/>
      <c r="D1177" s="9" t="s">
        <v>79</v>
      </c>
      <c r="E1177" s="38">
        <v>5158</v>
      </c>
      <c r="F1177" s="39">
        <v>10936188</v>
      </c>
      <c r="G1177" s="40">
        <v>2120.2380767739428</v>
      </c>
      <c r="H1177" s="41">
        <v>0.18336166803944129</v>
      </c>
      <c r="I1177" s="40">
        <v>155.86739046141909</v>
      </c>
      <c r="J1177" s="41">
        <v>7.3514098331155242E-2</v>
      </c>
      <c r="K1177" s="9" t="s">
        <v>1828</v>
      </c>
    </row>
    <row r="1178" spans="1:11" x14ac:dyDescent="0.2">
      <c r="A1178" s="9" t="s">
        <v>50</v>
      </c>
      <c r="B1178" s="9" t="s">
        <v>351</v>
      </c>
      <c r="C1178" s="9"/>
      <c r="D1178" s="9" t="s">
        <v>85</v>
      </c>
      <c r="E1178" s="38">
        <v>2214</v>
      </c>
      <c r="F1178" s="39">
        <v>1728972</v>
      </c>
      <c r="G1178" s="40">
        <v>780.92682926829264</v>
      </c>
      <c r="H1178" s="41">
        <v>-8.2905330200448185E-2</v>
      </c>
      <c r="I1178" s="40">
        <v>127.58265582655829</v>
      </c>
      <c r="J1178" s="41">
        <v>0.1633733802513864</v>
      </c>
      <c r="K1178" s="9" t="s">
        <v>1829</v>
      </c>
    </row>
    <row r="1179" spans="1:11" x14ac:dyDescent="0.2">
      <c r="A1179" s="9" t="s">
        <v>50</v>
      </c>
      <c r="B1179" s="9" t="s">
        <v>1830</v>
      </c>
      <c r="C1179" s="9"/>
      <c r="D1179" s="9" t="s">
        <v>81</v>
      </c>
      <c r="E1179" s="38">
        <v>450</v>
      </c>
      <c r="F1179" s="39">
        <v>1082028</v>
      </c>
      <c r="G1179" s="40">
        <v>2404.5066666666671</v>
      </c>
      <c r="H1179" s="41">
        <v>-0.1045618069871331</v>
      </c>
      <c r="I1179" s="40">
        <v>291.36</v>
      </c>
      <c r="J1179" s="41">
        <v>0.12117246503787329</v>
      </c>
      <c r="K1179" s="9" t="s">
        <v>1831</v>
      </c>
    </row>
    <row r="1180" spans="1:11" x14ac:dyDescent="0.2">
      <c r="A1180" s="9" t="s">
        <v>50</v>
      </c>
      <c r="B1180" s="9" t="s">
        <v>353</v>
      </c>
      <c r="C1180" s="9"/>
      <c r="D1180" s="9" t="s">
        <v>76</v>
      </c>
      <c r="E1180" s="38">
        <v>2505</v>
      </c>
      <c r="F1180" s="39">
        <v>1036548</v>
      </c>
      <c r="G1180" s="40">
        <v>413.79161676646709</v>
      </c>
      <c r="H1180" s="41">
        <v>1.0256338904420259E-2</v>
      </c>
      <c r="I1180" s="40">
        <v>114.51976047904191</v>
      </c>
      <c r="J1180" s="41">
        <v>0.27675708216117351</v>
      </c>
      <c r="K1180" s="9" t="s">
        <v>1832</v>
      </c>
    </row>
    <row r="1181" spans="1:11" x14ac:dyDescent="0.2">
      <c r="A1181" s="9" t="s">
        <v>50</v>
      </c>
      <c r="B1181" s="9" t="s">
        <v>355</v>
      </c>
      <c r="C1181" s="9"/>
      <c r="D1181" s="9" t="s">
        <v>82</v>
      </c>
      <c r="E1181" s="38">
        <v>2001</v>
      </c>
      <c r="F1181" s="39">
        <v>1997268</v>
      </c>
      <c r="G1181" s="40">
        <v>998.13493253373315</v>
      </c>
      <c r="H1181" s="41"/>
      <c r="I1181" s="40">
        <v>102.9325337331334</v>
      </c>
      <c r="J1181" s="41">
        <v>0.10312486857046731</v>
      </c>
      <c r="K1181" s="9" t="s">
        <v>1833</v>
      </c>
    </row>
    <row r="1182" spans="1:11" x14ac:dyDescent="0.2">
      <c r="A1182" s="9" t="s">
        <v>50</v>
      </c>
      <c r="B1182" s="9" t="s">
        <v>1834</v>
      </c>
      <c r="C1182" s="9"/>
      <c r="D1182" s="9" t="s">
        <v>76</v>
      </c>
      <c r="E1182" s="38">
        <v>1655</v>
      </c>
      <c r="F1182" s="39">
        <v>1143732</v>
      </c>
      <c r="G1182" s="40">
        <v>691.07673716012084</v>
      </c>
      <c r="H1182" s="41">
        <v>-3.6569844389037848E-2</v>
      </c>
      <c r="I1182" s="40">
        <v>101.7353474320242</v>
      </c>
      <c r="J1182" s="41">
        <v>0.14721280859502051</v>
      </c>
      <c r="K1182" s="9" t="s">
        <v>1835</v>
      </c>
    </row>
    <row r="1183" spans="1:11" x14ac:dyDescent="0.2">
      <c r="A1183" s="9" t="s">
        <v>50</v>
      </c>
      <c r="B1183" s="9" t="s">
        <v>538</v>
      </c>
      <c r="C1183" s="9"/>
      <c r="D1183" s="9" t="s">
        <v>80</v>
      </c>
      <c r="E1183" s="38">
        <v>2272</v>
      </c>
      <c r="F1183" s="39">
        <v>1920168</v>
      </c>
      <c r="G1183" s="40">
        <v>845.1443661971831</v>
      </c>
      <c r="H1183" s="41">
        <v>0.1678091773525798</v>
      </c>
      <c r="I1183" s="40">
        <v>92.228873239436624</v>
      </c>
      <c r="J1183" s="41">
        <v>0.1091279513042609</v>
      </c>
      <c r="K1183" s="9" t="s">
        <v>1836</v>
      </c>
    </row>
    <row r="1184" spans="1:11" x14ac:dyDescent="0.2">
      <c r="A1184" s="9" t="s">
        <v>50</v>
      </c>
      <c r="B1184" s="9" t="s">
        <v>357</v>
      </c>
      <c r="C1184" s="9"/>
      <c r="D1184" s="9" t="s">
        <v>76</v>
      </c>
      <c r="E1184" s="38">
        <v>902</v>
      </c>
      <c r="F1184" s="39">
        <v>919224</v>
      </c>
      <c r="G1184" s="40">
        <v>1019.09534368071</v>
      </c>
      <c r="H1184" s="41">
        <v>-4.6158853700934983E-2</v>
      </c>
      <c r="I1184" s="40">
        <v>163.25055432372511</v>
      </c>
      <c r="J1184" s="41">
        <v>0.1601916399049633</v>
      </c>
      <c r="K1184" s="9" t="s">
        <v>1837</v>
      </c>
    </row>
    <row r="1185" spans="1:11" x14ac:dyDescent="0.2">
      <c r="A1185" s="9" t="s">
        <v>50</v>
      </c>
      <c r="B1185" s="9" t="s">
        <v>1838</v>
      </c>
      <c r="C1185" s="9"/>
      <c r="D1185" s="9" t="s">
        <v>79</v>
      </c>
      <c r="E1185" s="38">
        <v>1396</v>
      </c>
      <c r="F1185" s="39">
        <v>0</v>
      </c>
      <c r="G1185" s="40"/>
      <c r="H1185" s="41"/>
      <c r="I1185" s="40">
        <v>87.515759312320924</v>
      </c>
      <c r="J1185" s="41"/>
      <c r="K1185" s="9" t="s">
        <v>1839</v>
      </c>
    </row>
    <row r="1186" spans="1:11" x14ac:dyDescent="0.2">
      <c r="A1186" s="9" t="s">
        <v>50</v>
      </c>
      <c r="B1186" s="9" t="s">
        <v>365</v>
      </c>
      <c r="C1186" s="9"/>
      <c r="D1186" s="9" t="s">
        <v>81</v>
      </c>
      <c r="E1186" s="38">
        <v>11320</v>
      </c>
      <c r="F1186" s="39">
        <v>15841788</v>
      </c>
      <c r="G1186" s="40">
        <v>1399.451236749117</v>
      </c>
      <c r="H1186" s="41">
        <v>3.4943783955429547E-2</v>
      </c>
      <c r="I1186" s="40">
        <v>89.024734982332149</v>
      </c>
      <c r="J1186" s="41">
        <v>6.361403144645035E-2</v>
      </c>
      <c r="K1186" s="9" t="s">
        <v>1840</v>
      </c>
    </row>
    <row r="1187" spans="1:11" x14ac:dyDescent="0.2">
      <c r="A1187" s="9" t="s">
        <v>50</v>
      </c>
      <c r="B1187" s="9" t="s">
        <v>550</v>
      </c>
      <c r="C1187" s="9"/>
      <c r="D1187" s="9" t="s">
        <v>76</v>
      </c>
      <c r="E1187" s="38">
        <v>4027</v>
      </c>
      <c r="F1187" s="39">
        <v>1442268</v>
      </c>
      <c r="G1187" s="40">
        <v>358.14949093618083</v>
      </c>
      <c r="H1187" s="41">
        <v>-7.2590954715389205E-2</v>
      </c>
      <c r="I1187" s="40">
        <v>66.001489942885527</v>
      </c>
      <c r="J1187" s="41">
        <v>0.1842847515163617</v>
      </c>
      <c r="K1187" s="9" t="s">
        <v>1841</v>
      </c>
    </row>
    <row r="1188" spans="1:11" x14ac:dyDescent="0.2">
      <c r="A1188" s="9" t="s">
        <v>50</v>
      </c>
      <c r="B1188" s="9" t="s">
        <v>554</v>
      </c>
      <c r="C1188" s="9"/>
      <c r="D1188" s="9" t="s">
        <v>76</v>
      </c>
      <c r="E1188" s="38">
        <v>5951</v>
      </c>
      <c r="F1188" s="39">
        <v>1915680</v>
      </c>
      <c r="G1188" s="40">
        <v>321.90892287010593</v>
      </c>
      <c r="H1188" s="41"/>
      <c r="I1188" s="40">
        <v>47.729793312048393</v>
      </c>
      <c r="J1188" s="41">
        <v>0.14827110999749429</v>
      </c>
      <c r="K1188" s="9" t="s">
        <v>1842</v>
      </c>
    </row>
    <row r="1189" spans="1:11" x14ac:dyDescent="0.2">
      <c r="A1189" s="9" t="s">
        <v>50</v>
      </c>
      <c r="B1189" s="9" t="s">
        <v>369</v>
      </c>
      <c r="C1189" s="9"/>
      <c r="D1189" s="9" t="s">
        <v>84</v>
      </c>
      <c r="E1189" s="38">
        <v>1781</v>
      </c>
      <c r="F1189" s="39">
        <v>2416560</v>
      </c>
      <c r="G1189" s="40">
        <v>1356.8556990454799</v>
      </c>
      <c r="H1189" s="41">
        <v>0.55136166389590657</v>
      </c>
      <c r="I1189" s="40">
        <v>77.033127456485119</v>
      </c>
      <c r="J1189" s="41">
        <v>5.6773264475121661E-2</v>
      </c>
      <c r="K1189" s="9" t="s">
        <v>1843</v>
      </c>
    </row>
    <row r="1190" spans="1:11" x14ac:dyDescent="0.2">
      <c r="A1190" s="9" t="s">
        <v>50</v>
      </c>
      <c r="B1190" s="9" t="s">
        <v>1844</v>
      </c>
      <c r="C1190" s="9"/>
      <c r="D1190" s="9" t="s">
        <v>76</v>
      </c>
      <c r="E1190" s="38">
        <v>3878</v>
      </c>
      <c r="F1190" s="39">
        <v>1824840</v>
      </c>
      <c r="G1190" s="40">
        <v>470.56214543579159</v>
      </c>
      <c r="H1190" s="41">
        <v>5.3542903479686911E-2</v>
      </c>
      <c r="I1190" s="40">
        <v>76.124806601340893</v>
      </c>
      <c r="J1190" s="41">
        <v>0.16177418294206619</v>
      </c>
      <c r="K1190" s="9" t="s">
        <v>1845</v>
      </c>
    </row>
    <row r="1191" spans="1:11" x14ac:dyDescent="0.2">
      <c r="A1191" s="9" t="s">
        <v>50</v>
      </c>
      <c r="B1191" s="9" t="s">
        <v>1846</v>
      </c>
      <c r="C1191" s="9"/>
      <c r="D1191" s="9" t="s">
        <v>82</v>
      </c>
      <c r="E1191" s="38">
        <v>863</v>
      </c>
      <c r="F1191" s="39">
        <v>481452</v>
      </c>
      <c r="G1191" s="40">
        <v>557.8818076477404</v>
      </c>
      <c r="H1191" s="41">
        <v>0.1019611174486056</v>
      </c>
      <c r="I1191" s="40">
        <v>104.9965237543453</v>
      </c>
      <c r="J1191" s="41">
        <v>0.18820567782458059</v>
      </c>
      <c r="K1191" s="9" t="s">
        <v>1847</v>
      </c>
    </row>
    <row r="1192" spans="1:11" x14ac:dyDescent="0.2">
      <c r="A1192" s="9" t="s">
        <v>50</v>
      </c>
      <c r="B1192" s="9" t="s">
        <v>384</v>
      </c>
      <c r="C1192" s="9"/>
      <c r="D1192" s="9" t="s">
        <v>77</v>
      </c>
      <c r="E1192" s="38">
        <v>2983</v>
      </c>
      <c r="F1192" s="39">
        <v>1771128</v>
      </c>
      <c r="G1192" s="40">
        <v>593.74052966811939</v>
      </c>
      <c r="H1192" s="41">
        <v>-0.1085439355726769</v>
      </c>
      <c r="I1192" s="40">
        <v>82.254106604089841</v>
      </c>
      <c r="J1192" s="41">
        <v>0.1385354418201282</v>
      </c>
      <c r="K1192" s="9" t="s">
        <v>1848</v>
      </c>
    </row>
    <row r="1193" spans="1:11" x14ac:dyDescent="0.2">
      <c r="A1193" s="9" t="s">
        <v>50</v>
      </c>
      <c r="B1193" s="9" t="s">
        <v>386</v>
      </c>
      <c r="C1193" s="9"/>
      <c r="D1193" s="9" t="s">
        <v>84</v>
      </c>
      <c r="E1193" s="38">
        <v>572</v>
      </c>
      <c r="F1193" s="39">
        <v>127104</v>
      </c>
      <c r="G1193" s="40">
        <v>222.20979020979021</v>
      </c>
      <c r="H1193" s="41">
        <v>-0.36705714907283482</v>
      </c>
      <c r="I1193" s="40">
        <v>199.99300699300699</v>
      </c>
      <c r="J1193" s="41">
        <v>0.90001888217522663</v>
      </c>
      <c r="K1193" s="9" t="s">
        <v>1849</v>
      </c>
    </row>
    <row r="1194" spans="1:11" x14ac:dyDescent="0.2">
      <c r="A1194" s="9" t="s">
        <v>50</v>
      </c>
      <c r="B1194" s="9" t="s">
        <v>1850</v>
      </c>
      <c r="C1194" s="9"/>
      <c r="D1194" s="9" t="s">
        <v>76</v>
      </c>
      <c r="E1194" s="38">
        <v>1437</v>
      </c>
      <c r="F1194" s="39">
        <v>882636</v>
      </c>
      <c r="G1194" s="40">
        <v>614.22129436325679</v>
      </c>
      <c r="H1194" s="41">
        <v>-0.1004355914747211</v>
      </c>
      <c r="I1194" s="40">
        <v>77.252609603340289</v>
      </c>
      <c r="J1194" s="41">
        <v>0.1257732519407774</v>
      </c>
      <c r="K1194" s="9" t="s">
        <v>1851</v>
      </c>
    </row>
    <row r="1195" spans="1:11" x14ac:dyDescent="0.2">
      <c r="A1195" s="9" t="s">
        <v>50</v>
      </c>
      <c r="B1195" s="9" t="s">
        <v>388</v>
      </c>
      <c r="C1195" s="9"/>
      <c r="D1195" s="9" t="s">
        <v>76</v>
      </c>
      <c r="E1195" s="38">
        <v>14493</v>
      </c>
      <c r="F1195" s="39">
        <v>7512192</v>
      </c>
      <c r="G1195" s="40">
        <v>518.33243634858206</v>
      </c>
      <c r="H1195" s="41">
        <v>-9.1553456443223741E-2</v>
      </c>
      <c r="I1195" s="40">
        <v>76.05630304284827</v>
      </c>
      <c r="J1195" s="41">
        <v>0.14673267136942189</v>
      </c>
      <c r="K1195" s="9" t="s">
        <v>1852</v>
      </c>
    </row>
    <row r="1196" spans="1:11" x14ac:dyDescent="0.2">
      <c r="A1196" s="9" t="s">
        <v>50</v>
      </c>
      <c r="B1196" s="9" t="s">
        <v>1853</v>
      </c>
      <c r="C1196" s="9"/>
      <c r="D1196" s="9" t="s">
        <v>76</v>
      </c>
      <c r="E1196" s="38">
        <v>1200</v>
      </c>
      <c r="F1196" s="39">
        <v>487728</v>
      </c>
      <c r="G1196" s="40">
        <v>406.44</v>
      </c>
      <c r="H1196" s="41">
        <v>7.3996561775917478E-3</v>
      </c>
      <c r="I1196" s="40">
        <v>85</v>
      </c>
      <c r="J1196" s="41">
        <v>0.20913295935439419</v>
      </c>
      <c r="K1196" s="9" t="s">
        <v>1854</v>
      </c>
    </row>
    <row r="1197" spans="1:11" x14ac:dyDescent="0.2">
      <c r="A1197" s="9" t="s">
        <v>50</v>
      </c>
      <c r="B1197" s="9" t="s">
        <v>571</v>
      </c>
      <c r="C1197" s="9"/>
      <c r="D1197" s="9" t="s">
        <v>76</v>
      </c>
      <c r="E1197" s="38">
        <v>4500</v>
      </c>
      <c r="F1197" s="39">
        <v>806160</v>
      </c>
      <c r="G1197" s="40">
        <v>179.1466666666667</v>
      </c>
      <c r="H1197" s="41">
        <v>-7.6834849603986372E-2</v>
      </c>
      <c r="I1197" s="40">
        <v>40</v>
      </c>
      <c r="J1197" s="41">
        <v>0.22328073831497469</v>
      </c>
      <c r="K1197" s="9" t="s">
        <v>1855</v>
      </c>
    </row>
    <row r="1198" spans="1:11" x14ac:dyDescent="0.2">
      <c r="A1198" s="9" t="s">
        <v>50</v>
      </c>
      <c r="B1198" s="9" t="s">
        <v>392</v>
      </c>
      <c r="C1198" s="9"/>
      <c r="D1198" s="9" t="s">
        <v>76</v>
      </c>
      <c r="E1198" s="38">
        <v>3900</v>
      </c>
      <c r="F1198" s="39">
        <v>2221308</v>
      </c>
      <c r="G1198" s="40">
        <v>569.56615384615384</v>
      </c>
      <c r="H1198" s="41">
        <v>-0.17001855724133499</v>
      </c>
      <c r="I1198" s="40">
        <v>71.843076923076922</v>
      </c>
      <c r="J1198" s="41">
        <v>0.1261364925530363</v>
      </c>
      <c r="K1198" s="9" t="s">
        <v>1856</v>
      </c>
    </row>
    <row r="1199" spans="1:11" x14ac:dyDescent="0.2">
      <c r="A1199" s="9" t="s">
        <v>50</v>
      </c>
      <c r="B1199" s="9" t="s">
        <v>574</v>
      </c>
      <c r="C1199" s="9"/>
      <c r="D1199" s="9" t="s">
        <v>82</v>
      </c>
      <c r="E1199" s="38">
        <v>2180</v>
      </c>
      <c r="F1199" s="39">
        <v>643896</v>
      </c>
      <c r="G1199" s="40">
        <v>295.36513761467887</v>
      </c>
      <c r="H1199" s="41">
        <v>8.6508020639645647E-2</v>
      </c>
      <c r="I1199" s="40">
        <v>80.311926605504581</v>
      </c>
      <c r="J1199" s="41">
        <v>0.27190726452719072</v>
      </c>
      <c r="K1199" s="9" t="s">
        <v>1857</v>
      </c>
    </row>
    <row r="1200" spans="1:11" x14ac:dyDescent="0.2">
      <c r="A1200" s="9" t="s">
        <v>50</v>
      </c>
      <c r="B1200" s="9" t="s">
        <v>396</v>
      </c>
      <c r="C1200" s="9"/>
      <c r="D1200" s="9" t="s">
        <v>78</v>
      </c>
      <c r="E1200" s="38">
        <v>2051</v>
      </c>
      <c r="F1200" s="39">
        <v>2169432</v>
      </c>
      <c r="G1200" s="40">
        <v>1057.743539736714</v>
      </c>
      <c r="H1200" s="41">
        <v>-9.4019370334374422E-2</v>
      </c>
      <c r="I1200" s="40">
        <v>129.2910775231594</v>
      </c>
      <c r="J1200" s="41">
        <v>0.12223291626563999</v>
      </c>
      <c r="K1200" s="9" t="s">
        <v>1858</v>
      </c>
    </row>
    <row r="1201" spans="1:11" x14ac:dyDescent="0.2">
      <c r="A1201" s="9" t="s">
        <v>50</v>
      </c>
      <c r="B1201" s="9" t="s">
        <v>398</v>
      </c>
      <c r="C1201" s="9"/>
      <c r="D1201" s="9" t="s">
        <v>76</v>
      </c>
      <c r="E1201" s="38">
        <v>2379</v>
      </c>
      <c r="F1201" s="39">
        <v>1630260</v>
      </c>
      <c r="G1201" s="40">
        <v>685.27112232030265</v>
      </c>
      <c r="H1201" s="41">
        <v>-0.16011837366186021</v>
      </c>
      <c r="I1201" s="40">
        <v>97.518284993694834</v>
      </c>
      <c r="J1201" s="41">
        <v>0.14230613521769531</v>
      </c>
      <c r="K1201" s="9" t="s">
        <v>1859</v>
      </c>
    </row>
    <row r="1202" spans="1:11" x14ac:dyDescent="0.2">
      <c r="A1202" s="9" t="s">
        <v>59</v>
      </c>
      <c r="B1202" s="9" t="s">
        <v>166</v>
      </c>
      <c r="C1202" s="9"/>
      <c r="D1202" s="9" t="s">
        <v>76</v>
      </c>
      <c r="E1202" s="38">
        <v>4599</v>
      </c>
      <c r="F1202" s="39">
        <v>1776418.14</v>
      </c>
      <c r="G1202" s="40">
        <v>386.26182648401817</v>
      </c>
      <c r="H1202" s="41">
        <v>7.5145498492469303E-3</v>
      </c>
      <c r="I1202" s="40">
        <v>63.054962209175912</v>
      </c>
      <c r="J1202" s="41">
        <v>0.16324409477151591</v>
      </c>
      <c r="K1202" s="9" t="s">
        <v>1860</v>
      </c>
    </row>
    <row r="1203" spans="1:11" x14ac:dyDescent="0.2">
      <c r="A1203" s="9" t="s">
        <v>59</v>
      </c>
      <c r="B1203" s="9" t="s">
        <v>168</v>
      </c>
      <c r="C1203" s="9"/>
      <c r="D1203" s="9" t="s">
        <v>77</v>
      </c>
      <c r="E1203" s="38">
        <v>1808</v>
      </c>
      <c r="F1203" s="39">
        <v>581124.94000000006</v>
      </c>
      <c r="G1203" s="40">
        <v>321.41866150442479</v>
      </c>
      <c r="H1203" s="41">
        <v>-5.2193137211415372E-2</v>
      </c>
      <c r="I1203" s="40">
        <v>49.778761061946902</v>
      </c>
      <c r="J1203" s="41">
        <v>0.15487203147743059</v>
      </c>
      <c r="K1203" s="9" t="s">
        <v>1861</v>
      </c>
    </row>
    <row r="1204" spans="1:11" x14ac:dyDescent="0.2">
      <c r="A1204" s="9" t="s">
        <v>59</v>
      </c>
      <c r="B1204" s="9" t="s">
        <v>1862</v>
      </c>
      <c r="C1204" s="9"/>
      <c r="D1204" s="9" t="s">
        <v>81</v>
      </c>
      <c r="E1204" s="38">
        <v>584</v>
      </c>
      <c r="F1204" s="39">
        <v>681432.69000000018</v>
      </c>
      <c r="G1204" s="40">
        <v>1166.8367979452059</v>
      </c>
      <c r="H1204" s="41">
        <v>-1.426523040890367E-2</v>
      </c>
      <c r="I1204" s="40">
        <v>236.6078352739726</v>
      </c>
      <c r="J1204" s="41">
        <v>0.2027771456047992</v>
      </c>
      <c r="K1204" s="9" t="s">
        <v>1863</v>
      </c>
    </row>
    <row r="1205" spans="1:11" x14ac:dyDescent="0.2">
      <c r="A1205" s="9" t="s">
        <v>59</v>
      </c>
      <c r="B1205" s="9" t="s">
        <v>169</v>
      </c>
      <c r="C1205" s="9"/>
      <c r="D1205" s="9" t="s">
        <v>76</v>
      </c>
      <c r="E1205" s="38">
        <v>9711</v>
      </c>
      <c r="F1205" s="39">
        <v>3977014.52</v>
      </c>
      <c r="G1205" s="40">
        <v>409.53707342189273</v>
      </c>
      <c r="H1205" s="41">
        <v>9.1078540310256681E-2</v>
      </c>
      <c r="I1205" s="40">
        <v>77.688454494902686</v>
      </c>
      <c r="J1205" s="41">
        <v>0.18969822156948021</v>
      </c>
      <c r="K1205" s="9" t="s">
        <v>1864</v>
      </c>
    </row>
    <row r="1206" spans="1:11" x14ac:dyDescent="0.2">
      <c r="A1206" s="9" t="s">
        <v>59</v>
      </c>
      <c r="B1206" s="9" t="s">
        <v>171</v>
      </c>
      <c r="C1206" s="9"/>
      <c r="D1206" s="9" t="s">
        <v>84</v>
      </c>
      <c r="E1206" s="38">
        <v>1988</v>
      </c>
      <c r="F1206" s="39">
        <v>0</v>
      </c>
      <c r="G1206" s="40"/>
      <c r="H1206" s="41"/>
      <c r="I1206" s="40">
        <v>77.733274647887328</v>
      </c>
      <c r="J1206" s="41"/>
      <c r="K1206" s="9" t="s">
        <v>1865</v>
      </c>
    </row>
    <row r="1207" spans="1:11" x14ac:dyDescent="0.2">
      <c r="A1207" s="9" t="s">
        <v>59</v>
      </c>
      <c r="B1207" s="9" t="s">
        <v>173</v>
      </c>
      <c r="C1207" s="9"/>
      <c r="D1207" s="9" t="s">
        <v>80</v>
      </c>
      <c r="E1207" s="38">
        <v>200</v>
      </c>
      <c r="F1207" s="39">
        <v>658618</v>
      </c>
      <c r="G1207" s="40">
        <v>3293.09</v>
      </c>
      <c r="H1207" s="41">
        <v>5.7454944755197072E-2</v>
      </c>
      <c r="I1207" s="40">
        <v>23.447199999999999</v>
      </c>
      <c r="J1207" s="41">
        <v>7.1201212235316993E-3</v>
      </c>
      <c r="K1207" s="9" t="s">
        <v>1866</v>
      </c>
    </row>
    <row r="1208" spans="1:11" x14ac:dyDescent="0.2">
      <c r="A1208" s="9" t="s">
        <v>59</v>
      </c>
      <c r="B1208" s="9" t="s">
        <v>173</v>
      </c>
      <c r="C1208" s="9"/>
      <c r="D1208" s="9" t="s">
        <v>80</v>
      </c>
      <c r="E1208" s="38">
        <v>1</v>
      </c>
      <c r="F1208" s="39">
        <v>0</v>
      </c>
      <c r="G1208" s="40"/>
      <c r="H1208" s="41"/>
      <c r="I1208" s="40">
        <v>101957.16</v>
      </c>
      <c r="J1208" s="41"/>
      <c r="K1208" s="9" t="s">
        <v>1866</v>
      </c>
    </row>
    <row r="1209" spans="1:11" x14ac:dyDescent="0.2">
      <c r="A1209" s="9" t="s">
        <v>59</v>
      </c>
      <c r="B1209" s="9" t="s">
        <v>864</v>
      </c>
      <c r="C1209" s="9"/>
      <c r="D1209" s="9" t="s">
        <v>81</v>
      </c>
      <c r="E1209" s="38">
        <v>7288</v>
      </c>
      <c r="F1209" s="39">
        <v>0</v>
      </c>
      <c r="G1209" s="40"/>
      <c r="H1209" s="41"/>
      <c r="I1209" s="40">
        <v>25.110867233809</v>
      </c>
      <c r="J1209" s="41"/>
      <c r="K1209" s="9" t="s">
        <v>1867</v>
      </c>
    </row>
    <row r="1210" spans="1:11" x14ac:dyDescent="0.2">
      <c r="A1210" s="9" t="s">
        <v>59</v>
      </c>
      <c r="B1210" s="9" t="s">
        <v>415</v>
      </c>
      <c r="C1210" s="9"/>
      <c r="D1210" s="9" t="s">
        <v>83</v>
      </c>
      <c r="E1210" s="38">
        <v>18656</v>
      </c>
      <c r="F1210" s="39">
        <v>0</v>
      </c>
      <c r="G1210" s="40"/>
      <c r="H1210" s="41"/>
      <c r="I1210" s="40">
        <v>13.795936942538599</v>
      </c>
      <c r="J1210" s="41"/>
      <c r="K1210" s="9" t="s">
        <v>1868</v>
      </c>
    </row>
    <row r="1211" spans="1:11" x14ac:dyDescent="0.2">
      <c r="A1211" s="9" t="s">
        <v>59</v>
      </c>
      <c r="B1211" s="9" t="s">
        <v>1443</v>
      </c>
      <c r="C1211" s="9"/>
      <c r="D1211" s="9" t="s">
        <v>78</v>
      </c>
      <c r="E1211" s="38">
        <v>192</v>
      </c>
      <c r="F1211" s="39">
        <v>547523.93000000005</v>
      </c>
      <c r="G1211" s="40">
        <v>2851.6871354166669</v>
      </c>
      <c r="H1211" s="41">
        <v>-6.1177627699266837E-2</v>
      </c>
      <c r="I1211" s="40">
        <v>500</v>
      </c>
      <c r="J1211" s="41">
        <v>0.1753348022615194</v>
      </c>
      <c r="K1211" s="9" t="s">
        <v>1869</v>
      </c>
    </row>
    <row r="1212" spans="1:11" x14ac:dyDescent="0.2">
      <c r="A1212" s="9" t="s">
        <v>59</v>
      </c>
      <c r="B1212" s="9" t="s">
        <v>1443</v>
      </c>
      <c r="C1212" s="9"/>
      <c r="D1212" s="9" t="s">
        <v>78</v>
      </c>
      <c r="E1212" s="38">
        <v>533</v>
      </c>
      <c r="F1212" s="39">
        <v>940542.94</v>
      </c>
      <c r="G1212" s="40">
        <v>1764.6209005628521</v>
      </c>
      <c r="H1212" s="41">
        <v>-3.9810341073174417E-2</v>
      </c>
      <c r="I1212" s="40">
        <v>354.30287954971863</v>
      </c>
      <c r="J1212" s="41">
        <v>0.20078130063896929</v>
      </c>
      <c r="K1212" s="9" t="s">
        <v>1869</v>
      </c>
    </row>
    <row r="1213" spans="1:11" x14ac:dyDescent="0.2">
      <c r="A1213" s="9" t="s">
        <v>59</v>
      </c>
      <c r="B1213" s="9" t="s">
        <v>179</v>
      </c>
      <c r="C1213" s="9"/>
      <c r="D1213" s="9" t="s">
        <v>79</v>
      </c>
      <c r="E1213" s="38">
        <v>4617</v>
      </c>
      <c r="F1213" s="39">
        <v>5785438</v>
      </c>
      <c r="G1213" s="40">
        <v>1253.072991119775</v>
      </c>
      <c r="H1213" s="41">
        <v>8.6559751062174617E-3</v>
      </c>
      <c r="I1213" s="40">
        <v>97.240572492960794</v>
      </c>
      <c r="J1213" s="41">
        <v>7.760168256923676E-2</v>
      </c>
      <c r="K1213" s="9" t="s">
        <v>1870</v>
      </c>
    </row>
    <row r="1214" spans="1:11" x14ac:dyDescent="0.2">
      <c r="A1214" s="9" t="s">
        <v>59</v>
      </c>
      <c r="B1214" s="9" t="s">
        <v>1082</v>
      </c>
      <c r="C1214" s="9"/>
      <c r="D1214" s="9" t="s">
        <v>86</v>
      </c>
      <c r="E1214" s="38">
        <v>163948</v>
      </c>
      <c r="F1214" s="39">
        <v>0</v>
      </c>
      <c r="G1214" s="40"/>
      <c r="H1214" s="41"/>
      <c r="I1214" s="40">
        <v>0.12262332934833001</v>
      </c>
      <c r="J1214" s="41"/>
      <c r="K1214" s="9" t="s">
        <v>1871</v>
      </c>
    </row>
    <row r="1215" spans="1:11" x14ac:dyDescent="0.2">
      <c r="A1215" s="9" t="s">
        <v>59</v>
      </c>
      <c r="B1215" s="9" t="s">
        <v>187</v>
      </c>
      <c r="C1215" s="9"/>
      <c r="D1215" s="9" t="s">
        <v>76</v>
      </c>
      <c r="E1215" s="38">
        <v>2105</v>
      </c>
      <c r="F1215" s="39">
        <v>977584.41999999993</v>
      </c>
      <c r="G1215" s="40">
        <v>464.41065083135391</v>
      </c>
      <c r="H1215" s="41">
        <v>-3.7402768619829947E-2</v>
      </c>
      <c r="I1215" s="40">
        <v>44.601931211401421</v>
      </c>
      <c r="J1215" s="41">
        <v>9.603985423581117E-2</v>
      </c>
      <c r="K1215" s="9" t="s">
        <v>1872</v>
      </c>
    </row>
    <row r="1216" spans="1:11" x14ac:dyDescent="0.2">
      <c r="A1216" s="9" t="s">
        <v>59</v>
      </c>
      <c r="B1216" s="9" t="s">
        <v>191</v>
      </c>
      <c r="C1216" s="9"/>
      <c r="D1216" s="9" t="s">
        <v>76</v>
      </c>
      <c r="E1216" s="38">
        <v>4979</v>
      </c>
      <c r="F1216" s="39">
        <v>1900189.48</v>
      </c>
      <c r="G1216" s="40">
        <v>381.64078730668803</v>
      </c>
      <c r="H1216" s="41">
        <v>-1.016459565996155E-3</v>
      </c>
      <c r="I1216" s="40">
        <v>56.738994818236577</v>
      </c>
      <c r="J1216" s="41">
        <v>0.14867120262133021</v>
      </c>
      <c r="K1216" s="9" t="s">
        <v>1873</v>
      </c>
    </row>
    <row r="1217" spans="1:11" x14ac:dyDescent="0.2">
      <c r="A1217" s="9" t="s">
        <v>59</v>
      </c>
      <c r="B1217" s="9" t="s">
        <v>193</v>
      </c>
      <c r="C1217" s="9"/>
      <c r="D1217" s="9" t="s">
        <v>82</v>
      </c>
      <c r="E1217" s="38">
        <v>2400</v>
      </c>
      <c r="F1217" s="39">
        <v>976674.44</v>
      </c>
      <c r="G1217" s="40">
        <v>406.94768333333332</v>
      </c>
      <c r="H1217" s="41">
        <v>0.13594606528410241</v>
      </c>
      <c r="I1217" s="40">
        <v>48.833671999999993</v>
      </c>
      <c r="J1217" s="41">
        <v>0.11999987713408369</v>
      </c>
      <c r="K1217" s="9" t="s">
        <v>1874</v>
      </c>
    </row>
    <row r="1218" spans="1:11" x14ac:dyDescent="0.2">
      <c r="A1218" s="9" t="s">
        <v>59</v>
      </c>
      <c r="B1218" s="9" t="s">
        <v>1215</v>
      </c>
      <c r="C1218" s="9"/>
      <c r="D1218" s="9" t="s">
        <v>81</v>
      </c>
      <c r="E1218" s="38">
        <v>3100</v>
      </c>
      <c r="F1218" s="39">
        <v>2726654.44</v>
      </c>
      <c r="G1218" s="40">
        <v>879.5659483870968</v>
      </c>
      <c r="H1218" s="41">
        <v>0.36303253936490892</v>
      </c>
      <c r="I1218" s="40">
        <v>59.64792825806451</v>
      </c>
      <c r="J1218" s="41">
        <v>6.7815185850980078E-2</v>
      </c>
      <c r="K1218" s="9" t="s">
        <v>1875</v>
      </c>
    </row>
    <row r="1219" spans="1:11" x14ac:dyDescent="0.2">
      <c r="A1219" s="9" t="s">
        <v>59</v>
      </c>
      <c r="B1219" s="9" t="s">
        <v>1876</v>
      </c>
      <c r="C1219" s="9"/>
      <c r="D1219" s="9" t="s">
        <v>84</v>
      </c>
      <c r="E1219" s="38">
        <v>150</v>
      </c>
      <c r="F1219" s="39">
        <v>161703.71</v>
      </c>
      <c r="G1219" s="40">
        <v>1078.024733333333</v>
      </c>
      <c r="H1219" s="41">
        <v>-3.6427371959012689E-2</v>
      </c>
      <c r="I1219" s="40">
        <v>638.11199999999997</v>
      </c>
      <c r="J1219" s="41">
        <v>0.5919270497875404</v>
      </c>
      <c r="K1219" s="9" t="s">
        <v>1877</v>
      </c>
    </row>
    <row r="1220" spans="1:11" x14ac:dyDescent="0.2">
      <c r="A1220" s="9" t="s">
        <v>59</v>
      </c>
      <c r="B1220" s="9" t="s">
        <v>200</v>
      </c>
      <c r="C1220" s="9"/>
      <c r="D1220" s="9" t="s">
        <v>77</v>
      </c>
      <c r="E1220" s="38">
        <v>6873</v>
      </c>
      <c r="F1220" s="39">
        <v>2907613.439999999</v>
      </c>
      <c r="G1220" s="40">
        <v>423.04865997381052</v>
      </c>
      <c r="H1220" s="41">
        <v>-9.1159816537969049E-2</v>
      </c>
      <c r="I1220" s="40">
        <v>119.925395024007</v>
      </c>
      <c r="J1220" s="41">
        <v>0.28347896204524359</v>
      </c>
      <c r="K1220" s="9" t="s">
        <v>1878</v>
      </c>
    </row>
    <row r="1221" spans="1:11" x14ac:dyDescent="0.2">
      <c r="A1221" s="9" t="s">
        <v>59</v>
      </c>
      <c r="B1221" s="9" t="s">
        <v>877</v>
      </c>
      <c r="C1221" s="9"/>
      <c r="D1221" s="9" t="s">
        <v>76</v>
      </c>
      <c r="E1221" s="38">
        <v>6000</v>
      </c>
      <c r="F1221" s="39">
        <v>1453100.99</v>
      </c>
      <c r="G1221" s="40">
        <v>242.18349833333329</v>
      </c>
      <c r="H1221" s="41">
        <v>1.0081933280860879E-2</v>
      </c>
      <c r="I1221" s="40">
        <v>24.218349833333331</v>
      </c>
      <c r="J1221" s="41">
        <v>0.1</v>
      </c>
      <c r="K1221" s="9" t="s">
        <v>1879</v>
      </c>
    </row>
    <row r="1222" spans="1:11" x14ac:dyDescent="0.2">
      <c r="A1222" s="9" t="s">
        <v>59</v>
      </c>
      <c r="B1222" s="9" t="s">
        <v>206</v>
      </c>
      <c r="C1222" s="9"/>
      <c r="D1222" s="9" t="s">
        <v>80</v>
      </c>
      <c r="E1222" s="38">
        <v>1282</v>
      </c>
      <c r="F1222" s="39">
        <v>749068.04</v>
      </c>
      <c r="G1222" s="40">
        <v>584.29644305772229</v>
      </c>
      <c r="H1222" s="41">
        <v>-5.8731826371998842E-2</v>
      </c>
      <c r="I1222" s="40">
        <v>106.1795831513261</v>
      </c>
      <c r="J1222" s="41">
        <v>0.181722111118237</v>
      </c>
      <c r="K1222" s="9" t="s">
        <v>1880</v>
      </c>
    </row>
    <row r="1223" spans="1:11" x14ac:dyDescent="0.2">
      <c r="A1223" s="9" t="s">
        <v>59</v>
      </c>
      <c r="B1223" s="9" t="s">
        <v>1881</v>
      </c>
      <c r="C1223" s="9"/>
      <c r="D1223" s="9" t="s">
        <v>84</v>
      </c>
      <c r="E1223" s="38">
        <v>180</v>
      </c>
      <c r="F1223" s="39">
        <v>221705.23</v>
      </c>
      <c r="G1223" s="40">
        <v>1231.695722222222</v>
      </c>
      <c r="H1223" s="41">
        <v>-6.437356291084087E-2</v>
      </c>
      <c r="I1223" s="40">
        <v>312.29000000000002</v>
      </c>
      <c r="J1223" s="41">
        <v>0.2535447630170925</v>
      </c>
      <c r="K1223" s="9" t="s">
        <v>1882</v>
      </c>
    </row>
    <row r="1224" spans="1:11" x14ac:dyDescent="0.2">
      <c r="A1224" s="9" t="s">
        <v>59</v>
      </c>
      <c r="B1224" s="9" t="s">
        <v>208</v>
      </c>
      <c r="C1224" s="9"/>
      <c r="D1224" s="9" t="s">
        <v>78</v>
      </c>
      <c r="E1224" s="38">
        <v>1150</v>
      </c>
      <c r="F1224" s="39">
        <v>910648.22</v>
      </c>
      <c r="G1224" s="40">
        <v>791.86801739130431</v>
      </c>
      <c r="H1224" s="41">
        <v>-7.9561544366901545E-3</v>
      </c>
      <c r="I1224" s="40">
        <v>95.024162086956522</v>
      </c>
      <c r="J1224" s="41">
        <v>0.12</v>
      </c>
      <c r="K1224" s="9" t="s">
        <v>1883</v>
      </c>
    </row>
    <row r="1225" spans="1:11" x14ac:dyDescent="0.2">
      <c r="A1225" s="9" t="s">
        <v>59</v>
      </c>
      <c r="B1225" s="9" t="s">
        <v>1884</v>
      </c>
      <c r="C1225" s="9"/>
      <c r="D1225" s="9" t="s">
        <v>83</v>
      </c>
      <c r="E1225" s="38">
        <v>761</v>
      </c>
      <c r="F1225" s="39">
        <v>0</v>
      </c>
      <c r="G1225" s="40"/>
      <c r="H1225" s="41"/>
      <c r="I1225" s="40">
        <v>111.7000005256242</v>
      </c>
      <c r="J1225" s="41"/>
      <c r="K1225" s="9" t="s">
        <v>1885</v>
      </c>
    </row>
    <row r="1226" spans="1:11" x14ac:dyDescent="0.2">
      <c r="A1226" s="9" t="s">
        <v>59</v>
      </c>
      <c r="B1226" s="9" t="s">
        <v>1886</v>
      </c>
      <c r="C1226" s="9"/>
      <c r="D1226" s="9" t="s">
        <v>76</v>
      </c>
      <c r="E1226" s="38">
        <v>2050</v>
      </c>
      <c r="F1226" s="39">
        <v>447785.55</v>
      </c>
      <c r="G1226" s="40">
        <v>218.43197560975611</v>
      </c>
      <c r="H1226" s="41">
        <v>-5.5210552199448641E-2</v>
      </c>
      <c r="I1226" s="40">
        <v>48.067459902439019</v>
      </c>
      <c r="J1226" s="41">
        <v>0.22005688392579881</v>
      </c>
      <c r="K1226" s="9" t="s">
        <v>1887</v>
      </c>
    </row>
    <row r="1227" spans="1:11" x14ac:dyDescent="0.2">
      <c r="A1227" s="9" t="s">
        <v>59</v>
      </c>
      <c r="B1227" s="9" t="s">
        <v>1888</v>
      </c>
      <c r="C1227" s="9"/>
      <c r="D1227" s="9" t="s">
        <v>78</v>
      </c>
      <c r="E1227" s="38">
        <v>700</v>
      </c>
      <c r="F1227" s="39">
        <v>661649.82000000007</v>
      </c>
      <c r="G1227" s="40">
        <v>945.21402857142868</v>
      </c>
      <c r="H1227" s="41">
        <v>0.16859261943991671</v>
      </c>
      <c r="I1227" s="40">
        <v>226.35059314285709</v>
      </c>
      <c r="J1227" s="41">
        <v>0.2394702007173522</v>
      </c>
      <c r="K1227" s="9" t="s">
        <v>1889</v>
      </c>
    </row>
    <row r="1228" spans="1:11" x14ac:dyDescent="0.2">
      <c r="A1228" s="9" t="s">
        <v>59</v>
      </c>
      <c r="B1228" s="9" t="s">
        <v>1359</v>
      </c>
      <c r="C1228" s="9"/>
      <c r="D1228" s="9" t="s">
        <v>77</v>
      </c>
      <c r="E1228" s="38">
        <v>6360</v>
      </c>
      <c r="F1228" s="39">
        <v>3700702.59</v>
      </c>
      <c r="G1228" s="40">
        <v>581.87147641509443</v>
      </c>
      <c r="H1228" s="41">
        <v>-7.9851446560411585E-3</v>
      </c>
      <c r="I1228" s="40">
        <v>73.454224072327051</v>
      </c>
      <c r="J1228" s="41">
        <v>0.1262378842229524</v>
      </c>
      <c r="K1228" s="9" t="s">
        <v>1890</v>
      </c>
    </row>
    <row r="1229" spans="1:11" x14ac:dyDescent="0.2">
      <c r="A1229" s="9" t="s">
        <v>59</v>
      </c>
      <c r="B1229" s="9" t="s">
        <v>231</v>
      </c>
      <c r="C1229" s="9"/>
      <c r="D1229" s="9" t="s">
        <v>76</v>
      </c>
      <c r="E1229" s="38">
        <v>8085</v>
      </c>
      <c r="F1229" s="39">
        <v>1321055.71</v>
      </c>
      <c r="G1229" s="40">
        <v>163.39588249845389</v>
      </c>
      <c r="H1229" s="41">
        <v>-0.29081055210573248</v>
      </c>
      <c r="I1229" s="40">
        <v>22.875423549783552</v>
      </c>
      <c r="J1229" s="41">
        <v>0.14000000000000001</v>
      </c>
      <c r="K1229" s="9" t="s">
        <v>1891</v>
      </c>
    </row>
    <row r="1230" spans="1:11" x14ac:dyDescent="0.2">
      <c r="A1230" s="9" t="s">
        <v>59</v>
      </c>
      <c r="B1230" s="9" t="s">
        <v>1892</v>
      </c>
      <c r="C1230" s="9"/>
      <c r="D1230" s="9" t="s">
        <v>79</v>
      </c>
      <c r="E1230" s="38">
        <v>150</v>
      </c>
      <c r="F1230" s="39">
        <v>48622</v>
      </c>
      <c r="G1230" s="40">
        <v>324.14666666666659</v>
      </c>
      <c r="H1230" s="41">
        <v>-2.7579562219612799E-2</v>
      </c>
      <c r="I1230" s="40">
        <v>560</v>
      </c>
      <c r="J1230" s="41">
        <v>1.7276130146847101E-2</v>
      </c>
      <c r="K1230" s="9" t="s">
        <v>1893</v>
      </c>
    </row>
    <row r="1231" spans="1:11" x14ac:dyDescent="0.2">
      <c r="A1231" s="9" t="s">
        <v>59</v>
      </c>
      <c r="B1231" s="9" t="s">
        <v>895</v>
      </c>
      <c r="C1231" s="9"/>
      <c r="D1231" s="9" t="s">
        <v>77</v>
      </c>
      <c r="E1231" s="38">
        <v>7881</v>
      </c>
      <c r="F1231" s="39">
        <v>1660169.98</v>
      </c>
      <c r="G1231" s="40">
        <v>210.6547367085395</v>
      </c>
      <c r="H1231" s="41">
        <v>-0.13364354092483191</v>
      </c>
      <c r="I1231" s="40">
        <v>91.278979824895316</v>
      </c>
      <c r="J1231" s="41">
        <v>0.43331083483391258</v>
      </c>
      <c r="K1231" s="9" t="s">
        <v>1894</v>
      </c>
    </row>
    <row r="1232" spans="1:11" x14ac:dyDescent="0.2">
      <c r="A1232" s="9" t="s">
        <v>59</v>
      </c>
      <c r="B1232" s="9" t="s">
        <v>1895</v>
      </c>
      <c r="C1232" s="9"/>
      <c r="D1232" s="9" t="s">
        <v>79</v>
      </c>
      <c r="E1232" s="38">
        <v>726</v>
      </c>
      <c r="F1232" s="39">
        <v>0</v>
      </c>
      <c r="G1232" s="40"/>
      <c r="H1232" s="41"/>
      <c r="I1232" s="40">
        <v>78.944396694214873</v>
      </c>
      <c r="J1232" s="41"/>
      <c r="K1232" s="9" t="s">
        <v>1896</v>
      </c>
    </row>
    <row r="1233" spans="1:11" x14ac:dyDescent="0.2">
      <c r="A1233" s="9" t="s">
        <v>59</v>
      </c>
      <c r="B1233" s="9" t="s">
        <v>235</v>
      </c>
      <c r="C1233" s="9"/>
      <c r="D1233" s="9" t="s">
        <v>77</v>
      </c>
      <c r="E1233" s="38">
        <v>5529</v>
      </c>
      <c r="F1233" s="39">
        <v>4832012.3900000006</v>
      </c>
      <c r="G1233" s="40">
        <v>873.93966178332437</v>
      </c>
      <c r="H1233" s="41">
        <v>-2.083264059490103E-4</v>
      </c>
      <c r="I1233" s="40">
        <v>135.72273749321761</v>
      </c>
      <c r="J1233" s="41">
        <v>0.15529989475047681</v>
      </c>
      <c r="K1233" s="9" t="s">
        <v>1897</v>
      </c>
    </row>
    <row r="1234" spans="1:11" x14ac:dyDescent="0.2">
      <c r="A1234" s="9" t="s">
        <v>59</v>
      </c>
      <c r="B1234" s="9" t="s">
        <v>1898</v>
      </c>
      <c r="C1234" s="9"/>
      <c r="D1234" s="9" t="s">
        <v>78</v>
      </c>
      <c r="E1234" s="38">
        <v>160</v>
      </c>
      <c r="F1234" s="39">
        <v>546416</v>
      </c>
      <c r="G1234" s="40">
        <v>3415.1</v>
      </c>
      <c r="H1234" s="41">
        <v>-0.13754261938242829</v>
      </c>
      <c r="I1234" s="40">
        <v>1012.921875</v>
      </c>
      <c r="J1234" s="41">
        <v>0.29660094140727938</v>
      </c>
      <c r="K1234" s="9" t="s">
        <v>1899</v>
      </c>
    </row>
    <row r="1235" spans="1:11" x14ac:dyDescent="0.2">
      <c r="A1235" s="9" t="s">
        <v>59</v>
      </c>
      <c r="B1235" s="9" t="s">
        <v>1898</v>
      </c>
      <c r="C1235" s="9"/>
      <c r="D1235" s="9" t="s">
        <v>78</v>
      </c>
      <c r="E1235" s="38">
        <v>180</v>
      </c>
      <c r="F1235" s="39">
        <v>551619</v>
      </c>
      <c r="G1235" s="40">
        <v>3064.55</v>
      </c>
      <c r="H1235" s="41">
        <v>-0.2393502580205408</v>
      </c>
      <c r="I1235" s="40">
        <v>932.53125333333332</v>
      </c>
      <c r="J1235" s="41">
        <v>0.30429630886535808</v>
      </c>
      <c r="K1235" s="9" t="s">
        <v>1899</v>
      </c>
    </row>
    <row r="1236" spans="1:11" x14ac:dyDescent="0.2">
      <c r="A1236" s="9" t="s">
        <v>59</v>
      </c>
      <c r="B1236" s="9" t="s">
        <v>908</v>
      </c>
      <c r="C1236" s="9"/>
      <c r="D1236" s="9" t="s">
        <v>80</v>
      </c>
      <c r="E1236" s="38">
        <v>582</v>
      </c>
      <c r="F1236" s="39">
        <v>599154.30000000005</v>
      </c>
      <c r="G1236" s="40">
        <v>1029.4747422680409</v>
      </c>
      <c r="H1236" s="41">
        <v>2.5749841127877929E-2</v>
      </c>
      <c r="I1236" s="40">
        <v>154.63917525773189</v>
      </c>
      <c r="J1236" s="41">
        <v>0.15021172342416639</v>
      </c>
      <c r="K1236" s="9" t="s">
        <v>1900</v>
      </c>
    </row>
    <row r="1237" spans="1:11" x14ac:dyDescent="0.2">
      <c r="A1237" s="9" t="s">
        <v>59</v>
      </c>
      <c r="B1237" s="9" t="s">
        <v>1901</v>
      </c>
      <c r="C1237" s="9"/>
      <c r="D1237" s="9" t="s">
        <v>81</v>
      </c>
      <c r="E1237" s="38">
        <v>600</v>
      </c>
      <c r="F1237" s="39">
        <v>619183.40000000014</v>
      </c>
      <c r="G1237" s="40">
        <v>1031.9723333333341</v>
      </c>
      <c r="H1237" s="41">
        <v>-2.3420517595492199E-2</v>
      </c>
      <c r="I1237" s="40">
        <v>293.4955306666667</v>
      </c>
      <c r="J1237" s="41">
        <v>0.28440251854297122</v>
      </c>
      <c r="K1237" s="9" t="s">
        <v>1902</v>
      </c>
    </row>
    <row r="1238" spans="1:11" x14ac:dyDescent="0.2">
      <c r="A1238" s="9" t="s">
        <v>59</v>
      </c>
      <c r="B1238" s="9" t="s">
        <v>247</v>
      </c>
      <c r="C1238" s="9"/>
      <c r="D1238" s="9" t="s">
        <v>76</v>
      </c>
      <c r="E1238" s="38">
        <v>21565</v>
      </c>
      <c r="F1238" s="39">
        <v>3215685.73</v>
      </c>
      <c r="G1238" s="40">
        <v>149.11596243913749</v>
      </c>
      <c r="H1238" s="41">
        <v>-0.1014378575252507</v>
      </c>
      <c r="I1238" s="40">
        <v>11.929276995131</v>
      </c>
      <c r="J1238" s="41">
        <v>0.08</v>
      </c>
      <c r="K1238" s="9" t="s">
        <v>1903</v>
      </c>
    </row>
    <row r="1239" spans="1:11" x14ac:dyDescent="0.2">
      <c r="A1239" s="9" t="s">
        <v>59</v>
      </c>
      <c r="B1239" s="9" t="s">
        <v>467</v>
      </c>
      <c r="C1239" s="9"/>
      <c r="D1239" s="9" t="s">
        <v>78</v>
      </c>
      <c r="E1239" s="38">
        <v>1686</v>
      </c>
      <c r="F1239" s="39">
        <v>4039356.62</v>
      </c>
      <c r="G1239" s="40">
        <v>2395.8224317912218</v>
      </c>
      <c r="H1239" s="41">
        <v>9.26446290384286E-2</v>
      </c>
      <c r="I1239" s="40">
        <v>205.16410889679719</v>
      </c>
      <c r="J1239" s="41">
        <v>8.5634104670857206E-2</v>
      </c>
      <c r="K1239" s="9" t="s">
        <v>1904</v>
      </c>
    </row>
    <row r="1240" spans="1:11" x14ac:dyDescent="0.2">
      <c r="A1240" s="9" t="s">
        <v>59</v>
      </c>
      <c r="B1240" s="9" t="s">
        <v>256</v>
      </c>
      <c r="C1240" s="9"/>
      <c r="D1240" s="9" t="s">
        <v>76</v>
      </c>
      <c r="E1240" s="38">
        <v>1850</v>
      </c>
      <c r="F1240" s="39">
        <v>1552527.47</v>
      </c>
      <c r="G1240" s="40">
        <v>839.20403783783797</v>
      </c>
      <c r="H1240" s="41">
        <v>-5.1348048834716657E-2</v>
      </c>
      <c r="I1240" s="40">
        <v>115.7837837837838</v>
      </c>
      <c r="J1240" s="41">
        <v>0.1379685732710417</v>
      </c>
      <c r="K1240" s="9" t="s">
        <v>1905</v>
      </c>
    </row>
    <row r="1241" spans="1:11" x14ac:dyDescent="0.2">
      <c r="A1241" s="9" t="s">
        <v>59</v>
      </c>
      <c r="B1241" s="9" t="s">
        <v>473</v>
      </c>
      <c r="C1241" s="9"/>
      <c r="D1241" s="9" t="s">
        <v>86</v>
      </c>
      <c r="E1241" s="38">
        <v>166834</v>
      </c>
      <c r="F1241" s="39">
        <v>0</v>
      </c>
      <c r="G1241" s="40"/>
      <c r="H1241" s="41">
        <v>-5.0909088148099232E-2</v>
      </c>
      <c r="I1241" s="40">
        <v>0.54266276658235002</v>
      </c>
      <c r="J1241" s="41"/>
      <c r="K1241" s="9" t="s">
        <v>1906</v>
      </c>
    </row>
    <row r="1242" spans="1:11" x14ac:dyDescent="0.2">
      <c r="A1242" s="9" t="s">
        <v>59</v>
      </c>
      <c r="B1242" s="9" t="s">
        <v>267</v>
      </c>
      <c r="C1242" s="9"/>
      <c r="D1242" s="9" t="s">
        <v>77</v>
      </c>
      <c r="E1242" s="38">
        <v>2900</v>
      </c>
      <c r="F1242" s="39">
        <v>970470.21</v>
      </c>
      <c r="G1242" s="40">
        <v>334.64490000000001</v>
      </c>
      <c r="H1242" s="41">
        <v>-0.14334136782351459</v>
      </c>
      <c r="I1242" s="40">
        <v>40.788765724137932</v>
      </c>
      <c r="J1242" s="41">
        <v>0.12188670953640091</v>
      </c>
      <c r="K1242" s="9" t="s">
        <v>1907</v>
      </c>
    </row>
    <row r="1243" spans="1:11" x14ac:dyDescent="0.2">
      <c r="A1243" s="9" t="s">
        <v>59</v>
      </c>
      <c r="B1243" s="9" t="s">
        <v>484</v>
      </c>
      <c r="C1243" s="9"/>
      <c r="D1243" s="9" t="s">
        <v>77</v>
      </c>
      <c r="E1243" s="38">
        <v>1441</v>
      </c>
      <c r="F1243" s="39">
        <v>1266995.99</v>
      </c>
      <c r="G1243" s="40">
        <v>879.24773768216517</v>
      </c>
      <c r="H1243" s="41">
        <v>3.2549020298302013E-2</v>
      </c>
      <c r="I1243" s="40">
        <v>123.2345920888272</v>
      </c>
      <c r="J1243" s="41">
        <v>0.14015912331340519</v>
      </c>
      <c r="K1243" s="9" t="s">
        <v>1908</v>
      </c>
    </row>
    <row r="1244" spans="1:11" x14ac:dyDescent="0.2">
      <c r="A1244" s="9" t="s">
        <v>59</v>
      </c>
      <c r="B1244" s="9" t="s">
        <v>271</v>
      </c>
      <c r="C1244" s="9"/>
      <c r="D1244" s="9" t="s">
        <v>78</v>
      </c>
      <c r="E1244" s="38">
        <v>1892</v>
      </c>
      <c r="F1244" s="39">
        <v>3900127.71</v>
      </c>
      <c r="G1244" s="40">
        <v>2061.3782822410149</v>
      </c>
      <c r="H1244" s="41">
        <v>2.7380271709270869E-2</v>
      </c>
      <c r="I1244" s="40">
        <v>195.19181289640591</v>
      </c>
      <c r="J1244" s="41">
        <v>9.4689953114381456E-2</v>
      </c>
      <c r="K1244" s="9" t="s">
        <v>1909</v>
      </c>
    </row>
    <row r="1245" spans="1:11" x14ac:dyDescent="0.2">
      <c r="A1245" s="9" t="s">
        <v>59</v>
      </c>
      <c r="B1245" s="9" t="s">
        <v>487</v>
      </c>
      <c r="C1245" s="9"/>
      <c r="D1245" s="9" t="s">
        <v>77</v>
      </c>
      <c r="E1245" s="38">
        <v>5180</v>
      </c>
      <c r="F1245" s="39">
        <v>1340761.1100000001</v>
      </c>
      <c r="G1245" s="40">
        <v>258.83419111969113</v>
      </c>
      <c r="H1245" s="41">
        <v>1.1348043964430669E-2</v>
      </c>
      <c r="I1245" s="40">
        <v>91.336246563706567</v>
      </c>
      <c r="J1245" s="41">
        <v>0.35287550755406388</v>
      </c>
      <c r="K1245" s="9" t="s">
        <v>1910</v>
      </c>
    </row>
    <row r="1246" spans="1:11" x14ac:dyDescent="0.2">
      <c r="A1246" s="9" t="s">
        <v>59</v>
      </c>
      <c r="B1246" s="9" t="s">
        <v>1911</v>
      </c>
      <c r="C1246" s="9"/>
      <c r="D1246" s="9" t="s">
        <v>81</v>
      </c>
      <c r="E1246" s="38">
        <v>8318</v>
      </c>
      <c r="F1246" s="39">
        <v>4641999.66</v>
      </c>
      <c r="G1246" s="40">
        <v>558.06680211589321</v>
      </c>
      <c r="H1246" s="41"/>
      <c r="I1246" s="40">
        <v>40.658925703294067</v>
      </c>
      <c r="J1246" s="41">
        <v>7.2856736055857449E-2</v>
      </c>
      <c r="K1246" s="9" t="s">
        <v>1912</v>
      </c>
    </row>
    <row r="1247" spans="1:11" x14ac:dyDescent="0.2">
      <c r="A1247" s="9" t="s">
        <v>59</v>
      </c>
      <c r="B1247" s="9" t="s">
        <v>1913</v>
      </c>
      <c r="C1247" s="9"/>
      <c r="D1247" s="9" t="s">
        <v>76</v>
      </c>
      <c r="E1247" s="38">
        <v>5071</v>
      </c>
      <c r="F1247" s="39">
        <v>832100.9800000001</v>
      </c>
      <c r="G1247" s="40">
        <v>164.0901163478604</v>
      </c>
      <c r="H1247" s="41">
        <v>-1.2787687133047119E-2</v>
      </c>
      <c r="I1247" s="40">
        <v>32.735160638927233</v>
      </c>
      <c r="J1247" s="41">
        <v>0.1994950175398183</v>
      </c>
      <c r="K1247" s="9" t="s">
        <v>1914</v>
      </c>
    </row>
    <row r="1248" spans="1:11" x14ac:dyDescent="0.2">
      <c r="A1248" s="9" t="s">
        <v>59</v>
      </c>
      <c r="B1248" s="9" t="s">
        <v>1915</v>
      </c>
      <c r="C1248" s="9"/>
      <c r="D1248" s="9" t="s">
        <v>83</v>
      </c>
      <c r="E1248" s="38">
        <v>2400</v>
      </c>
      <c r="F1248" s="39">
        <v>455813.44</v>
      </c>
      <c r="G1248" s="40">
        <v>189.9222666666667</v>
      </c>
      <c r="H1248" s="41">
        <v>4.5907996672603521E-2</v>
      </c>
      <c r="I1248" s="40">
        <v>45</v>
      </c>
      <c r="J1248" s="41">
        <v>0.23693904242928859</v>
      </c>
      <c r="K1248" s="9" t="s">
        <v>1916</v>
      </c>
    </row>
    <row r="1249" spans="1:11" x14ac:dyDescent="0.2">
      <c r="A1249" s="9" t="s">
        <v>59</v>
      </c>
      <c r="B1249" s="9" t="s">
        <v>275</v>
      </c>
      <c r="C1249" s="9"/>
      <c r="D1249" s="9" t="s">
        <v>83</v>
      </c>
      <c r="E1249" s="38">
        <v>5310</v>
      </c>
      <c r="F1249" s="39">
        <v>5049502.92</v>
      </c>
      <c r="G1249" s="40">
        <v>950.94216949152542</v>
      </c>
      <c r="H1249" s="41">
        <v>3.1280397741136633E-2</v>
      </c>
      <c r="I1249" s="40">
        <v>85.84</v>
      </c>
      <c r="J1249" s="41">
        <v>9.026837041615178E-2</v>
      </c>
      <c r="K1249" s="9" t="s">
        <v>1917</v>
      </c>
    </row>
    <row r="1250" spans="1:11" x14ac:dyDescent="0.2">
      <c r="A1250" s="9" t="s">
        <v>59</v>
      </c>
      <c r="B1250" s="9" t="s">
        <v>277</v>
      </c>
      <c r="C1250" s="9"/>
      <c r="D1250" s="9" t="s">
        <v>76</v>
      </c>
      <c r="E1250" s="38">
        <v>683</v>
      </c>
      <c r="F1250" s="39">
        <v>641388.63</v>
      </c>
      <c r="G1250" s="40">
        <v>939.07559297218154</v>
      </c>
      <c r="H1250" s="41">
        <v>6.3915457178108634E-2</v>
      </c>
      <c r="I1250" s="40">
        <v>112.6890711566618</v>
      </c>
      <c r="J1250" s="41">
        <v>0.12</v>
      </c>
      <c r="K1250" s="9" t="s">
        <v>1918</v>
      </c>
    </row>
    <row r="1251" spans="1:11" x14ac:dyDescent="0.2">
      <c r="A1251" s="9" t="s">
        <v>59</v>
      </c>
      <c r="B1251" s="9" t="s">
        <v>277</v>
      </c>
      <c r="C1251" s="9"/>
      <c r="D1251" s="9" t="s">
        <v>76</v>
      </c>
      <c r="E1251" s="38">
        <v>2818</v>
      </c>
      <c r="F1251" s="39">
        <v>952065.03</v>
      </c>
      <c r="G1251" s="40">
        <v>337.85132363378278</v>
      </c>
      <c r="H1251" s="41">
        <v>-0.18553683171310359</v>
      </c>
      <c r="I1251" s="40">
        <v>40.542158836053943</v>
      </c>
      <c r="J1251" s="41">
        <v>0.12</v>
      </c>
      <c r="K1251" s="9" t="s">
        <v>1918</v>
      </c>
    </row>
    <row r="1252" spans="1:11" x14ac:dyDescent="0.2">
      <c r="A1252" s="9" t="s">
        <v>59</v>
      </c>
      <c r="B1252" s="9" t="s">
        <v>1919</v>
      </c>
      <c r="C1252" s="9"/>
      <c r="D1252" s="9" t="s">
        <v>81</v>
      </c>
      <c r="E1252" s="38">
        <v>5660</v>
      </c>
      <c r="F1252" s="39">
        <v>0</v>
      </c>
      <c r="G1252" s="40"/>
      <c r="H1252" s="41"/>
      <c r="I1252" s="40">
        <v>40.048424946996469</v>
      </c>
      <c r="J1252" s="41"/>
      <c r="K1252" s="9" t="s">
        <v>1920</v>
      </c>
    </row>
    <row r="1253" spans="1:11" x14ac:dyDescent="0.2">
      <c r="A1253" s="9" t="s">
        <v>59</v>
      </c>
      <c r="B1253" s="9" t="s">
        <v>283</v>
      </c>
      <c r="C1253" s="9"/>
      <c r="D1253" s="9" t="s">
        <v>78</v>
      </c>
      <c r="E1253" s="38">
        <v>1216</v>
      </c>
      <c r="F1253" s="39">
        <v>544170.48</v>
      </c>
      <c r="G1253" s="40">
        <v>447.50861842105257</v>
      </c>
      <c r="H1253" s="41">
        <v>0.1030550989682915</v>
      </c>
      <c r="I1253" s="40">
        <v>57.56578914473684</v>
      </c>
      <c r="J1253" s="41">
        <v>0.12863615755121449</v>
      </c>
      <c r="K1253" s="9" t="s">
        <v>1921</v>
      </c>
    </row>
    <row r="1254" spans="1:11" x14ac:dyDescent="0.2">
      <c r="A1254" s="9" t="s">
        <v>59</v>
      </c>
      <c r="B1254" s="9" t="s">
        <v>502</v>
      </c>
      <c r="C1254" s="9"/>
      <c r="D1254" s="9" t="s">
        <v>86</v>
      </c>
      <c r="E1254" s="38">
        <v>132408</v>
      </c>
      <c r="F1254" s="39">
        <v>13948646.26</v>
      </c>
      <c r="G1254" s="40">
        <v>105.3459478279258</v>
      </c>
      <c r="H1254" s="41">
        <v>-2.6500196524946069E-2</v>
      </c>
      <c r="I1254" s="40">
        <v>1.536471443568364</v>
      </c>
      <c r="J1254" s="41">
        <v>1.458500754179997E-2</v>
      </c>
      <c r="K1254" s="9" t="s">
        <v>1922</v>
      </c>
    </row>
    <row r="1255" spans="1:11" x14ac:dyDescent="0.2">
      <c r="A1255" s="9" t="s">
        <v>59</v>
      </c>
      <c r="B1255" s="9" t="s">
        <v>1923</v>
      </c>
      <c r="C1255" s="9"/>
      <c r="D1255" s="9" t="s">
        <v>82</v>
      </c>
      <c r="E1255" s="38">
        <v>37500</v>
      </c>
      <c r="F1255" s="39">
        <v>0</v>
      </c>
      <c r="G1255" s="40"/>
      <c r="H1255" s="41"/>
      <c r="I1255" s="40">
        <v>0.53333334399999999</v>
      </c>
      <c r="J1255" s="41"/>
      <c r="K1255" s="9" t="s">
        <v>1924</v>
      </c>
    </row>
    <row r="1256" spans="1:11" x14ac:dyDescent="0.2">
      <c r="A1256" s="9" t="s">
        <v>59</v>
      </c>
      <c r="B1256" s="9" t="s">
        <v>506</v>
      </c>
      <c r="C1256" s="9"/>
      <c r="D1256" s="9" t="s">
        <v>85</v>
      </c>
      <c r="E1256" s="38">
        <v>42993.72</v>
      </c>
      <c r="F1256" s="39">
        <v>0</v>
      </c>
      <c r="G1256" s="40"/>
      <c r="H1256" s="41"/>
      <c r="I1256" s="40">
        <v>4.1205115537804128E-2</v>
      </c>
      <c r="J1256" s="41"/>
      <c r="K1256" s="9" t="s">
        <v>1925</v>
      </c>
    </row>
    <row r="1257" spans="1:11" x14ac:dyDescent="0.2">
      <c r="A1257" s="9" t="s">
        <v>59</v>
      </c>
      <c r="B1257" s="9" t="s">
        <v>1396</v>
      </c>
      <c r="C1257" s="9"/>
      <c r="D1257" s="9" t="s">
        <v>76</v>
      </c>
      <c r="E1257" s="38">
        <v>5000</v>
      </c>
      <c r="F1257" s="39">
        <v>2531153.5699999989</v>
      </c>
      <c r="G1257" s="40">
        <v>506.23071399999992</v>
      </c>
      <c r="H1257" s="41">
        <v>7.272878823276519E-3</v>
      </c>
      <c r="I1257" s="40">
        <v>55.742868000000009</v>
      </c>
      <c r="J1257" s="41">
        <v>0.1101135637534628</v>
      </c>
      <c r="K1257" s="9" t="s">
        <v>1926</v>
      </c>
    </row>
    <row r="1258" spans="1:11" x14ac:dyDescent="0.2">
      <c r="A1258" s="9" t="s">
        <v>59</v>
      </c>
      <c r="B1258" s="9" t="s">
        <v>1927</v>
      </c>
      <c r="C1258" s="9"/>
      <c r="D1258" s="9" t="s">
        <v>80</v>
      </c>
      <c r="E1258" s="38">
        <v>600</v>
      </c>
      <c r="F1258" s="39">
        <v>0</v>
      </c>
      <c r="G1258" s="40"/>
      <c r="H1258" s="41"/>
      <c r="I1258" s="40">
        <v>122.54</v>
      </c>
      <c r="J1258" s="41"/>
      <c r="K1258" s="9" t="s">
        <v>1928</v>
      </c>
    </row>
    <row r="1259" spans="1:11" x14ac:dyDescent="0.2">
      <c r="A1259" s="9" t="s">
        <v>59</v>
      </c>
      <c r="B1259" s="9" t="s">
        <v>1929</v>
      </c>
      <c r="C1259" s="9"/>
      <c r="D1259" s="9" t="s">
        <v>81</v>
      </c>
      <c r="E1259" s="38">
        <v>4200</v>
      </c>
      <c r="F1259" s="39">
        <v>0</v>
      </c>
      <c r="G1259" s="40"/>
      <c r="H1259" s="41"/>
      <c r="I1259" s="40">
        <v>34.502209428571433</v>
      </c>
      <c r="J1259" s="41"/>
      <c r="K1259" s="9" t="s">
        <v>1930</v>
      </c>
    </row>
    <row r="1260" spans="1:11" x14ac:dyDescent="0.2">
      <c r="A1260" s="9" t="s">
        <v>59</v>
      </c>
      <c r="B1260" s="9" t="s">
        <v>1931</v>
      </c>
      <c r="C1260" s="9"/>
      <c r="D1260" s="9" t="s">
        <v>85</v>
      </c>
      <c r="E1260" s="38">
        <v>19549</v>
      </c>
      <c r="F1260" s="39">
        <v>0</v>
      </c>
      <c r="G1260" s="40"/>
      <c r="H1260" s="41"/>
      <c r="I1260" s="40">
        <v>26.45428942656914</v>
      </c>
      <c r="J1260" s="41"/>
      <c r="K1260" s="9" t="s">
        <v>1932</v>
      </c>
    </row>
    <row r="1261" spans="1:11" x14ac:dyDescent="0.2">
      <c r="A1261" s="9" t="s">
        <v>59</v>
      </c>
      <c r="B1261" s="9" t="s">
        <v>317</v>
      </c>
      <c r="C1261" s="9"/>
      <c r="D1261" s="9" t="s">
        <v>76</v>
      </c>
      <c r="E1261" s="38">
        <v>3369</v>
      </c>
      <c r="F1261" s="39">
        <v>1072265.22</v>
      </c>
      <c r="G1261" s="40">
        <v>318.2740338379341</v>
      </c>
      <c r="H1261" s="41">
        <v>-0.26048603052233849</v>
      </c>
      <c r="I1261" s="40">
        <v>26.71415850400712</v>
      </c>
      <c r="J1261" s="41">
        <v>8.3934457931965759E-2</v>
      </c>
      <c r="K1261" s="9" t="s">
        <v>1933</v>
      </c>
    </row>
    <row r="1262" spans="1:11" x14ac:dyDescent="0.2">
      <c r="A1262" s="9" t="s">
        <v>59</v>
      </c>
      <c r="B1262" s="9" t="s">
        <v>319</v>
      </c>
      <c r="C1262" s="9"/>
      <c r="D1262" s="9" t="s">
        <v>81</v>
      </c>
      <c r="E1262" s="38">
        <v>2448</v>
      </c>
      <c r="F1262" s="39">
        <v>0</v>
      </c>
      <c r="G1262" s="40"/>
      <c r="H1262" s="41"/>
      <c r="I1262" s="40">
        <v>47.574550490196081</v>
      </c>
      <c r="J1262" s="41"/>
      <c r="K1262" s="9" t="s">
        <v>1934</v>
      </c>
    </row>
    <row r="1263" spans="1:11" x14ac:dyDescent="0.2">
      <c r="A1263" s="9" t="s">
        <v>59</v>
      </c>
      <c r="B1263" s="9" t="s">
        <v>321</v>
      </c>
      <c r="C1263" s="9"/>
      <c r="D1263" s="9" t="s">
        <v>78</v>
      </c>
      <c r="E1263" s="38">
        <v>2121</v>
      </c>
      <c r="F1263" s="39">
        <v>2463727.41</v>
      </c>
      <c r="G1263" s="40">
        <v>1161.5876520509189</v>
      </c>
      <c r="H1263" s="41">
        <v>-1.0035745988777741E-2</v>
      </c>
      <c r="I1263" s="40">
        <v>117.2989089108911</v>
      </c>
      <c r="J1263" s="41">
        <v>0.1009815391062277</v>
      </c>
      <c r="K1263" s="9" t="s">
        <v>1935</v>
      </c>
    </row>
    <row r="1264" spans="1:11" x14ac:dyDescent="0.2">
      <c r="A1264" s="9" t="s">
        <v>59</v>
      </c>
      <c r="B1264" s="9" t="s">
        <v>1824</v>
      </c>
      <c r="C1264" s="9"/>
      <c r="D1264" s="9" t="s">
        <v>79</v>
      </c>
      <c r="E1264" s="38">
        <v>1780</v>
      </c>
      <c r="F1264" s="39">
        <v>351270.11999999988</v>
      </c>
      <c r="G1264" s="40">
        <v>197.34276404494381</v>
      </c>
      <c r="H1264" s="41">
        <v>3.5419780412797091E-3</v>
      </c>
      <c r="I1264" s="40">
        <v>50.379999775280901</v>
      </c>
      <c r="J1264" s="41">
        <v>0.25529185232151258</v>
      </c>
      <c r="K1264" s="9" t="s">
        <v>1936</v>
      </c>
    </row>
    <row r="1265" spans="1:11" x14ac:dyDescent="0.2">
      <c r="A1265" s="9" t="s">
        <v>59</v>
      </c>
      <c r="B1265" s="9" t="s">
        <v>715</v>
      </c>
      <c r="C1265" s="9"/>
      <c r="D1265" s="9" t="s">
        <v>76</v>
      </c>
      <c r="E1265" s="38">
        <v>4398</v>
      </c>
      <c r="F1265" s="39">
        <v>1860828.97</v>
      </c>
      <c r="G1265" s="40">
        <v>423.1079968167349</v>
      </c>
      <c r="H1265" s="41">
        <v>-0.10386347276691781</v>
      </c>
      <c r="I1265" s="40">
        <v>75.85724420190995</v>
      </c>
      <c r="J1265" s="41">
        <v>0.1792857728348887</v>
      </c>
      <c r="K1265" s="9" t="s">
        <v>1937</v>
      </c>
    </row>
    <row r="1266" spans="1:11" x14ac:dyDescent="0.2">
      <c r="A1266" s="9" t="s">
        <v>59</v>
      </c>
      <c r="B1266" s="9" t="s">
        <v>331</v>
      </c>
      <c r="C1266" s="9"/>
      <c r="D1266" s="9" t="s">
        <v>81</v>
      </c>
      <c r="E1266" s="38">
        <v>731</v>
      </c>
      <c r="F1266" s="39">
        <v>752018.18</v>
      </c>
      <c r="G1266" s="40">
        <v>1028.752640218878</v>
      </c>
      <c r="H1266" s="41"/>
      <c r="I1266" s="40">
        <v>204.30916497948019</v>
      </c>
      <c r="J1266" s="41">
        <v>0.1985989216377721</v>
      </c>
      <c r="K1266" s="9" t="s">
        <v>1938</v>
      </c>
    </row>
    <row r="1267" spans="1:11" x14ac:dyDescent="0.2">
      <c r="A1267" s="9" t="s">
        <v>59</v>
      </c>
      <c r="B1267" s="9" t="s">
        <v>1939</v>
      </c>
      <c r="C1267" s="9"/>
      <c r="D1267" s="9" t="s">
        <v>80</v>
      </c>
      <c r="E1267" s="38">
        <v>575</v>
      </c>
      <c r="F1267" s="39">
        <v>368383.9</v>
      </c>
      <c r="G1267" s="40">
        <v>640.66765217391298</v>
      </c>
      <c r="H1267" s="41">
        <v>-6.7945993109147979E-2</v>
      </c>
      <c r="I1267" s="40">
        <v>121.73912973913041</v>
      </c>
      <c r="J1267" s="41">
        <v>0.19001916098939181</v>
      </c>
      <c r="K1267" s="9" t="s">
        <v>1940</v>
      </c>
    </row>
    <row r="1268" spans="1:11" x14ac:dyDescent="0.2">
      <c r="A1268" s="9" t="s">
        <v>59</v>
      </c>
      <c r="B1268" s="9" t="s">
        <v>1941</v>
      </c>
      <c r="C1268" s="9"/>
      <c r="D1268" s="9" t="s">
        <v>84</v>
      </c>
      <c r="E1268" s="38">
        <v>959</v>
      </c>
      <c r="F1268" s="39">
        <v>0</v>
      </c>
      <c r="G1268" s="40"/>
      <c r="H1268" s="41"/>
      <c r="I1268" s="40">
        <v>87.591240875912405</v>
      </c>
      <c r="J1268" s="41"/>
      <c r="K1268" s="9" t="s">
        <v>1942</v>
      </c>
    </row>
    <row r="1269" spans="1:11" x14ac:dyDescent="0.2">
      <c r="A1269" s="9" t="s">
        <v>59</v>
      </c>
      <c r="B1269" s="9" t="s">
        <v>1943</v>
      </c>
      <c r="C1269" s="9"/>
      <c r="D1269" s="9" t="s">
        <v>76</v>
      </c>
      <c r="E1269" s="38">
        <v>9318</v>
      </c>
      <c r="F1269" s="39">
        <v>0</v>
      </c>
      <c r="G1269" s="40"/>
      <c r="H1269" s="41"/>
      <c r="I1269" s="40">
        <v>46.694063103670317</v>
      </c>
      <c r="J1269" s="41"/>
      <c r="K1269" s="9" t="s">
        <v>1944</v>
      </c>
    </row>
    <row r="1270" spans="1:11" x14ac:dyDescent="0.2">
      <c r="A1270" s="9" t="s">
        <v>59</v>
      </c>
      <c r="B1270" s="9" t="s">
        <v>944</v>
      </c>
      <c r="C1270" s="9"/>
      <c r="D1270" s="9" t="s">
        <v>81</v>
      </c>
      <c r="E1270" s="38">
        <v>6350</v>
      </c>
      <c r="F1270" s="39">
        <v>3384785.67</v>
      </c>
      <c r="G1270" s="40">
        <v>533.03711338582673</v>
      </c>
      <c r="H1270" s="41">
        <v>-2.2412718146134061E-2</v>
      </c>
      <c r="I1270" s="40">
        <v>26.905227370078741</v>
      </c>
      <c r="J1270" s="41">
        <v>5.0475335946455958E-2</v>
      </c>
      <c r="K1270" s="9" t="s">
        <v>1945</v>
      </c>
    </row>
    <row r="1271" spans="1:11" x14ac:dyDescent="0.2">
      <c r="A1271" s="9" t="s">
        <v>59</v>
      </c>
      <c r="B1271" s="9" t="s">
        <v>946</v>
      </c>
      <c r="C1271" s="9"/>
      <c r="D1271" s="9" t="s">
        <v>78</v>
      </c>
      <c r="E1271" s="38">
        <v>4223</v>
      </c>
      <c r="F1271" s="39">
        <v>2486397.2000000002</v>
      </c>
      <c r="G1271" s="40">
        <v>588.77508879943173</v>
      </c>
      <c r="H1271" s="41">
        <v>1.0932714624128431E-2</v>
      </c>
      <c r="I1271" s="40">
        <v>63.892622116978458</v>
      </c>
      <c r="J1271" s="41">
        <v>0.10851787606581929</v>
      </c>
      <c r="K1271" s="9" t="s">
        <v>1946</v>
      </c>
    </row>
    <row r="1272" spans="1:11" x14ac:dyDescent="0.2">
      <c r="A1272" s="9" t="s">
        <v>59</v>
      </c>
      <c r="B1272" s="9" t="s">
        <v>1527</v>
      </c>
      <c r="C1272" s="9"/>
      <c r="D1272" s="9" t="s">
        <v>85</v>
      </c>
      <c r="E1272" s="38">
        <v>45000</v>
      </c>
      <c r="F1272" s="39">
        <v>0</v>
      </c>
      <c r="G1272" s="40"/>
      <c r="H1272" s="41"/>
      <c r="I1272" s="40">
        <v>0.16666666666666671</v>
      </c>
      <c r="J1272" s="41"/>
      <c r="K1272" s="9" t="s">
        <v>1947</v>
      </c>
    </row>
    <row r="1273" spans="1:11" x14ac:dyDescent="0.2">
      <c r="A1273" s="9" t="s">
        <v>59</v>
      </c>
      <c r="B1273" s="9" t="s">
        <v>950</v>
      </c>
      <c r="C1273" s="9"/>
      <c r="D1273" s="9" t="s">
        <v>80</v>
      </c>
      <c r="E1273" s="38">
        <v>622</v>
      </c>
      <c r="F1273" s="39">
        <v>1613194.46</v>
      </c>
      <c r="G1273" s="40">
        <v>2593.5602250803859</v>
      </c>
      <c r="H1273" s="41">
        <v>0.12635950261748979</v>
      </c>
      <c r="I1273" s="40">
        <v>326.89004083601287</v>
      </c>
      <c r="J1273" s="41">
        <v>0.12603911706961851</v>
      </c>
      <c r="K1273" s="9" t="s">
        <v>1948</v>
      </c>
    </row>
    <row r="1274" spans="1:11" x14ac:dyDescent="0.2">
      <c r="A1274" s="9" t="s">
        <v>59</v>
      </c>
      <c r="B1274" s="9" t="s">
        <v>1949</v>
      </c>
      <c r="C1274" s="9"/>
      <c r="D1274" s="9" t="s">
        <v>78</v>
      </c>
      <c r="E1274" s="38">
        <v>751</v>
      </c>
      <c r="F1274" s="39">
        <v>812523.16999999993</v>
      </c>
      <c r="G1274" s="40">
        <v>1081.9216644474029</v>
      </c>
      <c r="H1274" s="41">
        <v>4.3740187874196333E-2</v>
      </c>
      <c r="I1274" s="40">
        <v>128.81918668442071</v>
      </c>
      <c r="J1274" s="41">
        <v>0.1190651697969425</v>
      </c>
      <c r="K1274" s="9" t="s">
        <v>1950</v>
      </c>
    </row>
    <row r="1275" spans="1:11" x14ac:dyDescent="0.2">
      <c r="A1275" s="9" t="s">
        <v>59</v>
      </c>
      <c r="B1275" s="9" t="s">
        <v>1412</v>
      </c>
      <c r="C1275" s="9"/>
      <c r="D1275" s="9" t="s">
        <v>77</v>
      </c>
      <c r="E1275" s="38">
        <v>9869</v>
      </c>
      <c r="F1275" s="39">
        <v>1241436.81</v>
      </c>
      <c r="G1275" s="40">
        <v>125.7915503090485</v>
      </c>
      <c r="H1275" s="41">
        <v>0.12960745849386221</v>
      </c>
      <c r="I1275" s="40">
        <v>23.22902827034147</v>
      </c>
      <c r="J1275" s="41">
        <v>0.18466286656990619</v>
      </c>
      <c r="K1275" s="9" t="s">
        <v>1951</v>
      </c>
    </row>
    <row r="1276" spans="1:11" x14ac:dyDescent="0.2">
      <c r="A1276" s="9" t="s">
        <v>59</v>
      </c>
      <c r="B1276" s="9" t="s">
        <v>1533</v>
      </c>
      <c r="C1276" s="9"/>
      <c r="D1276" s="9" t="s">
        <v>76</v>
      </c>
      <c r="E1276" s="38">
        <v>4763</v>
      </c>
      <c r="F1276" s="39">
        <v>971108.12</v>
      </c>
      <c r="G1276" s="40">
        <v>203.88581146336341</v>
      </c>
      <c r="H1276" s="41">
        <v>-0.22044409825800451</v>
      </c>
      <c r="I1276" s="40">
        <v>26.365567919378542</v>
      </c>
      <c r="J1276" s="41">
        <v>0.12931536397821489</v>
      </c>
      <c r="K1276" s="9" t="s">
        <v>1952</v>
      </c>
    </row>
    <row r="1277" spans="1:11" x14ac:dyDescent="0.2">
      <c r="A1277" s="9" t="s">
        <v>59</v>
      </c>
      <c r="B1277" s="9" t="s">
        <v>1953</v>
      </c>
      <c r="C1277" s="9"/>
      <c r="D1277" s="9" t="s">
        <v>81</v>
      </c>
      <c r="E1277" s="38">
        <v>600</v>
      </c>
      <c r="F1277" s="39">
        <v>1435724.59</v>
      </c>
      <c r="G1277" s="40">
        <v>2392.8743166666659</v>
      </c>
      <c r="H1277" s="41">
        <v>5.4069400603289249E-2</v>
      </c>
      <c r="I1277" s="40">
        <v>461.55385066666662</v>
      </c>
      <c r="J1277" s="41">
        <v>0.19288679202743189</v>
      </c>
      <c r="K1277" s="9" t="s">
        <v>1954</v>
      </c>
    </row>
    <row r="1278" spans="1:11" x14ac:dyDescent="0.2">
      <c r="A1278" s="9" t="s">
        <v>59</v>
      </c>
      <c r="B1278" s="9" t="s">
        <v>351</v>
      </c>
      <c r="C1278" s="9"/>
      <c r="D1278" s="9" t="s">
        <v>85</v>
      </c>
      <c r="E1278" s="38">
        <v>1900</v>
      </c>
      <c r="F1278" s="39">
        <v>1254041.21</v>
      </c>
      <c r="G1278" s="40">
        <v>660.02168947368421</v>
      </c>
      <c r="H1278" s="41">
        <v>-0.18282074936054821</v>
      </c>
      <c r="I1278" s="40">
        <v>129.9780934736842</v>
      </c>
      <c r="J1278" s="41">
        <v>0.19693003358318659</v>
      </c>
      <c r="K1278" s="9" t="s">
        <v>1955</v>
      </c>
    </row>
    <row r="1279" spans="1:11" x14ac:dyDescent="0.2">
      <c r="A1279" s="9" t="s">
        <v>59</v>
      </c>
      <c r="B1279" s="9" t="s">
        <v>1956</v>
      </c>
      <c r="C1279" s="9"/>
      <c r="D1279" s="9" t="s">
        <v>81</v>
      </c>
      <c r="E1279" s="38">
        <v>7260</v>
      </c>
      <c r="F1279" s="39">
        <v>0</v>
      </c>
      <c r="G1279" s="40"/>
      <c r="H1279" s="41"/>
      <c r="I1279" s="40">
        <v>14.49458809917355</v>
      </c>
      <c r="J1279" s="41"/>
      <c r="K1279" s="9" t="s">
        <v>1957</v>
      </c>
    </row>
    <row r="1280" spans="1:11" x14ac:dyDescent="0.2">
      <c r="A1280" s="9" t="s">
        <v>59</v>
      </c>
      <c r="B1280" s="9" t="s">
        <v>1536</v>
      </c>
      <c r="C1280" s="9"/>
      <c r="D1280" s="9" t="s">
        <v>77</v>
      </c>
      <c r="E1280" s="38">
        <v>4529</v>
      </c>
      <c r="F1280" s="39">
        <v>3112225.85</v>
      </c>
      <c r="G1280" s="40">
        <v>687.17726871273999</v>
      </c>
      <c r="H1280" s="41">
        <v>-7.5039688855796857E-2</v>
      </c>
      <c r="I1280" s="40">
        <v>91.464567012585547</v>
      </c>
      <c r="J1280" s="41">
        <v>0.13310185184664541</v>
      </c>
      <c r="K1280" s="9" t="s">
        <v>1958</v>
      </c>
    </row>
    <row r="1281" spans="1:11" x14ac:dyDescent="0.2">
      <c r="A1281" s="9" t="s">
        <v>59</v>
      </c>
      <c r="B1281" s="9" t="s">
        <v>535</v>
      </c>
      <c r="C1281" s="9"/>
      <c r="D1281" s="9" t="s">
        <v>83</v>
      </c>
      <c r="E1281" s="38">
        <v>7022</v>
      </c>
      <c r="F1281" s="39">
        <v>0</v>
      </c>
      <c r="G1281" s="40"/>
      <c r="H1281" s="41"/>
      <c r="I1281" s="40">
        <v>17.430931358587301</v>
      </c>
      <c r="J1281" s="41"/>
      <c r="K1281" s="9" t="s">
        <v>1959</v>
      </c>
    </row>
    <row r="1282" spans="1:11" x14ac:dyDescent="0.2">
      <c r="A1282" s="9" t="s">
        <v>59</v>
      </c>
      <c r="B1282" s="9" t="s">
        <v>1960</v>
      </c>
      <c r="C1282" s="9"/>
      <c r="D1282" s="9" t="s">
        <v>78</v>
      </c>
      <c r="E1282" s="38">
        <v>1767</v>
      </c>
      <c r="F1282" s="39">
        <v>773528.07</v>
      </c>
      <c r="G1282" s="40">
        <v>437.76348047538198</v>
      </c>
      <c r="H1282" s="41">
        <v>-4.3585361052630153E-2</v>
      </c>
      <c r="I1282" s="40">
        <v>76.572733446519521</v>
      </c>
      <c r="J1282" s="41">
        <v>0.17491804789967089</v>
      </c>
      <c r="K1282" s="9" t="s">
        <v>1961</v>
      </c>
    </row>
    <row r="1283" spans="1:11" x14ac:dyDescent="0.2">
      <c r="A1283" s="9" t="s">
        <v>59</v>
      </c>
      <c r="B1283" s="9" t="s">
        <v>355</v>
      </c>
      <c r="C1283" s="9"/>
      <c r="D1283" s="9" t="s">
        <v>82</v>
      </c>
      <c r="E1283" s="38">
        <v>2007</v>
      </c>
      <c r="F1283" s="39">
        <v>1215890.83</v>
      </c>
      <c r="G1283" s="40">
        <v>605.82502740408574</v>
      </c>
      <c r="H1283" s="41">
        <v>-8.7514831870814214E-2</v>
      </c>
      <c r="I1283" s="40">
        <v>81.260000000000005</v>
      </c>
      <c r="J1283" s="41">
        <v>0.13413113741469701</v>
      </c>
      <c r="K1283" s="9" t="s">
        <v>1962</v>
      </c>
    </row>
    <row r="1284" spans="1:11" x14ac:dyDescent="0.2">
      <c r="A1284" s="9" t="s">
        <v>59</v>
      </c>
      <c r="B1284" s="9" t="s">
        <v>538</v>
      </c>
      <c r="C1284" s="9"/>
      <c r="D1284" s="9" t="s">
        <v>80</v>
      </c>
      <c r="E1284" s="38">
        <v>1800</v>
      </c>
      <c r="F1284" s="39">
        <v>0</v>
      </c>
      <c r="G1284" s="40"/>
      <c r="H1284" s="41"/>
      <c r="I1284" s="40">
        <v>41.929466666666663</v>
      </c>
      <c r="J1284" s="41"/>
      <c r="K1284" s="9" t="s">
        <v>1963</v>
      </c>
    </row>
    <row r="1285" spans="1:11" x14ac:dyDescent="0.2">
      <c r="A1285" s="9" t="s">
        <v>59</v>
      </c>
      <c r="B1285" s="9" t="s">
        <v>357</v>
      </c>
      <c r="C1285" s="9"/>
      <c r="D1285" s="9" t="s">
        <v>76</v>
      </c>
      <c r="E1285" s="38">
        <v>589</v>
      </c>
      <c r="F1285" s="39">
        <v>608005.63</v>
      </c>
      <c r="G1285" s="40">
        <v>1032.2676230899831</v>
      </c>
      <c r="H1285" s="41">
        <v>7.0382042492402999E-2</v>
      </c>
      <c r="I1285" s="40">
        <v>129.04382342954159</v>
      </c>
      <c r="J1285" s="41">
        <v>0.12501004637078769</v>
      </c>
      <c r="K1285" s="9" t="s">
        <v>1964</v>
      </c>
    </row>
    <row r="1286" spans="1:11" x14ac:dyDescent="0.2">
      <c r="A1286" s="9" t="s">
        <v>59</v>
      </c>
      <c r="B1286" s="9" t="s">
        <v>1965</v>
      </c>
      <c r="C1286" s="9"/>
      <c r="D1286" s="9" t="s">
        <v>76</v>
      </c>
      <c r="E1286" s="38">
        <v>3933</v>
      </c>
      <c r="F1286" s="39">
        <v>977251.5</v>
      </c>
      <c r="G1286" s="40">
        <v>248.47482837528611</v>
      </c>
      <c r="H1286" s="41">
        <v>-0.4393128340368086</v>
      </c>
      <c r="I1286" s="40">
        <v>30.131990846681919</v>
      </c>
      <c r="J1286" s="41">
        <v>0.1212677800955025</v>
      </c>
      <c r="K1286" s="9" t="s">
        <v>1966</v>
      </c>
    </row>
    <row r="1287" spans="1:11" x14ac:dyDescent="0.2">
      <c r="A1287" s="9" t="s">
        <v>59</v>
      </c>
      <c r="B1287" s="9" t="s">
        <v>1967</v>
      </c>
      <c r="C1287" s="9"/>
      <c r="D1287" s="9" t="s">
        <v>81</v>
      </c>
      <c r="E1287" s="38">
        <v>600</v>
      </c>
      <c r="F1287" s="39">
        <v>698858.43</v>
      </c>
      <c r="G1287" s="40">
        <v>1164.76405</v>
      </c>
      <c r="H1287" s="41">
        <v>2.4261612540506031E-3</v>
      </c>
      <c r="I1287" s="40">
        <v>191.95276150000001</v>
      </c>
      <c r="J1287" s="41">
        <v>0.1647996961272972</v>
      </c>
      <c r="K1287" s="9" t="s">
        <v>1968</v>
      </c>
    </row>
    <row r="1288" spans="1:11" x14ac:dyDescent="0.2">
      <c r="A1288" s="9" t="s">
        <v>59</v>
      </c>
      <c r="B1288" s="9" t="s">
        <v>550</v>
      </c>
      <c r="C1288" s="9"/>
      <c r="D1288" s="9" t="s">
        <v>76</v>
      </c>
      <c r="E1288" s="38">
        <v>4172</v>
      </c>
      <c r="F1288" s="39">
        <v>1378065.91</v>
      </c>
      <c r="G1288" s="40">
        <v>330.31301773729632</v>
      </c>
      <c r="H1288" s="41">
        <v>-0.1162979161449796</v>
      </c>
      <c r="I1288" s="40">
        <v>119.8881112176414</v>
      </c>
      <c r="J1288" s="41">
        <v>0.36295303176028793</v>
      </c>
      <c r="K1288" s="9" t="s">
        <v>1969</v>
      </c>
    </row>
    <row r="1289" spans="1:11" x14ac:dyDescent="0.2">
      <c r="A1289" s="9" t="s">
        <v>59</v>
      </c>
      <c r="B1289" s="9" t="s">
        <v>1970</v>
      </c>
      <c r="C1289" s="9"/>
      <c r="D1289" s="9" t="s">
        <v>83</v>
      </c>
      <c r="E1289" s="38">
        <v>12916</v>
      </c>
      <c r="F1289" s="39">
        <v>0</v>
      </c>
      <c r="G1289" s="40"/>
      <c r="H1289" s="41"/>
      <c r="I1289" s="40">
        <v>31.936236884484359</v>
      </c>
      <c r="J1289" s="41"/>
      <c r="K1289" s="9" t="s">
        <v>1971</v>
      </c>
    </row>
    <row r="1290" spans="1:11" x14ac:dyDescent="0.2">
      <c r="A1290" s="9" t="s">
        <v>59</v>
      </c>
      <c r="B1290" s="9" t="s">
        <v>367</v>
      </c>
      <c r="C1290" s="9"/>
      <c r="D1290" s="9" t="s">
        <v>76</v>
      </c>
      <c r="E1290" s="38">
        <v>6680</v>
      </c>
      <c r="F1290" s="39">
        <v>1617569.45</v>
      </c>
      <c r="G1290" s="40">
        <v>242.15111526946109</v>
      </c>
      <c r="H1290" s="41">
        <v>1.7165330488201121E-2</v>
      </c>
      <c r="I1290" s="40">
        <v>28.44</v>
      </c>
      <c r="J1290" s="41">
        <v>0.11744732196815411</v>
      </c>
      <c r="K1290" s="9" t="s">
        <v>1972</v>
      </c>
    </row>
    <row r="1291" spans="1:11" x14ac:dyDescent="0.2">
      <c r="A1291" s="9" t="s">
        <v>59</v>
      </c>
      <c r="B1291" s="9" t="s">
        <v>369</v>
      </c>
      <c r="C1291" s="9"/>
      <c r="D1291" s="9" t="s">
        <v>84</v>
      </c>
      <c r="E1291" s="38">
        <v>1608</v>
      </c>
      <c r="F1291" s="39">
        <v>1599254.77</v>
      </c>
      <c r="G1291" s="40">
        <v>994.56142412935344</v>
      </c>
      <c r="H1291" s="41">
        <v>-6.9046955275907634E-3</v>
      </c>
      <c r="I1291" s="40">
        <v>176.06463582089549</v>
      </c>
      <c r="J1291" s="41">
        <v>0.17702741283679271</v>
      </c>
      <c r="K1291" s="9" t="s">
        <v>1973</v>
      </c>
    </row>
    <row r="1292" spans="1:11" x14ac:dyDescent="0.2">
      <c r="A1292" s="9" t="s">
        <v>59</v>
      </c>
      <c r="B1292" s="9" t="s">
        <v>371</v>
      </c>
      <c r="C1292" s="9"/>
      <c r="D1292" s="9" t="s">
        <v>76</v>
      </c>
      <c r="E1292" s="38">
        <v>2500</v>
      </c>
      <c r="F1292" s="39">
        <v>623845.12999999989</v>
      </c>
      <c r="G1292" s="40">
        <v>249.53805199999999</v>
      </c>
      <c r="H1292" s="41">
        <v>-6.2959559939663401E-2</v>
      </c>
      <c r="I1292" s="40">
        <v>38.000000159999999</v>
      </c>
      <c r="J1292" s="41">
        <v>0.15228138496488711</v>
      </c>
      <c r="K1292" s="9" t="s">
        <v>1974</v>
      </c>
    </row>
    <row r="1293" spans="1:11" x14ac:dyDescent="0.2">
      <c r="A1293" s="9" t="s">
        <v>59</v>
      </c>
      <c r="B1293" s="9" t="s">
        <v>1975</v>
      </c>
      <c r="C1293" s="9"/>
      <c r="D1293" s="9" t="s">
        <v>77</v>
      </c>
      <c r="E1293" s="38">
        <v>2420</v>
      </c>
      <c r="F1293" s="39">
        <v>842946.7</v>
      </c>
      <c r="G1293" s="40">
        <v>348.32508264462808</v>
      </c>
      <c r="H1293" s="41">
        <v>-0.1050193992437196</v>
      </c>
      <c r="I1293" s="40">
        <v>60.581241818181823</v>
      </c>
      <c r="J1293" s="41">
        <v>0.17392156016507329</v>
      </c>
      <c r="K1293" s="9" t="s">
        <v>1976</v>
      </c>
    </row>
    <row r="1294" spans="1:11" x14ac:dyDescent="0.2">
      <c r="A1294" s="9" t="s">
        <v>59</v>
      </c>
      <c r="B1294" s="9" t="s">
        <v>384</v>
      </c>
      <c r="C1294" s="9"/>
      <c r="D1294" s="9" t="s">
        <v>77</v>
      </c>
      <c r="E1294" s="38">
        <v>3200</v>
      </c>
      <c r="F1294" s="39">
        <v>1013106.29</v>
      </c>
      <c r="G1294" s="40">
        <v>316.59571562500003</v>
      </c>
      <c r="H1294" s="41">
        <v>-0.1436418196764612</v>
      </c>
      <c r="I1294" s="40">
        <v>76.188749999999999</v>
      </c>
      <c r="J1294" s="41">
        <v>0.24064997168263561</v>
      </c>
      <c r="K1294" s="9" t="s">
        <v>1977</v>
      </c>
    </row>
    <row r="1295" spans="1:11" x14ac:dyDescent="0.2">
      <c r="A1295" s="9" t="s">
        <v>59</v>
      </c>
      <c r="B1295" s="9" t="s">
        <v>388</v>
      </c>
      <c r="C1295" s="9"/>
      <c r="D1295" s="9" t="s">
        <v>76</v>
      </c>
      <c r="E1295" s="38">
        <v>9745</v>
      </c>
      <c r="F1295" s="39">
        <v>3248480.03</v>
      </c>
      <c r="G1295" s="40">
        <v>333.34838686505901</v>
      </c>
      <c r="H1295" s="41">
        <v>-1.1694353375617811E-2</v>
      </c>
      <c r="I1295" s="40">
        <v>75.089991380194974</v>
      </c>
      <c r="J1295" s="41">
        <v>0.22525980127388989</v>
      </c>
      <c r="K1295" s="9" t="s">
        <v>1978</v>
      </c>
    </row>
    <row r="1296" spans="1:11" x14ac:dyDescent="0.2">
      <c r="A1296" s="9" t="s">
        <v>59</v>
      </c>
      <c r="B1296" s="9" t="s">
        <v>1564</v>
      </c>
      <c r="C1296" s="9"/>
      <c r="D1296" s="9" t="s">
        <v>83</v>
      </c>
      <c r="E1296" s="38">
        <v>1</v>
      </c>
      <c r="F1296" s="39">
        <v>0</v>
      </c>
      <c r="G1296" s="40"/>
      <c r="H1296" s="41"/>
      <c r="I1296" s="40">
        <v>33382.44</v>
      </c>
      <c r="J1296" s="41"/>
      <c r="K1296" s="9" t="s">
        <v>1979</v>
      </c>
    </row>
    <row r="1297" spans="1:11" x14ac:dyDescent="0.2">
      <c r="A1297" s="9" t="s">
        <v>59</v>
      </c>
      <c r="B1297" s="9" t="s">
        <v>1980</v>
      </c>
      <c r="C1297" s="9"/>
      <c r="D1297" s="9" t="s">
        <v>83</v>
      </c>
      <c r="E1297" s="38">
        <v>2700</v>
      </c>
      <c r="F1297" s="39">
        <v>0</v>
      </c>
      <c r="G1297" s="40"/>
      <c r="H1297" s="41"/>
      <c r="I1297" s="40">
        <v>37.307507999999999</v>
      </c>
      <c r="J1297" s="41"/>
      <c r="K1297" s="9" t="s">
        <v>1981</v>
      </c>
    </row>
    <row r="1298" spans="1:11" x14ac:dyDescent="0.2">
      <c r="A1298" s="9" t="s">
        <v>59</v>
      </c>
      <c r="B1298" s="9" t="s">
        <v>571</v>
      </c>
      <c r="C1298" s="9"/>
      <c r="D1298" s="9" t="s">
        <v>76</v>
      </c>
      <c r="E1298" s="38">
        <v>3400</v>
      </c>
      <c r="F1298" s="39">
        <v>552128.37000000011</v>
      </c>
      <c r="G1298" s="40">
        <v>162.39069705882349</v>
      </c>
      <c r="H1298" s="41">
        <v>-0.11789773593854069</v>
      </c>
      <c r="I1298" s="40">
        <v>72.514243764705881</v>
      </c>
      <c r="J1298" s="41">
        <v>0.44654185909700661</v>
      </c>
      <c r="K1298" s="9" t="s">
        <v>1982</v>
      </c>
    </row>
    <row r="1299" spans="1:11" x14ac:dyDescent="0.2">
      <c r="A1299" s="9" t="s">
        <v>59</v>
      </c>
      <c r="B1299" s="9" t="s">
        <v>392</v>
      </c>
      <c r="C1299" s="9"/>
      <c r="D1299" s="9" t="s">
        <v>76</v>
      </c>
      <c r="E1299" s="38">
        <v>4200</v>
      </c>
      <c r="F1299" s="39">
        <v>1449476.16</v>
      </c>
      <c r="G1299" s="40">
        <v>345.11337142857138</v>
      </c>
      <c r="H1299" s="41">
        <v>3.5721075530027943E-2</v>
      </c>
      <c r="I1299" s="40">
        <v>42.928561999999999</v>
      </c>
      <c r="J1299" s="41">
        <v>0.1243897384279849</v>
      </c>
      <c r="K1299" s="9" t="s">
        <v>1983</v>
      </c>
    </row>
    <row r="1300" spans="1:11" x14ac:dyDescent="0.2">
      <c r="A1300" s="9" t="s">
        <v>59</v>
      </c>
      <c r="B1300" s="9" t="s">
        <v>1567</v>
      </c>
      <c r="C1300" s="9"/>
      <c r="D1300" s="9" t="s">
        <v>81</v>
      </c>
      <c r="E1300" s="38">
        <v>600</v>
      </c>
      <c r="F1300" s="39">
        <v>561761.30000000005</v>
      </c>
      <c r="G1300" s="40">
        <v>936.26883333333342</v>
      </c>
      <c r="H1300" s="41">
        <v>-0.1178772858624494</v>
      </c>
      <c r="I1300" s="40">
        <v>136.9186</v>
      </c>
      <c r="J1300" s="41">
        <v>0.1462385536347911</v>
      </c>
      <c r="K1300" s="9" t="s">
        <v>1984</v>
      </c>
    </row>
    <row r="1301" spans="1:11" x14ac:dyDescent="0.2">
      <c r="A1301" s="9" t="s">
        <v>59</v>
      </c>
      <c r="B1301" s="9" t="s">
        <v>574</v>
      </c>
      <c r="C1301" s="9"/>
      <c r="D1301" s="9" t="s">
        <v>82</v>
      </c>
      <c r="E1301" s="38">
        <v>1747</v>
      </c>
      <c r="F1301" s="39">
        <v>413379</v>
      </c>
      <c r="G1301" s="40">
        <v>236.62220950200339</v>
      </c>
      <c r="H1301" s="41">
        <v>-0.1656114307326404</v>
      </c>
      <c r="I1301" s="40">
        <v>32.970807097882087</v>
      </c>
      <c r="J1301" s="41">
        <v>0.13933944394853151</v>
      </c>
      <c r="K1301" s="9" t="s">
        <v>1985</v>
      </c>
    </row>
    <row r="1302" spans="1:11" x14ac:dyDescent="0.2">
      <c r="A1302" s="9" t="s">
        <v>59</v>
      </c>
      <c r="B1302" s="9" t="s">
        <v>396</v>
      </c>
      <c r="C1302" s="9"/>
      <c r="D1302" s="9" t="s">
        <v>78</v>
      </c>
      <c r="E1302" s="38">
        <v>2487</v>
      </c>
      <c r="F1302" s="39">
        <v>1997089.71</v>
      </c>
      <c r="G1302" s="40">
        <v>803.01154402895054</v>
      </c>
      <c r="H1302" s="41">
        <v>-9.9849249305937249E-2</v>
      </c>
      <c r="I1302" s="40">
        <v>167.773128588661</v>
      </c>
      <c r="J1302" s="41">
        <v>0.20892990871201281</v>
      </c>
      <c r="K1302" s="9" t="s">
        <v>1986</v>
      </c>
    </row>
    <row r="1303" spans="1:11" x14ac:dyDescent="0.2">
      <c r="A1303" s="9" t="s">
        <v>59</v>
      </c>
      <c r="B1303" s="9" t="s">
        <v>398</v>
      </c>
      <c r="C1303" s="9"/>
      <c r="D1303" s="9" t="s">
        <v>76</v>
      </c>
      <c r="E1303" s="38">
        <v>2081</v>
      </c>
      <c r="F1303" s="39">
        <v>902390.62000000011</v>
      </c>
      <c r="G1303" s="40">
        <v>433.63316674675639</v>
      </c>
      <c r="H1303" s="41">
        <v>8.9193763821362973E-2</v>
      </c>
      <c r="I1303" s="40">
        <v>55.742431715521377</v>
      </c>
      <c r="J1303" s="41">
        <v>0.1285474359208211</v>
      </c>
      <c r="K1303" s="9" t="s">
        <v>1987</v>
      </c>
    </row>
    <row r="1304" spans="1:11" x14ac:dyDescent="0.2">
      <c r="A1304" s="9" t="s">
        <v>35</v>
      </c>
      <c r="B1304" s="9" t="s">
        <v>1988</v>
      </c>
      <c r="C1304" s="9" t="s">
        <v>83</v>
      </c>
      <c r="D1304" s="9" t="s">
        <v>85</v>
      </c>
      <c r="E1304" s="38">
        <v>11073</v>
      </c>
      <c r="F1304" s="39">
        <v>994898</v>
      </c>
      <c r="G1304" s="40">
        <v>89.849002077124538</v>
      </c>
      <c r="H1304" s="41">
        <v>0.1948746033690511</v>
      </c>
      <c r="I1304" s="40">
        <v>30.022216201571389</v>
      </c>
      <c r="J1304" s="41">
        <v>0.33414078629166011</v>
      </c>
      <c r="K1304" s="9" t="s">
        <v>1989</v>
      </c>
    </row>
    <row r="1305" spans="1:11" x14ac:dyDescent="0.2">
      <c r="A1305" s="9" t="s">
        <v>35</v>
      </c>
      <c r="B1305" s="9" t="s">
        <v>166</v>
      </c>
      <c r="C1305" s="9"/>
      <c r="D1305" s="9" t="s">
        <v>76</v>
      </c>
      <c r="E1305" s="38">
        <v>5259</v>
      </c>
      <c r="F1305" s="39">
        <v>2014346.44</v>
      </c>
      <c r="G1305" s="40">
        <v>383.02841604867842</v>
      </c>
      <c r="H1305" s="41">
        <v>0.1764339209211675</v>
      </c>
      <c r="I1305" s="40">
        <v>35.749001711351973</v>
      </c>
      <c r="J1305" s="41">
        <v>9.3332505405574626E-2</v>
      </c>
      <c r="K1305" s="9" t="s">
        <v>1990</v>
      </c>
    </row>
    <row r="1306" spans="1:11" x14ac:dyDescent="0.2">
      <c r="A1306" s="9" t="s">
        <v>35</v>
      </c>
      <c r="B1306" s="9" t="s">
        <v>169</v>
      </c>
      <c r="C1306" s="9"/>
      <c r="D1306" s="9" t="s">
        <v>76</v>
      </c>
      <c r="E1306" s="38">
        <v>8841</v>
      </c>
      <c r="F1306" s="39">
        <v>7470935.1399999997</v>
      </c>
      <c r="G1306" s="40">
        <v>845.03281755457522</v>
      </c>
      <c r="H1306" s="41">
        <v>8.5180513204113462E-2</v>
      </c>
      <c r="I1306" s="40">
        <v>122.74584323040381</v>
      </c>
      <c r="J1306" s="41">
        <v>0.14525571158954009</v>
      </c>
      <c r="K1306" s="9" t="s">
        <v>1991</v>
      </c>
    </row>
    <row r="1307" spans="1:11" x14ac:dyDescent="0.2">
      <c r="A1307" s="9" t="s">
        <v>35</v>
      </c>
      <c r="B1307" s="9" t="s">
        <v>1992</v>
      </c>
      <c r="C1307" s="9"/>
      <c r="D1307" s="9" t="s">
        <v>86</v>
      </c>
      <c r="E1307" s="38">
        <v>50030</v>
      </c>
      <c r="F1307" s="39">
        <v>3057821.04</v>
      </c>
      <c r="G1307" s="40">
        <v>61.119748950629621</v>
      </c>
      <c r="H1307" s="41">
        <v>-8.9056889313636575E-2</v>
      </c>
      <c r="I1307" s="40">
        <v>15.993363981611029</v>
      </c>
      <c r="J1307" s="41">
        <v>0.26167260592856673</v>
      </c>
      <c r="K1307" s="9" t="s">
        <v>1993</v>
      </c>
    </row>
    <row r="1308" spans="1:11" x14ac:dyDescent="0.2">
      <c r="A1308" s="9" t="s">
        <v>35</v>
      </c>
      <c r="B1308" s="9" t="s">
        <v>87</v>
      </c>
      <c r="C1308" s="9"/>
      <c r="D1308" s="9" t="s">
        <v>87</v>
      </c>
      <c r="E1308" s="38">
        <v>10039</v>
      </c>
      <c r="F1308" s="39">
        <v>50500632.75</v>
      </c>
      <c r="G1308" s="40">
        <v>5030.4445412889727</v>
      </c>
      <c r="H1308" s="41">
        <v>-1.8732020432657981E-2</v>
      </c>
      <c r="I1308" s="40">
        <v>50.540093634824188</v>
      </c>
      <c r="J1308" s="41">
        <v>1.0046844413053421E-2</v>
      </c>
      <c r="K1308" s="9" t="s">
        <v>1994</v>
      </c>
    </row>
    <row r="1309" spans="1:11" x14ac:dyDescent="0.2">
      <c r="A1309" s="9" t="s">
        <v>35</v>
      </c>
      <c r="B1309" s="9" t="s">
        <v>171</v>
      </c>
      <c r="C1309" s="9"/>
      <c r="D1309" s="9" t="s">
        <v>84</v>
      </c>
      <c r="E1309" s="38">
        <v>3189</v>
      </c>
      <c r="F1309" s="39">
        <v>0</v>
      </c>
      <c r="G1309" s="40"/>
      <c r="H1309" s="41"/>
      <c r="I1309" s="40">
        <v>107.5484477892756</v>
      </c>
      <c r="J1309" s="41"/>
      <c r="K1309" s="9" t="s">
        <v>1995</v>
      </c>
    </row>
    <row r="1310" spans="1:11" x14ac:dyDescent="0.2">
      <c r="A1310" s="9" t="s">
        <v>35</v>
      </c>
      <c r="B1310" s="9" t="s">
        <v>173</v>
      </c>
      <c r="C1310" s="9"/>
      <c r="D1310" s="9" t="s">
        <v>80</v>
      </c>
      <c r="E1310" s="38">
        <v>509</v>
      </c>
      <c r="F1310" s="39">
        <v>1210092</v>
      </c>
      <c r="G1310" s="40">
        <v>2377.390962671906</v>
      </c>
      <c r="H1310" s="41">
        <v>7.3198159017978159E-2</v>
      </c>
      <c r="I1310" s="40">
        <v>255.98428290766211</v>
      </c>
      <c r="J1310" s="41">
        <v>0.10767445780981939</v>
      </c>
      <c r="K1310" s="9" t="s">
        <v>1996</v>
      </c>
    </row>
    <row r="1311" spans="1:11" x14ac:dyDescent="0.2">
      <c r="A1311" s="9" t="s">
        <v>35</v>
      </c>
      <c r="B1311" s="9" t="s">
        <v>661</v>
      </c>
      <c r="C1311" s="9"/>
      <c r="D1311" s="9" t="s">
        <v>76</v>
      </c>
      <c r="E1311" s="38">
        <v>8501</v>
      </c>
      <c r="F1311" s="39">
        <v>1309685.1200000001</v>
      </c>
      <c r="G1311" s="40">
        <v>154.06247735560521</v>
      </c>
      <c r="H1311" s="41">
        <v>-5.3884057039223693E-2</v>
      </c>
      <c r="I1311" s="40">
        <v>15.40618750735208</v>
      </c>
      <c r="J1311" s="41">
        <v>9.9999609066338008E-2</v>
      </c>
      <c r="K1311" s="9" t="s">
        <v>1997</v>
      </c>
    </row>
    <row r="1312" spans="1:11" x14ac:dyDescent="0.2">
      <c r="A1312" s="9" t="s">
        <v>35</v>
      </c>
      <c r="B1312" s="9" t="s">
        <v>175</v>
      </c>
      <c r="C1312" s="9"/>
      <c r="D1312" s="9" t="s">
        <v>78</v>
      </c>
      <c r="E1312" s="38">
        <v>167</v>
      </c>
      <c r="F1312" s="39">
        <v>963271.79</v>
      </c>
      <c r="G1312" s="40">
        <v>5768.094550898204</v>
      </c>
      <c r="H1312" s="41">
        <v>-0.12526616234100699</v>
      </c>
      <c r="I1312" s="40">
        <v>641.17365269461072</v>
      </c>
      <c r="J1312" s="41">
        <v>0.11115865855471591</v>
      </c>
      <c r="K1312" s="9" t="s">
        <v>1998</v>
      </c>
    </row>
    <row r="1313" spans="1:11" x14ac:dyDescent="0.2">
      <c r="A1313" s="9" t="s">
        <v>35</v>
      </c>
      <c r="B1313" s="9" t="s">
        <v>175</v>
      </c>
      <c r="C1313" s="9"/>
      <c r="D1313" s="9" t="s">
        <v>78</v>
      </c>
      <c r="E1313" s="38">
        <v>167</v>
      </c>
      <c r="F1313" s="39">
        <v>572389.75</v>
      </c>
      <c r="G1313" s="40">
        <v>3427.4835329341322</v>
      </c>
      <c r="H1313" s="41">
        <v>-0.13591472913762809</v>
      </c>
      <c r="I1313" s="40">
        <v>599.85628742514973</v>
      </c>
      <c r="J1313" s="41">
        <v>0.17501361615926911</v>
      </c>
      <c r="K1313" s="9" t="s">
        <v>1998</v>
      </c>
    </row>
    <row r="1314" spans="1:11" x14ac:dyDescent="0.2">
      <c r="A1314" s="9" t="s">
        <v>35</v>
      </c>
      <c r="B1314" s="9" t="s">
        <v>179</v>
      </c>
      <c r="C1314" s="9"/>
      <c r="D1314" s="9" t="s">
        <v>79</v>
      </c>
      <c r="E1314" s="38">
        <v>4760</v>
      </c>
      <c r="F1314" s="39">
        <v>3541111</v>
      </c>
      <c r="G1314" s="40">
        <v>743.93088235294113</v>
      </c>
      <c r="H1314" s="41">
        <v>7.3152519133696213E-3</v>
      </c>
      <c r="I1314" s="40">
        <v>55.701680672268907</v>
      </c>
      <c r="J1314" s="41">
        <v>7.4874806240188455E-2</v>
      </c>
      <c r="K1314" s="9" t="s">
        <v>1999</v>
      </c>
    </row>
    <row r="1315" spans="1:11" x14ac:dyDescent="0.2">
      <c r="A1315" s="9" t="s">
        <v>35</v>
      </c>
      <c r="B1315" s="9" t="s">
        <v>755</v>
      </c>
      <c r="C1315" s="9"/>
      <c r="D1315" s="9" t="s">
        <v>86</v>
      </c>
      <c r="E1315" s="38">
        <v>50000</v>
      </c>
      <c r="F1315" s="39">
        <v>82000000</v>
      </c>
      <c r="G1315" s="40">
        <v>1640</v>
      </c>
      <c r="H1315" s="41">
        <v>0.1388888888888889</v>
      </c>
      <c r="I1315" s="40">
        <v>23.684640000000002</v>
      </c>
      <c r="J1315" s="41">
        <v>1.4441853658536591E-2</v>
      </c>
      <c r="K1315" s="9" t="s">
        <v>2000</v>
      </c>
    </row>
    <row r="1316" spans="1:11" x14ac:dyDescent="0.2">
      <c r="A1316" s="9" t="s">
        <v>35</v>
      </c>
      <c r="B1316" s="9" t="s">
        <v>2001</v>
      </c>
      <c r="C1316" s="9"/>
      <c r="D1316" s="9" t="s">
        <v>85</v>
      </c>
      <c r="E1316" s="38">
        <v>24826</v>
      </c>
      <c r="F1316" s="39">
        <v>1972183.86</v>
      </c>
      <c r="G1316" s="40">
        <v>79.440258599854999</v>
      </c>
      <c r="H1316" s="41">
        <v>4.4645578707717827E-2</v>
      </c>
      <c r="I1316" s="40">
        <v>20.867316523000081</v>
      </c>
      <c r="J1316" s="41">
        <v>0.26267936296771027</v>
      </c>
      <c r="K1316" s="9" t="s">
        <v>2002</v>
      </c>
    </row>
    <row r="1317" spans="1:11" x14ac:dyDescent="0.2">
      <c r="A1317" s="9" t="s">
        <v>35</v>
      </c>
      <c r="B1317" s="9" t="s">
        <v>191</v>
      </c>
      <c r="C1317" s="9"/>
      <c r="D1317" s="9" t="s">
        <v>76</v>
      </c>
      <c r="E1317" s="38">
        <v>4469</v>
      </c>
      <c r="F1317" s="39">
        <v>1421257.07</v>
      </c>
      <c r="G1317" s="40">
        <v>318.025748489595</v>
      </c>
      <c r="H1317" s="41">
        <v>0.1032826137140843</v>
      </c>
      <c r="I1317" s="40">
        <v>26.9509957484896</v>
      </c>
      <c r="J1317" s="41">
        <v>8.4744697171497615E-2</v>
      </c>
      <c r="K1317" s="9" t="s">
        <v>2003</v>
      </c>
    </row>
    <row r="1318" spans="1:11" x14ac:dyDescent="0.2">
      <c r="A1318" s="9" t="s">
        <v>35</v>
      </c>
      <c r="B1318" s="9" t="s">
        <v>193</v>
      </c>
      <c r="C1318" s="9"/>
      <c r="D1318" s="9" t="s">
        <v>82</v>
      </c>
      <c r="E1318" s="38">
        <v>3084</v>
      </c>
      <c r="F1318" s="39">
        <v>1602104.72</v>
      </c>
      <c r="G1318" s="40">
        <v>519.48920881971469</v>
      </c>
      <c r="H1318" s="41">
        <v>0.15021922161783741</v>
      </c>
      <c r="I1318" s="40">
        <v>87.610894941634243</v>
      </c>
      <c r="J1318" s="41">
        <v>0.16864815178872949</v>
      </c>
      <c r="K1318" s="9" t="s">
        <v>2004</v>
      </c>
    </row>
    <row r="1319" spans="1:11" x14ac:dyDescent="0.2">
      <c r="A1319" s="9" t="s">
        <v>35</v>
      </c>
      <c r="B1319" s="9" t="s">
        <v>2005</v>
      </c>
      <c r="C1319" s="9"/>
      <c r="D1319" s="9" t="s">
        <v>76</v>
      </c>
      <c r="E1319" s="38">
        <v>5561</v>
      </c>
      <c r="F1319" s="39">
        <v>4114788.36</v>
      </c>
      <c r="G1319" s="40">
        <v>739.93676676856683</v>
      </c>
      <c r="H1319" s="41">
        <v>1.7994592184072331E-2</v>
      </c>
      <c r="I1319" s="40">
        <v>81.704010070131275</v>
      </c>
      <c r="J1319" s="41">
        <v>0.1104202598648354</v>
      </c>
      <c r="K1319" s="9" t="s">
        <v>2006</v>
      </c>
    </row>
    <row r="1320" spans="1:11" x14ac:dyDescent="0.2">
      <c r="A1320" s="9" t="s">
        <v>35</v>
      </c>
      <c r="B1320" s="9" t="s">
        <v>200</v>
      </c>
      <c r="C1320" s="9"/>
      <c r="D1320" s="9" t="s">
        <v>77</v>
      </c>
      <c r="E1320" s="38">
        <v>5811</v>
      </c>
      <c r="F1320" s="39">
        <v>2788733.68</v>
      </c>
      <c r="G1320" s="40">
        <v>479.90598520048189</v>
      </c>
      <c r="H1320" s="41">
        <v>-6.6442087891131152E-2</v>
      </c>
      <c r="I1320" s="40">
        <v>82.558595766649461</v>
      </c>
      <c r="J1320" s="41">
        <v>0.1720307691769262</v>
      </c>
      <c r="K1320" s="9" t="s">
        <v>2007</v>
      </c>
    </row>
    <row r="1321" spans="1:11" x14ac:dyDescent="0.2">
      <c r="A1321" s="9" t="s">
        <v>35</v>
      </c>
      <c r="B1321" s="9" t="s">
        <v>202</v>
      </c>
      <c r="C1321" s="9"/>
      <c r="D1321" s="9" t="s">
        <v>81</v>
      </c>
      <c r="E1321" s="38">
        <v>661</v>
      </c>
      <c r="F1321" s="39">
        <v>876821</v>
      </c>
      <c r="G1321" s="40">
        <v>1326.506807866868</v>
      </c>
      <c r="H1321" s="41">
        <v>0.20069701202311499</v>
      </c>
      <c r="I1321" s="40">
        <v>219.35854765506809</v>
      </c>
      <c r="J1321" s="41">
        <v>0.16536556492146059</v>
      </c>
      <c r="K1321" s="9" t="s">
        <v>2008</v>
      </c>
    </row>
    <row r="1322" spans="1:11" x14ac:dyDescent="0.2">
      <c r="A1322" s="9" t="s">
        <v>35</v>
      </c>
      <c r="B1322" s="9" t="s">
        <v>877</v>
      </c>
      <c r="C1322" s="9"/>
      <c r="D1322" s="9" t="s">
        <v>76</v>
      </c>
      <c r="E1322" s="38">
        <v>7782</v>
      </c>
      <c r="F1322" s="39">
        <v>874946.77</v>
      </c>
      <c r="G1322" s="40">
        <v>112.43212156258031</v>
      </c>
      <c r="H1322" s="41">
        <v>0.18383411751216919</v>
      </c>
      <c r="I1322" s="40">
        <v>11.24286815728605</v>
      </c>
      <c r="J1322" s="41">
        <v>9.9996940385299091E-2</v>
      </c>
      <c r="K1322" s="9" t="s">
        <v>2009</v>
      </c>
    </row>
    <row r="1323" spans="1:11" x14ac:dyDescent="0.2">
      <c r="A1323" s="9" t="s">
        <v>35</v>
      </c>
      <c r="B1323" s="9" t="s">
        <v>206</v>
      </c>
      <c r="C1323" s="9"/>
      <c r="D1323" s="9" t="s">
        <v>80</v>
      </c>
      <c r="E1323" s="38">
        <v>705</v>
      </c>
      <c r="F1323" s="39">
        <v>545188.52</v>
      </c>
      <c r="G1323" s="40">
        <v>773.31704964539006</v>
      </c>
      <c r="H1323" s="41">
        <v>0.14032064391740429</v>
      </c>
      <c r="I1323" s="40">
        <v>130.57021276595751</v>
      </c>
      <c r="J1323" s="41">
        <v>0.16884434763960179</v>
      </c>
      <c r="K1323" s="9" t="s">
        <v>2010</v>
      </c>
    </row>
    <row r="1324" spans="1:11" x14ac:dyDescent="0.2">
      <c r="A1324" s="9" t="s">
        <v>35</v>
      </c>
      <c r="B1324" s="9" t="s">
        <v>2011</v>
      </c>
      <c r="C1324" s="9"/>
      <c r="D1324" s="9" t="s">
        <v>83</v>
      </c>
      <c r="E1324" s="38">
        <v>8</v>
      </c>
      <c r="F1324" s="39">
        <v>0</v>
      </c>
      <c r="G1324" s="40"/>
      <c r="H1324" s="41"/>
      <c r="I1324" s="40">
        <v>3250.5</v>
      </c>
      <c r="J1324" s="41"/>
      <c r="K1324" s="9" t="s">
        <v>2012</v>
      </c>
    </row>
    <row r="1325" spans="1:11" x14ac:dyDescent="0.2">
      <c r="A1325" s="9" t="s">
        <v>35</v>
      </c>
      <c r="B1325" s="9" t="s">
        <v>208</v>
      </c>
      <c r="C1325" s="9"/>
      <c r="D1325" s="9" t="s">
        <v>78</v>
      </c>
      <c r="E1325" s="38">
        <v>1426</v>
      </c>
      <c r="F1325" s="39">
        <v>698666.74</v>
      </c>
      <c r="G1325" s="40">
        <v>489.94862552594668</v>
      </c>
      <c r="H1325" s="41">
        <v>4.4413781070285208E-2</v>
      </c>
      <c r="I1325" s="40">
        <v>82.872370266479663</v>
      </c>
      <c r="J1325" s="41">
        <v>0.16914502041416771</v>
      </c>
      <c r="K1325" s="9" t="s">
        <v>2013</v>
      </c>
    </row>
    <row r="1326" spans="1:11" x14ac:dyDescent="0.2">
      <c r="A1326" s="9" t="s">
        <v>35</v>
      </c>
      <c r="B1326" s="9" t="s">
        <v>437</v>
      </c>
      <c r="C1326" s="9"/>
      <c r="D1326" s="9" t="s">
        <v>77</v>
      </c>
      <c r="E1326" s="38">
        <v>2728</v>
      </c>
      <c r="F1326" s="39">
        <v>652574.67000000004</v>
      </c>
      <c r="G1326" s="40">
        <v>239.2135887096774</v>
      </c>
      <c r="H1326" s="41">
        <v>-0.1100332615818099</v>
      </c>
      <c r="I1326" s="40">
        <v>28.706744868035191</v>
      </c>
      <c r="J1326" s="41">
        <v>0.1200046578577743</v>
      </c>
      <c r="K1326" s="9" t="s">
        <v>2014</v>
      </c>
    </row>
    <row r="1327" spans="1:11" x14ac:dyDescent="0.2">
      <c r="A1327" s="9" t="s">
        <v>35</v>
      </c>
      <c r="B1327" s="9" t="s">
        <v>1467</v>
      </c>
      <c r="C1327" s="9"/>
      <c r="D1327" s="9" t="s">
        <v>85</v>
      </c>
      <c r="E1327" s="38">
        <v>30350</v>
      </c>
      <c r="F1327" s="39">
        <v>0</v>
      </c>
      <c r="G1327" s="40"/>
      <c r="H1327" s="41"/>
      <c r="I1327" s="40">
        <v>19.048171334431629</v>
      </c>
      <c r="J1327" s="41"/>
      <c r="K1327" s="9" t="s">
        <v>2015</v>
      </c>
    </row>
    <row r="1328" spans="1:11" x14ac:dyDescent="0.2">
      <c r="A1328" s="9" t="s">
        <v>35</v>
      </c>
      <c r="B1328" s="9" t="s">
        <v>220</v>
      </c>
      <c r="C1328" s="9"/>
      <c r="D1328" s="9" t="s">
        <v>85</v>
      </c>
      <c r="E1328" s="38">
        <v>33154</v>
      </c>
      <c r="F1328" s="39">
        <v>10191140.93</v>
      </c>
      <c r="G1328" s="40">
        <v>307.38797520661149</v>
      </c>
      <c r="H1328" s="41">
        <v>0.1056096724231352</v>
      </c>
      <c r="I1328" s="40">
        <v>39.142426253242448</v>
      </c>
      <c r="J1328" s="41">
        <v>0.1273388336903315</v>
      </c>
      <c r="K1328" s="9" t="s">
        <v>2016</v>
      </c>
    </row>
    <row r="1329" spans="1:11" x14ac:dyDescent="0.2">
      <c r="A1329" s="9" t="s">
        <v>35</v>
      </c>
      <c r="B1329" s="9" t="s">
        <v>766</v>
      </c>
      <c r="C1329" s="9"/>
      <c r="D1329" s="9" t="s">
        <v>86</v>
      </c>
      <c r="E1329" s="38">
        <v>80000</v>
      </c>
      <c r="F1329" s="39">
        <v>24594833.809999999</v>
      </c>
      <c r="G1329" s="40">
        <v>307.435422625</v>
      </c>
      <c r="H1329" s="41">
        <v>0.12088057273587979</v>
      </c>
      <c r="I1329" s="40">
        <v>22.461600000000001</v>
      </c>
      <c r="J1329" s="41">
        <v>7.3061197074215975E-2</v>
      </c>
      <c r="K1329" s="9" t="s">
        <v>2017</v>
      </c>
    </row>
    <row r="1330" spans="1:11" x14ac:dyDescent="0.2">
      <c r="A1330" s="9" t="s">
        <v>35</v>
      </c>
      <c r="B1330" s="9" t="s">
        <v>1001</v>
      </c>
      <c r="C1330" s="9"/>
      <c r="D1330" s="9" t="s">
        <v>76</v>
      </c>
      <c r="E1330" s="38">
        <v>3557</v>
      </c>
      <c r="F1330" s="39">
        <v>826789.37</v>
      </c>
      <c r="G1330" s="40">
        <v>232.44008152937869</v>
      </c>
      <c r="H1330" s="41"/>
      <c r="I1330" s="40">
        <v>53.431543435479327</v>
      </c>
      <c r="J1330" s="41">
        <v>0.22987233132907839</v>
      </c>
      <c r="K1330" s="9" t="s">
        <v>2018</v>
      </c>
    </row>
    <row r="1331" spans="1:11" x14ac:dyDescent="0.2">
      <c r="A1331" s="9" t="s">
        <v>35</v>
      </c>
      <c r="B1331" s="9" t="s">
        <v>768</v>
      </c>
      <c r="C1331" s="9"/>
      <c r="D1331" s="9" t="s">
        <v>77</v>
      </c>
      <c r="E1331" s="38">
        <v>20000</v>
      </c>
      <c r="F1331" s="39">
        <v>4403358.16</v>
      </c>
      <c r="G1331" s="40">
        <v>220.16790800000001</v>
      </c>
      <c r="H1331" s="41">
        <v>-0.15842884446358549</v>
      </c>
      <c r="I1331" s="40">
        <v>30.0288</v>
      </c>
      <c r="J1331" s="41">
        <v>0.13639044978344439</v>
      </c>
      <c r="K1331" s="9" t="s">
        <v>2019</v>
      </c>
    </row>
    <row r="1332" spans="1:11" x14ac:dyDescent="0.2">
      <c r="A1332" s="9" t="s">
        <v>35</v>
      </c>
      <c r="B1332" s="9" t="s">
        <v>2020</v>
      </c>
      <c r="C1332" s="9"/>
      <c r="D1332" s="9" t="s">
        <v>80</v>
      </c>
      <c r="E1332" s="38">
        <v>762</v>
      </c>
      <c r="F1332" s="39">
        <v>843341</v>
      </c>
      <c r="G1332" s="40">
        <v>1106.7467191601049</v>
      </c>
      <c r="H1332" s="41">
        <v>9.2573050011593078E-2</v>
      </c>
      <c r="I1332" s="40">
        <v>138.83464566929129</v>
      </c>
      <c r="J1332" s="41">
        <v>0.12544391888927489</v>
      </c>
      <c r="K1332" s="9" t="s">
        <v>2021</v>
      </c>
    </row>
    <row r="1333" spans="1:11" x14ac:dyDescent="0.2">
      <c r="A1333" s="9" t="s">
        <v>35</v>
      </c>
      <c r="B1333" s="9" t="s">
        <v>445</v>
      </c>
      <c r="C1333" s="9"/>
      <c r="D1333" s="9" t="s">
        <v>82</v>
      </c>
      <c r="E1333" s="38">
        <v>3645</v>
      </c>
      <c r="F1333" s="39">
        <v>695164.25</v>
      </c>
      <c r="G1333" s="40">
        <v>190.71721536351171</v>
      </c>
      <c r="H1333" s="41">
        <v>-0.32932731475908611</v>
      </c>
      <c r="I1333" s="40">
        <v>32.533333333333331</v>
      </c>
      <c r="J1333" s="41">
        <v>0.17058414612086281</v>
      </c>
      <c r="K1333" s="9" t="s">
        <v>2022</v>
      </c>
    </row>
    <row r="1334" spans="1:11" x14ac:dyDescent="0.2">
      <c r="A1334" s="9" t="s">
        <v>35</v>
      </c>
      <c r="B1334" s="9" t="s">
        <v>231</v>
      </c>
      <c r="C1334" s="9"/>
      <c r="D1334" s="9" t="s">
        <v>76</v>
      </c>
      <c r="E1334" s="38">
        <v>8564</v>
      </c>
      <c r="F1334" s="39">
        <v>1397163.2</v>
      </c>
      <c r="G1334" s="40">
        <v>163.14376459598321</v>
      </c>
      <c r="H1334" s="41">
        <v>-0.23471216214188079</v>
      </c>
      <c r="I1334" s="40">
        <v>19.577767398411961</v>
      </c>
      <c r="J1334" s="41">
        <v>0.12000316069017559</v>
      </c>
      <c r="K1334" s="9" t="s">
        <v>2023</v>
      </c>
    </row>
    <row r="1335" spans="1:11" x14ac:dyDescent="0.2">
      <c r="A1335" s="9" t="s">
        <v>35</v>
      </c>
      <c r="B1335" s="9" t="s">
        <v>233</v>
      </c>
      <c r="C1335" s="9"/>
      <c r="D1335" s="9" t="s">
        <v>77</v>
      </c>
      <c r="E1335" s="38">
        <v>4969</v>
      </c>
      <c r="F1335" s="39">
        <v>1223653.45</v>
      </c>
      <c r="G1335" s="40">
        <v>246.25748641577781</v>
      </c>
      <c r="H1335" s="41">
        <v>4.454861589055592E-2</v>
      </c>
      <c r="I1335" s="40">
        <v>28.499094385188169</v>
      </c>
      <c r="J1335" s="41">
        <v>0.1157288446332579</v>
      </c>
      <c r="K1335" s="9" t="s">
        <v>2024</v>
      </c>
    </row>
    <row r="1336" spans="1:11" x14ac:dyDescent="0.2">
      <c r="A1336" s="9" t="s">
        <v>35</v>
      </c>
      <c r="B1336" s="9" t="s">
        <v>1477</v>
      </c>
      <c r="C1336" s="9"/>
      <c r="D1336" s="9" t="s">
        <v>85</v>
      </c>
      <c r="E1336" s="38">
        <v>7948</v>
      </c>
      <c r="F1336" s="39">
        <v>2467880.3199999998</v>
      </c>
      <c r="G1336" s="40">
        <v>310.50331152491191</v>
      </c>
      <c r="H1336" s="41"/>
      <c r="I1336" s="40">
        <v>30.857574232511329</v>
      </c>
      <c r="J1336" s="41">
        <v>9.9379211387365829E-2</v>
      </c>
      <c r="K1336" s="9" t="s">
        <v>2025</v>
      </c>
    </row>
    <row r="1337" spans="1:11" x14ac:dyDescent="0.2">
      <c r="A1337" s="9" t="s">
        <v>35</v>
      </c>
      <c r="B1337" s="9" t="s">
        <v>235</v>
      </c>
      <c r="C1337" s="9"/>
      <c r="D1337" s="9" t="s">
        <v>77</v>
      </c>
      <c r="E1337" s="38">
        <v>7516</v>
      </c>
      <c r="F1337" s="39">
        <v>7147307.9900000002</v>
      </c>
      <c r="G1337" s="40">
        <v>950.94571447578505</v>
      </c>
      <c r="H1337" s="41">
        <v>0.13752471594476859</v>
      </c>
      <c r="I1337" s="40">
        <v>80.166577967003732</v>
      </c>
      <c r="J1337" s="41">
        <v>8.4301949887009134E-2</v>
      </c>
      <c r="K1337" s="9" t="s">
        <v>2026</v>
      </c>
    </row>
    <row r="1338" spans="1:11" x14ac:dyDescent="0.2">
      <c r="A1338" s="9" t="s">
        <v>35</v>
      </c>
      <c r="B1338" s="9" t="s">
        <v>456</v>
      </c>
      <c r="C1338" s="9"/>
      <c r="D1338" s="9" t="s">
        <v>76</v>
      </c>
      <c r="E1338" s="38">
        <v>1300</v>
      </c>
      <c r="F1338" s="39">
        <v>723641.62</v>
      </c>
      <c r="G1338" s="40">
        <v>556.64739999999995</v>
      </c>
      <c r="H1338" s="41">
        <v>5.6166941374444571E-2</v>
      </c>
      <c r="I1338" s="40">
        <v>66.793846153846147</v>
      </c>
      <c r="J1338" s="41">
        <v>0.11999309824108791</v>
      </c>
      <c r="K1338" s="9" t="s">
        <v>2027</v>
      </c>
    </row>
    <row r="1339" spans="1:11" x14ac:dyDescent="0.2">
      <c r="A1339" s="9" t="s">
        <v>35</v>
      </c>
      <c r="B1339" s="9" t="s">
        <v>242</v>
      </c>
      <c r="C1339" s="9"/>
      <c r="D1339" s="9" t="s">
        <v>82</v>
      </c>
      <c r="E1339" s="38">
        <v>4422</v>
      </c>
      <c r="F1339" s="39">
        <v>1024144.76</v>
      </c>
      <c r="G1339" s="40">
        <v>231.6021619176843</v>
      </c>
      <c r="H1339" s="41">
        <v>-0.28940832767189539</v>
      </c>
      <c r="I1339" s="40">
        <v>23.161465400271371</v>
      </c>
      <c r="J1339" s="41">
        <v>0.1000053937687481</v>
      </c>
      <c r="K1339" s="9" t="s">
        <v>2028</v>
      </c>
    </row>
    <row r="1340" spans="1:11" x14ac:dyDescent="0.2">
      <c r="A1340" s="9" t="s">
        <v>35</v>
      </c>
      <c r="B1340" s="9" t="s">
        <v>243</v>
      </c>
      <c r="C1340" s="9"/>
      <c r="D1340" s="9" t="s">
        <v>82</v>
      </c>
      <c r="E1340" s="38">
        <v>1440</v>
      </c>
      <c r="F1340" s="39">
        <v>1487615.18</v>
      </c>
      <c r="G1340" s="40">
        <v>1033.066097222222</v>
      </c>
      <c r="H1340" s="41">
        <v>-0.2100734320478711</v>
      </c>
      <c r="I1340" s="40">
        <v>131.94166666666669</v>
      </c>
      <c r="J1340" s="41">
        <v>0.12771851386996469</v>
      </c>
      <c r="K1340" s="9" t="s">
        <v>2029</v>
      </c>
    </row>
    <row r="1341" spans="1:11" x14ac:dyDescent="0.2">
      <c r="A1341" s="9" t="s">
        <v>35</v>
      </c>
      <c r="B1341" s="9" t="s">
        <v>1788</v>
      </c>
      <c r="C1341" s="9"/>
      <c r="D1341" s="9" t="s">
        <v>76</v>
      </c>
      <c r="E1341" s="38">
        <v>12143</v>
      </c>
      <c r="F1341" s="39">
        <v>1934524.47</v>
      </c>
      <c r="G1341" s="40">
        <v>159.31190562463971</v>
      </c>
      <c r="H1341" s="41">
        <v>0.27286418427360892</v>
      </c>
      <c r="I1341" s="40">
        <v>25.000082351972331</v>
      </c>
      <c r="J1341" s="41">
        <v>0.15692538642325879</v>
      </c>
      <c r="K1341" s="9" t="s">
        <v>2030</v>
      </c>
    </row>
    <row r="1342" spans="1:11" x14ac:dyDescent="0.2">
      <c r="A1342" s="9" t="s">
        <v>35</v>
      </c>
      <c r="B1342" s="9" t="s">
        <v>461</v>
      </c>
      <c r="C1342" s="9"/>
      <c r="D1342" s="9" t="s">
        <v>76</v>
      </c>
      <c r="E1342" s="38">
        <v>4324</v>
      </c>
      <c r="F1342" s="39">
        <v>2283852.3199999998</v>
      </c>
      <c r="G1342" s="40">
        <v>528.18046253469004</v>
      </c>
      <c r="H1342" s="41">
        <v>0.44256891901776169</v>
      </c>
      <c r="I1342" s="40">
        <v>34.690101757631822</v>
      </c>
      <c r="J1342" s="41">
        <v>6.5678502364811403E-2</v>
      </c>
      <c r="K1342" s="9" t="s">
        <v>2031</v>
      </c>
    </row>
    <row r="1343" spans="1:11" x14ac:dyDescent="0.2">
      <c r="A1343" s="9" t="s">
        <v>35</v>
      </c>
      <c r="B1343" s="9" t="s">
        <v>2032</v>
      </c>
      <c r="C1343" s="9"/>
      <c r="D1343" s="9" t="s">
        <v>85</v>
      </c>
      <c r="E1343" s="38">
        <v>24212</v>
      </c>
      <c r="F1343" s="39">
        <v>2619459</v>
      </c>
      <c r="G1343" s="40">
        <v>108.1884602676359</v>
      </c>
      <c r="H1343" s="41">
        <v>0.10946600453162229</v>
      </c>
      <c r="I1343" s="40">
        <v>12.56451346439782</v>
      </c>
      <c r="J1343" s="41">
        <v>0.1161354310183897</v>
      </c>
      <c r="K1343" s="9" t="s">
        <v>2033</v>
      </c>
    </row>
    <row r="1344" spans="1:11" x14ac:dyDescent="0.2">
      <c r="A1344" s="9" t="s">
        <v>35</v>
      </c>
      <c r="B1344" s="9" t="s">
        <v>245</v>
      </c>
      <c r="C1344" s="9"/>
      <c r="D1344" s="9" t="s">
        <v>79</v>
      </c>
      <c r="E1344" s="38">
        <v>2000</v>
      </c>
      <c r="F1344" s="39">
        <v>444757.08</v>
      </c>
      <c r="G1344" s="40">
        <v>222.37853999999999</v>
      </c>
      <c r="H1344" s="41"/>
      <c r="I1344" s="40">
        <v>24.3</v>
      </c>
      <c r="J1344" s="41">
        <v>0.1092731339993508</v>
      </c>
      <c r="K1344" s="9" t="s">
        <v>2034</v>
      </c>
    </row>
    <row r="1345" spans="1:11" x14ac:dyDescent="0.2">
      <c r="A1345" s="9" t="s">
        <v>35</v>
      </c>
      <c r="B1345" s="9" t="s">
        <v>1246</v>
      </c>
      <c r="C1345" s="9"/>
      <c r="D1345" s="9" t="s">
        <v>80</v>
      </c>
      <c r="E1345" s="38">
        <v>620</v>
      </c>
      <c r="F1345" s="39">
        <v>301883</v>
      </c>
      <c r="G1345" s="40">
        <v>486.90806451612912</v>
      </c>
      <c r="H1345" s="41"/>
      <c r="I1345" s="40">
        <v>135.98709677419359</v>
      </c>
      <c r="J1345" s="41">
        <v>0.27928700854304478</v>
      </c>
      <c r="K1345" s="9" t="s">
        <v>2035</v>
      </c>
    </row>
    <row r="1346" spans="1:11" x14ac:dyDescent="0.2">
      <c r="A1346" s="9" t="s">
        <v>35</v>
      </c>
      <c r="B1346" s="9" t="s">
        <v>247</v>
      </c>
      <c r="C1346" s="9"/>
      <c r="D1346" s="9" t="s">
        <v>76</v>
      </c>
      <c r="E1346" s="38">
        <v>19797</v>
      </c>
      <c r="F1346" s="39">
        <v>4223122.74</v>
      </c>
      <c r="G1346" s="40">
        <v>213.3213486891953</v>
      </c>
      <c r="H1346" s="41">
        <v>-0.14668769855679889</v>
      </c>
      <c r="I1346" s="40">
        <v>26.676163055008331</v>
      </c>
      <c r="J1346" s="41">
        <v>0.12505153946816139</v>
      </c>
      <c r="K1346" s="9" t="s">
        <v>2036</v>
      </c>
    </row>
    <row r="1347" spans="1:11" x14ac:dyDescent="0.2">
      <c r="A1347" s="9" t="s">
        <v>35</v>
      </c>
      <c r="B1347" s="9" t="s">
        <v>140</v>
      </c>
      <c r="C1347" s="9"/>
      <c r="D1347" s="9" t="s">
        <v>83</v>
      </c>
      <c r="E1347" s="38">
        <v>5999</v>
      </c>
      <c r="F1347" s="39">
        <v>3273016.12</v>
      </c>
      <c r="G1347" s="40">
        <v>545.59361893648941</v>
      </c>
      <c r="H1347" s="41">
        <v>0.58625111957857134</v>
      </c>
      <c r="I1347" s="40">
        <v>73.288214702450404</v>
      </c>
      <c r="J1347" s="41">
        <v>0.13432747773940079</v>
      </c>
      <c r="K1347" s="9" t="s">
        <v>2037</v>
      </c>
    </row>
    <row r="1348" spans="1:11" x14ac:dyDescent="0.2">
      <c r="A1348" s="9" t="s">
        <v>35</v>
      </c>
      <c r="B1348" s="9" t="s">
        <v>256</v>
      </c>
      <c r="C1348" s="9"/>
      <c r="D1348" s="9" t="s">
        <v>76</v>
      </c>
      <c r="E1348" s="38">
        <v>1999</v>
      </c>
      <c r="F1348" s="39">
        <v>1552114.14</v>
      </c>
      <c r="G1348" s="40">
        <v>776.44529264632308</v>
      </c>
      <c r="H1348" s="41">
        <v>0.15563401144429839</v>
      </c>
      <c r="I1348" s="40">
        <v>103.1795897948975</v>
      </c>
      <c r="J1348" s="41">
        <v>0.13288713418975751</v>
      </c>
      <c r="K1348" s="9" t="s">
        <v>2038</v>
      </c>
    </row>
    <row r="1349" spans="1:11" x14ac:dyDescent="0.2">
      <c r="A1349" s="9" t="s">
        <v>35</v>
      </c>
      <c r="B1349" s="9" t="s">
        <v>1119</v>
      </c>
      <c r="C1349" s="9"/>
      <c r="D1349" s="9" t="s">
        <v>80</v>
      </c>
      <c r="E1349" s="38">
        <v>3577</v>
      </c>
      <c r="F1349" s="39">
        <v>453360.07</v>
      </c>
      <c r="G1349" s="40">
        <v>126.743100363433</v>
      </c>
      <c r="H1349" s="41"/>
      <c r="I1349" s="40">
        <v>15.844562482527261</v>
      </c>
      <c r="J1349" s="41">
        <v>0.12501321521324099</v>
      </c>
      <c r="K1349" s="9" t="s">
        <v>2039</v>
      </c>
    </row>
    <row r="1350" spans="1:11" x14ac:dyDescent="0.2">
      <c r="A1350" s="9" t="s">
        <v>35</v>
      </c>
      <c r="B1350" s="9" t="s">
        <v>260</v>
      </c>
      <c r="C1350" s="9"/>
      <c r="D1350" s="9" t="s">
        <v>76</v>
      </c>
      <c r="E1350" s="38">
        <v>3503</v>
      </c>
      <c r="F1350" s="39">
        <v>909533.61</v>
      </c>
      <c r="G1350" s="40">
        <v>259.64419354838708</v>
      </c>
      <c r="H1350" s="41">
        <v>9.3395931854293582E-2</v>
      </c>
      <c r="I1350" s="40">
        <v>38.946046246074793</v>
      </c>
      <c r="J1350" s="41">
        <v>0.14999775544303409</v>
      </c>
      <c r="K1350" s="9" t="s">
        <v>2040</v>
      </c>
    </row>
    <row r="1351" spans="1:11" x14ac:dyDescent="0.2">
      <c r="A1351" s="9" t="s">
        <v>35</v>
      </c>
      <c r="B1351" s="9" t="s">
        <v>473</v>
      </c>
      <c r="C1351" s="9"/>
      <c r="D1351" s="9" t="s">
        <v>86</v>
      </c>
      <c r="E1351" s="38">
        <v>179964</v>
      </c>
      <c r="F1351" s="39">
        <v>10867404.439999999</v>
      </c>
      <c r="G1351" s="40">
        <v>60.386546420395177</v>
      </c>
      <c r="H1351" s="41">
        <v>1.1129627773315489E-2</v>
      </c>
      <c r="I1351" s="40">
        <v>6.1180236047209444</v>
      </c>
      <c r="J1351" s="41">
        <v>0.1013143484333229</v>
      </c>
      <c r="K1351" s="9" t="s">
        <v>2041</v>
      </c>
    </row>
    <row r="1352" spans="1:11" x14ac:dyDescent="0.2">
      <c r="A1352" s="9" t="s">
        <v>35</v>
      </c>
      <c r="B1352" s="9" t="s">
        <v>479</v>
      </c>
      <c r="C1352" s="9"/>
      <c r="D1352" s="9" t="s">
        <v>77</v>
      </c>
      <c r="E1352" s="38">
        <v>11136</v>
      </c>
      <c r="F1352" s="39">
        <v>4278993.2</v>
      </c>
      <c r="G1352" s="40">
        <v>384.2486709770115</v>
      </c>
      <c r="H1352" s="41">
        <v>0.18664796672151279</v>
      </c>
      <c r="I1352" s="40">
        <v>53.259698275862071</v>
      </c>
      <c r="J1352" s="41">
        <v>0.13860737147233609</v>
      </c>
      <c r="K1352" s="9" t="s">
        <v>2042</v>
      </c>
    </row>
    <row r="1353" spans="1:11" x14ac:dyDescent="0.2">
      <c r="A1353" s="9" t="s">
        <v>35</v>
      </c>
      <c r="B1353" s="9" t="s">
        <v>920</v>
      </c>
      <c r="C1353" s="9"/>
      <c r="D1353" s="9" t="s">
        <v>76</v>
      </c>
      <c r="E1353" s="38">
        <v>4489</v>
      </c>
      <c r="F1353" s="39">
        <v>2407421.04</v>
      </c>
      <c r="G1353" s="40">
        <v>536.29339273780352</v>
      </c>
      <c r="H1353" s="41">
        <v>0.13576454203716851</v>
      </c>
      <c r="I1353" s="40">
        <v>62.593005123635557</v>
      </c>
      <c r="J1353" s="41">
        <v>0.1167141083057079</v>
      </c>
      <c r="K1353" s="9" t="s">
        <v>2043</v>
      </c>
    </row>
    <row r="1354" spans="1:11" x14ac:dyDescent="0.2">
      <c r="A1354" s="9" t="s">
        <v>35</v>
      </c>
      <c r="B1354" s="9" t="s">
        <v>267</v>
      </c>
      <c r="C1354" s="9"/>
      <c r="D1354" s="9" t="s">
        <v>77</v>
      </c>
      <c r="E1354" s="38">
        <v>3000</v>
      </c>
      <c r="F1354" s="39">
        <v>1279099.6000000001</v>
      </c>
      <c r="G1354" s="40">
        <v>426.36653333333328</v>
      </c>
      <c r="H1354" s="41">
        <v>-4.7869611497480813E-2</v>
      </c>
      <c r="I1354" s="40">
        <v>69.328000000000003</v>
      </c>
      <c r="J1354" s="41">
        <v>0.16260188026014549</v>
      </c>
      <c r="K1354" s="9" t="s">
        <v>2044</v>
      </c>
    </row>
    <row r="1355" spans="1:11" x14ac:dyDescent="0.2">
      <c r="A1355" s="9" t="s">
        <v>35</v>
      </c>
      <c r="B1355" s="9" t="s">
        <v>484</v>
      </c>
      <c r="C1355" s="9"/>
      <c r="D1355" s="9" t="s">
        <v>77</v>
      </c>
      <c r="E1355" s="38">
        <v>1300</v>
      </c>
      <c r="F1355" s="39">
        <v>604587.32999999996</v>
      </c>
      <c r="G1355" s="40">
        <v>465.06717692307689</v>
      </c>
      <c r="H1355" s="41">
        <v>-0.14721987500599301</v>
      </c>
      <c r="I1355" s="40">
        <v>61.181538461538459</v>
      </c>
      <c r="J1355" s="41">
        <v>0.13155419581816249</v>
      </c>
      <c r="K1355" s="9" t="s">
        <v>2045</v>
      </c>
    </row>
    <row r="1356" spans="1:11" x14ac:dyDescent="0.2">
      <c r="A1356" s="9" t="s">
        <v>35</v>
      </c>
      <c r="B1356" s="9" t="s">
        <v>271</v>
      </c>
      <c r="C1356" s="9"/>
      <c r="D1356" s="9" t="s">
        <v>78</v>
      </c>
      <c r="E1356" s="38">
        <v>1787</v>
      </c>
      <c r="F1356" s="39">
        <v>2246220.1</v>
      </c>
      <c r="G1356" s="40">
        <v>1256.9782316731951</v>
      </c>
      <c r="H1356" s="41">
        <v>-0.28952335202324819</v>
      </c>
      <c r="I1356" s="40">
        <v>204.3894795747062</v>
      </c>
      <c r="J1356" s="41">
        <v>0.16260383388074931</v>
      </c>
      <c r="K1356" s="9" t="s">
        <v>2046</v>
      </c>
    </row>
    <row r="1357" spans="1:11" x14ac:dyDescent="0.2">
      <c r="A1357" s="9" t="s">
        <v>35</v>
      </c>
      <c r="B1357" s="9" t="s">
        <v>1913</v>
      </c>
      <c r="C1357" s="9"/>
      <c r="D1357" s="9" t="s">
        <v>76</v>
      </c>
      <c r="E1357" s="38">
        <v>7309</v>
      </c>
      <c r="F1357" s="39">
        <v>948107.95</v>
      </c>
      <c r="G1357" s="40">
        <v>129.71787522232859</v>
      </c>
      <c r="H1357" s="41">
        <v>-5.190987409436712E-2</v>
      </c>
      <c r="I1357" s="40">
        <v>15.56601450266794</v>
      </c>
      <c r="J1357" s="41">
        <v>0.11999899378546509</v>
      </c>
      <c r="K1357" s="9" t="s">
        <v>2047</v>
      </c>
    </row>
    <row r="1358" spans="1:11" x14ac:dyDescent="0.2">
      <c r="A1358" s="9" t="s">
        <v>35</v>
      </c>
      <c r="B1358" s="9" t="s">
        <v>489</v>
      </c>
      <c r="C1358" s="9"/>
      <c r="D1358" s="9" t="s">
        <v>82</v>
      </c>
      <c r="E1358" s="38">
        <v>3011</v>
      </c>
      <c r="F1358" s="39">
        <v>3951970.01</v>
      </c>
      <c r="G1358" s="40">
        <v>1312.5107970773829</v>
      </c>
      <c r="H1358" s="41">
        <v>0.141468448723479</v>
      </c>
      <c r="I1358" s="40">
        <v>49.805380272334773</v>
      </c>
      <c r="J1358" s="41">
        <v>3.7946644235794698E-2</v>
      </c>
      <c r="K1358" s="9" t="s">
        <v>2048</v>
      </c>
    </row>
    <row r="1359" spans="1:11" x14ac:dyDescent="0.2">
      <c r="A1359" s="9" t="s">
        <v>35</v>
      </c>
      <c r="B1359" s="9" t="s">
        <v>275</v>
      </c>
      <c r="C1359" s="9"/>
      <c r="D1359" s="9" t="s">
        <v>83</v>
      </c>
      <c r="E1359" s="38">
        <v>2715</v>
      </c>
      <c r="F1359" s="39">
        <v>2233615.1800000002</v>
      </c>
      <c r="G1359" s="40">
        <v>822.69435727440157</v>
      </c>
      <c r="H1359" s="41">
        <v>7.7096350831429739E-2</v>
      </c>
      <c r="I1359" s="40">
        <v>92.808839779005524</v>
      </c>
      <c r="J1359" s="41">
        <v>0.1128108378991228</v>
      </c>
      <c r="K1359" s="9" t="s">
        <v>2049</v>
      </c>
    </row>
    <row r="1360" spans="1:11" x14ac:dyDescent="0.2">
      <c r="A1360" s="9" t="s">
        <v>35</v>
      </c>
      <c r="B1360" s="9" t="s">
        <v>277</v>
      </c>
      <c r="C1360" s="9"/>
      <c r="D1360" s="9" t="s">
        <v>76</v>
      </c>
      <c r="E1360" s="38">
        <v>694</v>
      </c>
      <c r="F1360" s="39">
        <v>682997.83</v>
      </c>
      <c r="G1360" s="40">
        <v>984.14672910662819</v>
      </c>
      <c r="H1360" s="41"/>
      <c r="I1360" s="40">
        <v>239.5677233429395</v>
      </c>
      <c r="J1360" s="41">
        <v>0.24342683489931441</v>
      </c>
      <c r="K1360" s="9" t="s">
        <v>2050</v>
      </c>
    </row>
    <row r="1361" spans="1:11" x14ac:dyDescent="0.2">
      <c r="A1361" s="9" t="s">
        <v>35</v>
      </c>
      <c r="B1361" s="9" t="s">
        <v>494</v>
      </c>
      <c r="C1361" s="9"/>
      <c r="D1361" s="9" t="s">
        <v>85</v>
      </c>
      <c r="E1361" s="38">
        <v>1269</v>
      </c>
      <c r="F1361" s="39">
        <v>1732567.99</v>
      </c>
      <c r="G1361" s="40">
        <v>1365.301804570528</v>
      </c>
      <c r="H1361" s="41">
        <v>0.27590394099514981</v>
      </c>
      <c r="I1361" s="40">
        <v>84.567375886524829</v>
      </c>
      <c r="J1361" s="41">
        <v>6.1940426360988003E-2</v>
      </c>
      <c r="K1361" s="9" t="s">
        <v>2051</v>
      </c>
    </row>
    <row r="1362" spans="1:11" x14ac:dyDescent="0.2">
      <c r="A1362" s="9" t="s">
        <v>35</v>
      </c>
      <c r="B1362" s="9" t="s">
        <v>283</v>
      </c>
      <c r="C1362" s="9"/>
      <c r="D1362" s="9" t="s">
        <v>78</v>
      </c>
      <c r="E1362" s="38">
        <v>861</v>
      </c>
      <c r="F1362" s="39">
        <v>399366.03</v>
      </c>
      <c r="G1362" s="40">
        <v>463.83975609756101</v>
      </c>
      <c r="H1362" s="41">
        <v>4.7008800429386731E-2</v>
      </c>
      <c r="I1362" s="40">
        <v>100.90592334494769</v>
      </c>
      <c r="J1362" s="41">
        <v>0.21754479217974551</v>
      </c>
      <c r="K1362" s="9" t="s">
        <v>2052</v>
      </c>
    </row>
    <row r="1363" spans="1:11" x14ac:dyDescent="0.2">
      <c r="A1363" s="9" t="s">
        <v>35</v>
      </c>
      <c r="B1363" s="9" t="s">
        <v>285</v>
      </c>
      <c r="C1363" s="9"/>
      <c r="D1363" s="9" t="s">
        <v>76</v>
      </c>
      <c r="E1363" s="38">
        <v>3143</v>
      </c>
      <c r="F1363" s="39">
        <v>6019276.6200000001</v>
      </c>
      <c r="G1363" s="40">
        <v>1915.137327394209</v>
      </c>
      <c r="H1363" s="41">
        <v>0.34958758664636841</v>
      </c>
      <c r="I1363" s="40">
        <v>66.876232898504611</v>
      </c>
      <c r="J1363" s="41">
        <v>3.4919810679842123E-2</v>
      </c>
      <c r="K1363" s="9" t="s">
        <v>2053</v>
      </c>
    </row>
    <row r="1364" spans="1:11" x14ac:dyDescent="0.2">
      <c r="A1364" s="9" t="s">
        <v>35</v>
      </c>
      <c r="B1364" s="9" t="s">
        <v>287</v>
      </c>
      <c r="C1364" s="9"/>
      <c r="D1364" s="9" t="s">
        <v>79</v>
      </c>
      <c r="E1364" s="38">
        <v>1121</v>
      </c>
      <c r="F1364" s="39">
        <v>896163.9</v>
      </c>
      <c r="G1364" s="40">
        <v>799.43256021409456</v>
      </c>
      <c r="H1364" s="41">
        <v>-0.14626639548688439</v>
      </c>
      <c r="I1364" s="40">
        <v>95.946476360392509</v>
      </c>
      <c r="J1364" s="41">
        <v>0.12001822434489939</v>
      </c>
      <c r="K1364" s="9" t="s">
        <v>2054</v>
      </c>
    </row>
    <row r="1365" spans="1:11" x14ac:dyDescent="0.2">
      <c r="A1365" s="9" t="s">
        <v>35</v>
      </c>
      <c r="B1365" s="9" t="s">
        <v>502</v>
      </c>
      <c r="C1365" s="9"/>
      <c r="D1365" s="9" t="s">
        <v>86</v>
      </c>
      <c r="E1365" s="38">
        <v>200000</v>
      </c>
      <c r="F1365" s="39">
        <v>16000000</v>
      </c>
      <c r="G1365" s="40">
        <v>80</v>
      </c>
      <c r="H1365" s="41">
        <v>-4.4605003881292168E-2</v>
      </c>
      <c r="I1365" s="40">
        <v>0.34667999999999999</v>
      </c>
      <c r="J1365" s="41">
        <v>4.3334999999999997E-3</v>
      </c>
      <c r="K1365" s="9" t="s">
        <v>2055</v>
      </c>
    </row>
    <row r="1366" spans="1:11" x14ac:dyDescent="0.2">
      <c r="A1366" s="9" t="s">
        <v>35</v>
      </c>
      <c r="B1366" s="9" t="s">
        <v>508</v>
      </c>
      <c r="C1366" s="9"/>
      <c r="D1366" s="9" t="s">
        <v>76</v>
      </c>
      <c r="E1366" s="38">
        <v>3732</v>
      </c>
      <c r="F1366" s="39">
        <v>767714.61</v>
      </c>
      <c r="G1366" s="40">
        <v>205.7113102893891</v>
      </c>
      <c r="H1366" s="41">
        <v>-0.1015749383007183</v>
      </c>
      <c r="I1366" s="40">
        <v>16.45659163987138</v>
      </c>
      <c r="J1366" s="41">
        <v>7.9998477559258638E-2</v>
      </c>
      <c r="K1366" s="9" t="s">
        <v>2056</v>
      </c>
    </row>
    <row r="1367" spans="1:11" x14ac:dyDescent="0.2">
      <c r="A1367" s="9" t="s">
        <v>35</v>
      </c>
      <c r="B1367" s="9" t="s">
        <v>301</v>
      </c>
      <c r="C1367" s="9"/>
      <c r="D1367" s="9" t="s">
        <v>82</v>
      </c>
      <c r="E1367" s="38">
        <v>4591</v>
      </c>
      <c r="F1367" s="39">
        <v>0</v>
      </c>
      <c r="G1367" s="40"/>
      <c r="H1367" s="41"/>
      <c r="I1367" s="40">
        <v>19.603572206490959</v>
      </c>
      <c r="J1367" s="41"/>
      <c r="K1367" s="9" t="s">
        <v>2057</v>
      </c>
    </row>
    <row r="1368" spans="1:11" x14ac:dyDescent="0.2">
      <c r="A1368" s="9" t="s">
        <v>35</v>
      </c>
      <c r="B1368" s="9" t="s">
        <v>708</v>
      </c>
      <c r="C1368" s="9"/>
      <c r="D1368" s="9" t="s">
        <v>80</v>
      </c>
      <c r="E1368" s="38">
        <v>899</v>
      </c>
      <c r="F1368" s="39">
        <v>283921.74</v>
      </c>
      <c r="G1368" s="40">
        <v>315.81951056729702</v>
      </c>
      <c r="H1368" s="41">
        <v>1.07748628042088E-2</v>
      </c>
      <c r="I1368" s="40">
        <v>63.176863181312569</v>
      </c>
      <c r="J1368" s="41">
        <v>0.2000410394779914</v>
      </c>
      <c r="K1368" s="9" t="s">
        <v>2058</v>
      </c>
    </row>
    <row r="1369" spans="1:11" x14ac:dyDescent="0.2">
      <c r="A1369" s="9" t="s">
        <v>35</v>
      </c>
      <c r="B1369" s="9" t="s">
        <v>2059</v>
      </c>
      <c r="C1369" s="9"/>
      <c r="D1369" s="9" t="s">
        <v>82</v>
      </c>
      <c r="E1369" s="38">
        <v>3204</v>
      </c>
      <c r="F1369" s="39">
        <v>2403366.2799999998</v>
      </c>
      <c r="G1369" s="40">
        <v>750.11431960049936</v>
      </c>
      <c r="H1369" s="41">
        <v>2.3479441650249538E-2</v>
      </c>
      <c r="I1369" s="40">
        <v>51.49812734082397</v>
      </c>
      <c r="J1369" s="41">
        <v>6.865370516890168E-2</v>
      </c>
      <c r="K1369" s="9" t="s">
        <v>2060</v>
      </c>
    </row>
    <row r="1370" spans="1:11" x14ac:dyDescent="0.2">
      <c r="A1370" s="9" t="s">
        <v>35</v>
      </c>
      <c r="B1370" s="9" t="s">
        <v>710</v>
      </c>
      <c r="C1370" s="9"/>
      <c r="D1370" s="9" t="s">
        <v>76</v>
      </c>
      <c r="E1370" s="38">
        <v>2000</v>
      </c>
      <c r="F1370" s="39">
        <v>603158.44999999995</v>
      </c>
      <c r="G1370" s="40">
        <v>301.57922500000001</v>
      </c>
      <c r="H1370" s="41">
        <v>-7.7697263058524452E-2</v>
      </c>
      <c r="I1370" s="40">
        <v>57.45</v>
      </c>
      <c r="J1370" s="41">
        <v>0.19049720682848759</v>
      </c>
      <c r="K1370" s="9" t="s">
        <v>2061</v>
      </c>
    </row>
    <row r="1371" spans="1:11" x14ac:dyDescent="0.2">
      <c r="A1371" s="9" t="s">
        <v>35</v>
      </c>
      <c r="B1371" s="9" t="s">
        <v>2062</v>
      </c>
      <c r="C1371" s="9"/>
      <c r="D1371" s="9" t="s">
        <v>77</v>
      </c>
      <c r="E1371" s="38">
        <v>19489</v>
      </c>
      <c r="F1371" s="39">
        <v>2205930.64</v>
      </c>
      <c r="G1371" s="40">
        <v>113.18849812714861</v>
      </c>
      <c r="H1371" s="41">
        <v>-8.3929276285941365E-2</v>
      </c>
      <c r="I1371" s="40">
        <v>16.41972394684181</v>
      </c>
      <c r="J1371" s="41">
        <v>0.14506530450114241</v>
      </c>
      <c r="K1371" s="9" t="s">
        <v>2063</v>
      </c>
    </row>
    <row r="1372" spans="1:11" x14ac:dyDescent="0.2">
      <c r="A1372" s="9" t="s">
        <v>35</v>
      </c>
      <c r="B1372" s="9" t="s">
        <v>1816</v>
      </c>
      <c r="C1372" s="9"/>
      <c r="D1372" s="9" t="s">
        <v>76</v>
      </c>
      <c r="E1372" s="38">
        <v>2789</v>
      </c>
      <c r="F1372" s="39">
        <v>1418496.38</v>
      </c>
      <c r="G1372" s="40">
        <v>508.60393689494441</v>
      </c>
      <c r="H1372" s="41">
        <v>0.24706841906908819</v>
      </c>
      <c r="I1372" s="40">
        <v>62.91717461455719</v>
      </c>
      <c r="J1372" s="41">
        <v>0.12370563821953499</v>
      </c>
      <c r="K1372" s="9" t="s">
        <v>2064</v>
      </c>
    </row>
    <row r="1373" spans="1:11" x14ac:dyDescent="0.2">
      <c r="A1373" s="9" t="s">
        <v>35</v>
      </c>
      <c r="B1373" s="9" t="s">
        <v>1149</v>
      </c>
      <c r="C1373" s="9"/>
      <c r="D1373" s="9" t="s">
        <v>76</v>
      </c>
      <c r="E1373" s="38">
        <v>15500</v>
      </c>
      <c r="F1373" s="39">
        <v>4881267.67</v>
      </c>
      <c r="G1373" s="40">
        <v>314.92049483870971</v>
      </c>
      <c r="H1373" s="41">
        <v>7.1450999578234503E-2</v>
      </c>
      <c r="I1373" s="40">
        <v>36.115354838709678</v>
      </c>
      <c r="J1373" s="41">
        <v>0.1146808652679356</v>
      </c>
      <c r="K1373" s="9" t="s">
        <v>2065</v>
      </c>
    </row>
    <row r="1374" spans="1:11" x14ac:dyDescent="0.2">
      <c r="A1374" s="9" t="s">
        <v>35</v>
      </c>
      <c r="B1374" s="9" t="s">
        <v>2066</v>
      </c>
      <c r="C1374" s="9"/>
      <c r="D1374" s="9" t="s">
        <v>80</v>
      </c>
      <c r="E1374" s="38">
        <v>400</v>
      </c>
      <c r="F1374" s="39">
        <v>452152.66</v>
      </c>
      <c r="G1374" s="40">
        <v>1130.38165</v>
      </c>
      <c r="H1374" s="41">
        <v>8.157671740108316E-2</v>
      </c>
      <c r="I1374" s="40">
        <v>155.19</v>
      </c>
      <c r="J1374" s="41">
        <v>0.13728991442845881</v>
      </c>
      <c r="K1374" s="9" t="s">
        <v>2067</v>
      </c>
    </row>
    <row r="1375" spans="1:11" x14ac:dyDescent="0.2">
      <c r="A1375" s="9" t="s">
        <v>35</v>
      </c>
      <c r="B1375" s="9" t="s">
        <v>317</v>
      </c>
      <c r="C1375" s="9"/>
      <c r="D1375" s="9" t="s">
        <v>76</v>
      </c>
      <c r="E1375" s="38">
        <v>3594</v>
      </c>
      <c r="F1375" s="39">
        <v>2371594.9</v>
      </c>
      <c r="G1375" s="40">
        <v>659.87615470228161</v>
      </c>
      <c r="H1375" s="41">
        <v>0.20896142904156501</v>
      </c>
      <c r="I1375" s="40">
        <v>71.38564273789649</v>
      </c>
      <c r="J1375" s="41">
        <v>0.1081803641928898</v>
      </c>
      <c r="K1375" s="9" t="s">
        <v>2068</v>
      </c>
    </row>
    <row r="1376" spans="1:11" x14ac:dyDescent="0.2">
      <c r="A1376" s="9" t="s">
        <v>35</v>
      </c>
      <c r="B1376" s="9" t="s">
        <v>715</v>
      </c>
      <c r="C1376" s="9"/>
      <c r="D1376" s="9" t="s">
        <v>76</v>
      </c>
      <c r="E1376" s="38">
        <v>5454</v>
      </c>
      <c r="F1376" s="39">
        <v>2002056.37</v>
      </c>
      <c r="G1376" s="40">
        <v>367.08037587092042</v>
      </c>
      <c r="H1376" s="41">
        <v>-0.20350655318214439</v>
      </c>
      <c r="I1376" s="40">
        <v>36.708470847084712</v>
      </c>
      <c r="J1376" s="41">
        <v>0.10000118028644719</v>
      </c>
      <c r="K1376" s="9" t="s">
        <v>2069</v>
      </c>
    </row>
    <row r="1377" spans="1:11" x14ac:dyDescent="0.2">
      <c r="A1377" s="9" t="s">
        <v>35</v>
      </c>
      <c r="B1377" s="9" t="s">
        <v>331</v>
      </c>
      <c r="C1377" s="9"/>
      <c r="D1377" s="9" t="s">
        <v>81</v>
      </c>
      <c r="E1377" s="38">
        <v>718</v>
      </c>
      <c r="F1377" s="39">
        <v>1527265.77</v>
      </c>
      <c r="G1377" s="40">
        <v>2127.111100278551</v>
      </c>
      <c r="H1377" s="41">
        <v>0.1074228520177561</v>
      </c>
      <c r="I1377" s="40">
        <v>178.8969359331476</v>
      </c>
      <c r="J1377" s="41">
        <v>8.4103240263153412E-2</v>
      </c>
      <c r="K1377" s="9" t="s">
        <v>2070</v>
      </c>
    </row>
    <row r="1378" spans="1:11" x14ac:dyDescent="0.2">
      <c r="A1378" s="9" t="s">
        <v>35</v>
      </c>
      <c r="B1378" s="9" t="s">
        <v>941</v>
      </c>
      <c r="C1378" s="9"/>
      <c r="D1378" s="9" t="s">
        <v>80</v>
      </c>
      <c r="E1378" s="38">
        <v>1264</v>
      </c>
      <c r="F1378" s="39">
        <v>478621.37</v>
      </c>
      <c r="G1378" s="40">
        <v>378.65614715189872</v>
      </c>
      <c r="H1378" s="41">
        <v>3.4257392913868229E-2</v>
      </c>
      <c r="I1378" s="40">
        <v>65.107594936708864</v>
      </c>
      <c r="J1378" s="41">
        <v>0.17194384780604341</v>
      </c>
      <c r="K1378" s="9" t="s">
        <v>2071</v>
      </c>
    </row>
    <row r="1379" spans="1:11" x14ac:dyDescent="0.2">
      <c r="A1379" s="9" t="s">
        <v>35</v>
      </c>
      <c r="B1379" s="9" t="s">
        <v>335</v>
      </c>
      <c r="C1379" s="9"/>
      <c r="D1379" s="9" t="s">
        <v>76</v>
      </c>
      <c r="E1379" s="38">
        <v>2112</v>
      </c>
      <c r="F1379" s="39">
        <v>897028</v>
      </c>
      <c r="G1379" s="40">
        <v>424.72916666666669</v>
      </c>
      <c r="H1379" s="41">
        <v>-0.1046436303421512</v>
      </c>
      <c r="I1379" s="40">
        <v>66.61363636363636</v>
      </c>
      <c r="J1379" s="41">
        <v>0.15683791364372129</v>
      </c>
      <c r="K1379" s="9" t="s">
        <v>2072</v>
      </c>
    </row>
    <row r="1380" spans="1:11" x14ac:dyDescent="0.2">
      <c r="A1380" s="9" t="s">
        <v>35</v>
      </c>
      <c r="B1380" s="9" t="s">
        <v>2073</v>
      </c>
      <c r="C1380" s="9"/>
      <c r="D1380" s="9" t="s">
        <v>85</v>
      </c>
      <c r="E1380" s="38">
        <v>100000</v>
      </c>
      <c r="F1380" s="39">
        <v>6087040.7800000003</v>
      </c>
      <c r="G1380" s="40">
        <v>60.870407800000002</v>
      </c>
      <c r="H1380" s="41">
        <v>0.25619681793960358</v>
      </c>
      <c r="I1380" s="40">
        <v>10.104480000000001</v>
      </c>
      <c r="J1380" s="41">
        <v>0.16599987358717841</v>
      </c>
      <c r="K1380" s="9" t="s">
        <v>2074</v>
      </c>
    </row>
    <row r="1381" spans="1:11" x14ac:dyDescent="0.2">
      <c r="A1381" s="9" t="s">
        <v>35</v>
      </c>
      <c r="B1381" s="9" t="s">
        <v>337</v>
      </c>
      <c r="C1381" s="9"/>
      <c r="D1381" s="9" t="s">
        <v>85</v>
      </c>
      <c r="E1381" s="38">
        <v>25000</v>
      </c>
      <c r="F1381" s="39">
        <v>0</v>
      </c>
      <c r="G1381" s="40"/>
      <c r="H1381" s="41"/>
      <c r="I1381" s="40">
        <v>24.769919999999999</v>
      </c>
      <c r="J1381" s="41"/>
      <c r="K1381" s="9" t="s">
        <v>2075</v>
      </c>
    </row>
    <row r="1382" spans="1:11" x14ac:dyDescent="0.2">
      <c r="A1382" s="9" t="s">
        <v>35</v>
      </c>
      <c r="B1382" s="9" t="s">
        <v>339</v>
      </c>
      <c r="C1382" s="9"/>
      <c r="D1382" s="9" t="s">
        <v>80</v>
      </c>
      <c r="E1382" s="38">
        <v>782</v>
      </c>
      <c r="F1382" s="39">
        <v>880513.07</v>
      </c>
      <c r="G1382" s="40">
        <v>1125.9757928388749</v>
      </c>
      <c r="H1382" s="41">
        <v>0.32268728331740842</v>
      </c>
      <c r="I1382" s="40">
        <v>161.0179028132992</v>
      </c>
      <c r="J1382" s="41">
        <v>0.14300298801924649</v>
      </c>
      <c r="K1382" s="9" t="s">
        <v>2076</v>
      </c>
    </row>
    <row r="1383" spans="1:11" x14ac:dyDescent="0.2">
      <c r="A1383" s="9" t="s">
        <v>35</v>
      </c>
      <c r="B1383" s="9" t="s">
        <v>1296</v>
      </c>
      <c r="C1383" s="9"/>
      <c r="D1383" s="9" t="s">
        <v>82</v>
      </c>
      <c r="E1383" s="38">
        <v>1261</v>
      </c>
      <c r="F1383" s="39">
        <v>302012.68</v>
      </c>
      <c r="G1383" s="40">
        <v>239.5025218080888</v>
      </c>
      <c r="H1383" s="41">
        <v>-0.20407364360472879</v>
      </c>
      <c r="I1383" s="40">
        <v>31.660586835844569</v>
      </c>
      <c r="J1383" s="41">
        <v>0.1321931251363353</v>
      </c>
      <c r="K1383" s="9" t="s">
        <v>2077</v>
      </c>
    </row>
    <row r="1384" spans="1:11" x14ac:dyDescent="0.2">
      <c r="A1384" s="9" t="s">
        <v>35</v>
      </c>
      <c r="B1384" s="9" t="s">
        <v>355</v>
      </c>
      <c r="C1384" s="9"/>
      <c r="D1384" s="9" t="s">
        <v>82</v>
      </c>
      <c r="E1384" s="38">
        <v>1911</v>
      </c>
      <c r="F1384" s="39">
        <v>1859089.57</v>
      </c>
      <c r="G1384" s="40">
        <v>972.83598639455784</v>
      </c>
      <c r="H1384" s="41"/>
      <c r="I1384" s="40">
        <v>113.73940345368921</v>
      </c>
      <c r="J1384" s="41">
        <v>0.1169152920372739</v>
      </c>
      <c r="K1384" s="9" t="s">
        <v>2078</v>
      </c>
    </row>
    <row r="1385" spans="1:11" x14ac:dyDescent="0.2">
      <c r="A1385" s="9" t="s">
        <v>35</v>
      </c>
      <c r="B1385" s="9" t="s">
        <v>538</v>
      </c>
      <c r="C1385" s="9"/>
      <c r="D1385" s="9" t="s">
        <v>80</v>
      </c>
      <c r="E1385" s="38">
        <v>1406</v>
      </c>
      <c r="F1385" s="39">
        <v>1314103.95</v>
      </c>
      <c r="G1385" s="40">
        <v>934.64007823613088</v>
      </c>
      <c r="H1385" s="41">
        <v>-3.2850661934123289E-2</v>
      </c>
      <c r="I1385" s="40">
        <v>108.0682788051209</v>
      </c>
      <c r="J1385" s="41">
        <v>0.1156255561061208</v>
      </c>
      <c r="K1385" s="9" t="s">
        <v>2079</v>
      </c>
    </row>
    <row r="1386" spans="1:11" x14ac:dyDescent="0.2">
      <c r="A1386" s="9" t="s">
        <v>35</v>
      </c>
      <c r="B1386" s="9" t="s">
        <v>357</v>
      </c>
      <c r="C1386" s="9"/>
      <c r="D1386" s="9" t="s">
        <v>76</v>
      </c>
      <c r="E1386" s="38">
        <v>1232</v>
      </c>
      <c r="F1386" s="39">
        <v>689750.95</v>
      </c>
      <c r="G1386" s="40">
        <v>559.86278409090903</v>
      </c>
      <c r="H1386" s="41">
        <v>-8.0900327612110662E-2</v>
      </c>
      <c r="I1386" s="40">
        <v>114.75</v>
      </c>
      <c r="J1386" s="41">
        <v>0.20496093553767489</v>
      </c>
      <c r="K1386" s="9" t="s">
        <v>2080</v>
      </c>
    </row>
    <row r="1387" spans="1:11" x14ac:dyDescent="0.2">
      <c r="A1387" s="9" t="s">
        <v>35</v>
      </c>
      <c r="B1387" s="9" t="s">
        <v>731</v>
      </c>
      <c r="C1387" s="9"/>
      <c r="D1387" s="9" t="s">
        <v>78</v>
      </c>
      <c r="E1387" s="38">
        <v>860</v>
      </c>
      <c r="F1387" s="39">
        <v>510387.13</v>
      </c>
      <c r="G1387" s="40">
        <v>593.47340697674417</v>
      </c>
      <c r="H1387" s="41">
        <v>-4.8537552852564281E-2</v>
      </c>
      <c r="I1387" s="40">
        <v>154.07441860465121</v>
      </c>
      <c r="J1387" s="41">
        <v>0.25961469678908239</v>
      </c>
      <c r="K1387" s="9" t="s">
        <v>2081</v>
      </c>
    </row>
    <row r="1388" spans="1:11" x14ac:dyDescent="0.2">
      <c r="A1388" s="9" t="s">
        <v>35</v>
      </c>
      <c r="B1388" s="9" t="s">
        <v>733</v>
      </c>
      <c r="C1388" s="9"/>
      <c r="D1388" s="9" t="s">
        <v>80</v>
      </c>
      <c r="E1388" s="38">
        <v>619</v>
      </c>
      <c r="F1388" s="39">
        <v>1002834.15</v>
      </c>
      <c r="G1388" s="40">
        <v>1620.0874798061391</v>
      </c>
      <c r="H1388" s="41">
        <v>0.14219084470678861</v>
      </c>
      <c r="I1388" s="40">
        <v>170.32633279483039</v>
      </c>
      <c r="J1388" s="41">
        <v>0.1051340343764719</v>
      </c>
      <c r="K1388" s="9" t="s">
        <v>2082</v>
      </c>
    </row>
    <row r="1389" spans="1:11" x14ac:dyDescent="0.2">
      <c r="A1389" s="9" t="s">
        <v>35</v>
      </c>
      <c r="B1389" s="9" t="s">
        <v>369</v>
      </c>
      <c r="C1389" s="9"/>
      <c r="D1389" s="9" t="s">
        <v>84</v>
      </c>
      <c r="E1389" s="38">
        <v>2190</v>
      </c>
      <c r="F1389" s="39">
        <v>850463</v>
      </c>
      <c r="G1389" s="40">
        <v>388.3392694063927</v>
      </c>
      <c r="H1389" s="41"/>
      <c r="I1389" s="40">
        <v>124.6630136986301</v>
      </c>
      <c r="J1389" s="41">
        <v>0.32101572907933679</v>
      </c>
      <c r="K1389" s="9" t="s">
        <v>2083</v>
      </c>
    </row>
    <row r="1390" spans="1:11" x14ac:dyDescent="0.2">
      <c r="A1390" s="9" t="s">
        <v>35</v>
      </c>
      <c r="B1390" s="9" t="s">
        <v>565</v>
      </c>
      <c r="C1390" s="9"/>
      <c r="D1390" s="9" t="s">
        <v>76</v>
      </c>
      <c r="E1390" s="38">
        <v>8716</v>
      </c>
      <c r="F1390" s="39">
        <v>2077722.35</v>
      </c>
      <c r="G1390" s="40">
        <v>238.38026044056909</v>
      </c>
      <c r="H1390" s="41">
        <v>6.735745223915747E-2</v>
      </c>
      <c r="I1390" s="40">
        <v>16.68655346489215</v>
      </c>
      <c r="J1390" s="41">
        <v>6.9999728308260248E-2</v>
      </c>
      <c r="K1390" s="9" t="s">
        <v>2084</v>
      </c>
    </row>
    <row r="1391" spans="1:11" x14ac:dyDescent="0.2">
      <c r="A1391" s="9" t="s">
        <v>35</v>
      </c>
      <c r="B1391" s="9" t="s">
        <v>384</v>
      </c>
      <c r="C1391" s="9"/>
      <c r="D1391" s="9" t="s">
        <v>77</v>
      </c>
      <c r="E1391" s="38">
        <v>3000</v>
      </c>
      <c r="F1391" s="39">
        <v>1098210.71</v>
      </c>
      <c r="G1391" s="40">
        <v>366.07023666666657</v>
      </c>
      <c r="H1391" s="41">
        <v>-0.26104720956599042</v>
      </c>
      <c r="I1391" s="40">
        <v>66.567999999999998</v>
      </c>
      <c r="J1391" s="41">
        <v>0.18184488475804431</v>
      </c>
      <c r="K1391" s="9" t="s">
        <v>2085</v>
      </c>
    </row>
    <row r="1392" spans="1:11" x14ac:dyDescent="0.2">
      <c r="A1392" s="9" t="s">
        <v>35</v>
      </c>
      <c r="B1392" s="9" t="s">
        <v>386</v>
      </c>
      <c r="C1392" s="9"/>
      <c r="D1392" s="9" t="s">
        <v>84</v>
      </c>
      <c r="E1392" s="38">
        <v>2113</v>
      </c>
      <c r="F1392" s="39">
        <v>0</v>
      </c>
      <c r="G1392" s="40"/>
      <c r="H1392" s="41"/>
      <c r="I1392" s="40">
        <v>81.484145764316139</v>
      </c>
      <c r="J1392" s="41"/>
      <c r="K1392" s="9" t="s">
        <v>2086</v>
      </c>
    </row>
    <row r="1393" spans="1:11" x14ac:dyDescent="0.2">
      <c r="A1393" s="9" t="s">
        <v>35</v>
      </c>
      <c r="B1393" s="9" t="s">
        <v>388</v>
      </c>
      <c r="C1393" s="9"/>
      <c r="D1393" s="9" t="s">
        <v>76</v>
      </c>
      <c r="E1393" s="38">
        <v>9216</v>
      </c>
      <c r="F1393" s="39">
        <v>3259334.52</v>
      </c>
      <c r="G1393" s="40">
        <v>353.66042968750003</v>
      </c>
      <c r="H1393" s="41">
        <v>-0.1090634618475564</v>
      </c>
      <c r="I1393" s="40">
        <v>63.444010416666657</v>
      </c>
      <c r="J1393" s="41">
        <v>0.17939244849282909</v>
      </c>
      <c r="K1393" s="9" t="s">
        <v>2087</v>
      </c>
    </row>
    <row r="1394" spans="1:11" x14ac:dyDescent="0.2">
      <c r="A1394" s="9" t="s">
        <v>35</v>
      </c>
      <c r="B1394" s="9" t="s">
        <v>2088</v>
      </c>
      <c r="C1394" s="9"/>
      <c r="D1394" s="9" t="s">
        <v>81</v>
      </c>
      <c r="E1394" s="38">
        <v>920</v>
      </c>
      <c r="F1394" s="39">
        <v>1468635.45</v>
      </c>
      <c r="G1394" s="40">
        <v>1596.342880434783</v>
      </c>
      <c r="H1394" s="41">
        <v>0.56122769618264368</v>
      </c>
      <c r="I1394" s="40">
        <v>141.4173913043478</v>
      </c>
      <c r="J1394" s="41">
        <v>8.8588355946330993E-2</v>
      </c>
      <c r="K1394" s="9" t="s">
        <v>2089</v>
      </c>
    </row>
    <row r="1395" spans="1:11" x14ac:dyDescent="0.2">
      <c r="A1395" s="9" t="s">
        <v>35</v>
      </c>
      <c r="B1395" s="9" t="s">
        <v>392</v>
      </c>
      <c r="C1395" s="9"/>
      <c r="D1395" s="9" t="s">
        <v>76</v>
      </c>
      <c r="E1395" s="38">
        <v>4500</v>
      </c>
      <c r="F1395" s="39">
        <v>1912485.09</v>
      </c>
      <c r="G1395" s="40">
        <v>424.99668666666668</v>
      </c>
      <c r="H1395" s="41">
        <v>-9.1034954469232984E-3</v>
      </c>
      <c r="I1395" s="40">
        <v>74.74933333333334</v>
      </c>
      <c r="J1395" s="41">
        <v>0.17588215550480449</v>
      </c>
      <c r="K1395" s="9" t="s">
        <v>2090</v>
      </c>
    </row>
    <row r="1396" spans="1:11" x14ac:dyDescent="0.2">
      <c r="A1396" s="9" t="s">
        <v>35</v>
      </c>
      <c r="B1396" s="9" t="s">
        <v>574</v>
      </c>
      <c r="C1396" s="9"/>
      <c r="D1396" s="9" t="s">
        <v>82</v>
      </c>
      <c r="E1396" s="38">
        <v>3548</v>
      </c>
      <c r="F1396" s="39">
        <v>1395387</v>
      </c>
      <c r="G1396" s="40">
        <v>393.28833145434049</v>
      </c>
      <c r="H1396" s="41">
        <v>3.0940318830536041E-2</v>
      </c>
      <c r="I1396" s="40">
        <v>97.329199549041718</v>
      </c>
      <c r="J1396" s="41">
        <v>0.24747543154694721</v>
      </c>
      <c r="K1396" s="9" t="s">
        <v>2091</v>
      </c>
    </row>
    <row r="1397" spans="1:11" x14ac:dyDescent="0.2">
      <c r="A1397" s="9" t="s">
        <v>35</v>
      </c>
      <c r="B1397" s="9" t="s">
        <v>579</v>
      </c>
      <c r="C1397" s="9"/>
      <c r="D1397" s="9" t="s">
        <v>76</v>
      </c>
      <c r="E1397" s="38">
        <v>33376</v>
      </c>
      <c r="F1397" s="39">
        <v>5953794.6600000001</v>
      </c>
      <c r="G1397" s="40">
        <v>178.38550635186959</v>
      </c>
      <c r="H1397" s="41">
        <v>-8.3984752795759801E-2</v>
      </c>
      <c r="I1397" s="40">
        <v>27.05680728667306</v>
      </c>
      <c r="J1397" s="41">
        <v>0.15167604050355341</v>
      </c>
      <c r="K1397" s="9" t="s">
        <v>2092</v>
      </c>
    </row>
    <row r="1398" spans="1:11" x14ac:dyDescent="0.2">
      <c r="A1398" s="9" t="s">
        <v>35</v>
      </c>
      <c r="B1398" s="9" t="s">
        <v>398</v>
      </c>
      <c r="C1398" s="9"/>
      <c r="D1398" s="9" t="s">
        <v>76</v>
      </c>
      <c r="E1398" s="38">
        <v>3720</v>
      </c>
      <c r="F1398" s="39">
        <v>1472014.73</v>
      </c>
      <c r="G1398" s="40">
        <v>395.70288440860207</v>
      </c>
      <c r="H1398" s="41"/>
      <c r="I1398" s="40">
        <v>59.861290322580643</v>
      </c>
      <c r="J1398" s="41">
        <v>0.15127837749286649</v>
      </c>
      <c r="K1398" s="9" t="s">
        <v>2093</v>
      </c>
    </row>
    <row r="1399" spans="1:11" x14ac:dyDescent="0.2">
      <c r="A1399" s="9" t="s">
        <v>52</v>
      </c>
      <c r="B1399" s="9" t="s">
        <v>2094</v>
      </c>
      <c r="C1399" s="9" t="s">
        <v>81</v>
      </c>
      <c r="D1399" s="9" t="s">
        <v>81</v>
      </c>
      <c r="E1399" s="38">
        <v>6920</v>
      </c>
      <c r="F1399" s="39">
        <v>1240370</v>
      </c>
      <c r="G1399" s="40">
        <v>179.24421965317919</v>
      </c>
      <c r="H1399" s="41"/>
      <c r="I1399" s="40">
        <v>47.454335260115613</v>
      </c>
      <c r="J1399" s="41">
        <v>0.26474680941976991</v>
      </c>
      <c r="K1399" s="9" t="s">
        <v>2095</v>
      </c>
    </row>
    <row r="1400" spans="1:11" x14ac:dyDescent="0.2">
      <c r="A1400" s="9" t="s">
        <v>52</v>
      </c>
      <c r="B1400" s="9" t="s">
        <v>1988</v>
      </c>
      <c r="C1400" s="9" t="s">
        <v>87</v>
      </c>
      <c r="D1400" s="9" t="s">
        <v>85</v>
      </c>
      <c r="E1400" s="38">
        <v>10947</v>
      </c>
      <c r="F1400" s="39">
        <v>1127746</v>
      </c>
      <c r="G1400" s="40">
        <v>103.0187265917603</v>
      </c>
      <c r="H1400" s="41"/>
      <c r="I1400" s="40">
        <v>28.61175116470266</v>
      </c>
      <c r="J1400" s="41">
        <v>0.27773349672709979</v>
      </c>
      <c r="K1400" s="9" t="s">
        <v>2096</v>
      </c>
    </row>
    <row r="1401" spans="1:11" x14ac:dyDescent="0.2">
      <c r="A1401" s="9" t="s">
        <v>52</v>
      </c>
      <c r="B1401" s="9" t="s">
        <v>164</v>
      </c>
      <c r="C1401" s="9"/>
      <c r="D1401" s="9" t="s">
        <v>76</v>
      </c>
      <c r="E1401" s="38">
        <v>4252</v>
      </c>
      <c r="F1401" s="39">
        <v>2584377.7200000002</v>
      </c>
      <c r="G1401" s="40">
        <v>607.80285042333026</v>
      </c>
      <c r="H1401" s="41"/>
      <c r="I1401" s="40">
        <v>88.891815616180622</v>
      </c>
      <c r="J1401" s="41">
        <v>0.1462510673555876</v>
      </c>
      <c r="K1401" s="9" t="s">
        <v>2097</v>
      </c>
    </row>
    <row r="1402" spans="1:11" x14ac:dyDescent="0.2">
      <c r="A1402" s="9" t="s">
        <v>52</v>
      </c>
      <c r="B1402" s="9" t="s">
        <v>166</v>
      </c>
      <c r="C1402" s="9"/>
      <c r="D1402" s="9" t="s">
        <v>76</v>
      </c>
      <c r="E1402" s="38">
        <v>3844</v>
      </c>
      <c r="F1402" s="39">
        <v>1303149.77</v>
      </c>
      <c r="G1402" s="40">
        <v>339.00878511966698</v>
      </c>
      <c r="H1402" s="41"/>
      <c r="I1402" s="40">
        <v>32.258064516129032</v>
      </c>
      <c r="J1402" s="41">
        <v>9.5154066596658343E-2</v>
      </c>
      <c r="K1402" s="9" t="s">
        <v>2098</v>
      </c>
    </row>
    <row r="1403" spans="1:11" x14ac:dyDescent="0.2">
      <c r="A1403" s="9" t="s">
        <v>52</v>
      </c>
      <c r="B1403" s="9" t="s">
        <v>2099</v>
      </c>
      <c r="C1403" s="9"/>
      <c r="D1403" s="9" t="s">
        <v>76</v>
      </c>
      <c r="E1403" s="38">
        <v>8000</v>
      </c>
      <c r="F1403" s="39">
        <v>1105300.92</v>
      </c>
      <c r="G1403" s="40">
        <v>138.16261499999999</v>
      </c>
      <c r="H1403" s="41"/>
      <c r="I1403" s="40">
        <v>44.422249999999998</v>
      </c>
      <c r="J1403" s="41">
        <v>0.32152149117907192</v>
      </c>
      <c r="K1403" s="9" t="s">
        <v>2100</v>
      </c>
    </row>
    <row r="1404" spans="1:11" x14ac:dyDescent="0.2">
      <c r="A1404" s="9" t="s">
        <v>52</v>
      </c>
      <c r="B1404" s="9" t="s">
        <v>2101</v>
      </c>
      <c r="C1404" s="9"/>
      <c r="D1404" s="9" t="s">
        <v>81</v>
      </c>
      <c r="E1404" s="38">
        <v>4629</v>
      </c>
      <c r="F1404" s="39">
        <v>2412387.2599999998</v>
      </c>
      <c r="G1404" s="40">
        <v>521.14652408727579</v>
      </c>
      <c r="H1404" s="41"/>
      <c r="I1404" s="40">
        <v>50.875783106502482</v>
      </c>
      <c r="J1404" s="41">
        <v>9.7622800412235644E-2</v>
      </c>
      <c r="K1404" s="9" t="s">
        <v>2102</v>
      </c>
    </row>
    <row r="1405" spans="1:11" x14ac:dyDescent="0.2">
      <c r="A1405" s="9" t="s">
        <v>52</v>
      </c>
      <c r="B1405" s="9" t="s">
        <v>169</v>
      </c>
      <c r="C1405" s="9"/>
      <c r="D1405" s="9" t="s">
        <v>76</v>
      </c>
      <c r="E1405" s="38">
        <v>10759</v>
      </c>
      <c r="F1405" s="39">
        <v>4258843.32</v>
      </c>
      <c r="G1405" s="40">
        <v>395.84007063853522</v>
      </c>
      <c r="H1405" s="41"/>
      <c r="I1405" s="40">
        <v>76.943953899061256</v>
      </c>
      <c r="J1405" s="41">
        <v>0.1943814171590609</v>
      </c>
      <c r="K1405" s="9" t="s">
        <v>2103</v>
      </c>
    </row>
    <row r="1406" spans="1:11" x14ac:dyDescent="0.2">
      <c r="A1406" s="9" t="s">
        <v>52</v>
      </c>
      <c r="B1406" s="9" t="s">
        <v>406</v>
      </c>
      <c r="C1406" s="9"/>
      <c r="D1406" s="9" t="s">
        <v>76</v>
      </c>
      <c r="E1406" s="38">
        <v>6521</v>
      </c>
      <c r="F1406" s="39">
        <v>753576.53</v>
      </c>
      <c r="G1406" s="40">
        <v>115.5614982364668</v>
      </c>
      <c r="H1406" s="41"/>
      <c r="I1406" s="40">
        <v>11.691458365281401</v>
      </c>
      <c r="J1406" s="41">
        <v>0.101170879087755</v>
      </c>
      <c r="K1406" s="9" t="s">
        <v>2104</v>
      </c>
    </row>
    <row r="1407" spans="1:11" x14ac:dyDescent="0.2">
      <c r="A1407" s="9" t="s">
        <v>52</v>
      </c>
      <c r="B1407" s="9" t="s">
        <v>582</v>
      </c>
      <c r="C1407" s="9"/>
      <c r="D1407" s="9" t="s">
        <v>76</v>
      </c>
      <c r="E1407" s="38">
        <v>7311</v>
      </c>
      <c r="F1407" s="39">
        <v>1447509.79</v>
      </c>
      <c r="G1407" s="40">
        <v>197.99067022295171</v>
      </c>
      <c r="H1407" s="41"/>
      <c r="I1407" s="40">
        <v>13.674052797154969</v>
      </c>
      <c r="J1407" s="41">
        <v>6.9064127020515689E-2</v>
      </c>
      <c r="K1407" s="9" t="s">
        <v>2105</v>
      </c>
    </row>
    <row r="1408" spans="1:11" x14ac:dyDescent="0.2">
      <c r="A1408" s="9" t="s">
        <v>52</v>
      </c>
      <c r="B1408" s="9" t="s">
        <v>1992</v>
      </c>
      <c r="C1408" s="9"/>
      <c r="D1408" s="9" t="s">
        <v>86</v>
      </c>
      <c r="E1408" s="38">
        <v>55702</v>
      </c>
      <c r="F1408" s="39">
        <v>3070786</v>
      </c>
      <c r="G1408" s="40">
        <v>55.128828408315677</v>
      </c>
      <c r="H1408" s="41"/>
      <c r="I1408" s="40">
        <v>23.147371369071131</v>
      </c>
      <c r="J1408" s="41">
        <v>0.41987780327251722</v>
      </c>
      <c r="K1408" s="9" t="s">
        <v>2106</v>
      </c>
    </row>
    <row r="1409" spans="1:11" x14ac:dyDescent="0.2">
      <c r="A1409" s="9" t="s">
        <v>52</v>
      </c>
      <c r="B1409" s="9" t="s">
        <v>87</v>
      </c>
      <c r="C1409" s="9"/>
      <c r="D1409" s="9" t="s">
        <v>87</v>
      </c>
      <c r="E1409" s="38">
        <v>9221</v>
      </c>
      <c r="F1409" s="39">
        <v>43492776</v>
      </c>
      <c r="G1409" s="40">
        <v>4716.7092506235767</v>
      </c>
      <c r="H1409" s="41"/>
      <c r="I1409" s="40">
        <v>80.983624335755337</v>
      </c>
      <c r="J1409" s="41">
        <v>1.7169517990757822E-2</v>
      </c>
      <c r="K1409" s="9" t="s">
        <v>2107</v>
      </c>
    </row>
    <row r="1410" spans="1:11" x14ac:dyDescent="0.2">
      <c r="A1410" s="9" t="s">
        <v>52</v>
      </c>
      <c r="B1410" s="9" t="s">
        <v>411</v>
      </c>
      <c r="C1410" s="9"/>
      <c r="D1410" s="9" t="s">
        <v>76</v>
      </c>
      <c r="E1410" s="38">
        <v>6907</v>
      </c>
      <c r="F1410" s="39">
        <v>307236</v>
      </c>
      <c r="G1410" s="40">
        <v>44.481830027508323</v>
      </c>
      <c r="H1410" s="41"/>
      <c r="I1410" s="40">
        <v>4.5285941798175759</v>
      </c>
      <c r="J1410" s="41">
        <v>0.1018077308648726</v>
      </c>
      <c r="K1410" s="9" t="s">
        <v>2108</v>
      </c>
    </row>
    <row r="1411" spans="1:11" x14ac:dyDescent="0.2">
      <c r="A1411" s="9" t="s">
        <v>52</v>
      </c>
      <c r="B1411" s="9" t="s">
        <v>2109</v>
      </c>
      <c r="C1411" s="9"/>
      <c r="D1411" s="9" t="s">
        <v>86</v>
      </c>
      <c r="E1411" s="38">
        <v>88464</v>
      </c>
      <c r="F1411" s="39">
        <v>6000000</v>
      </c>
      <c r="G1411" s="40">
        <v>67.824199674443847</v>
      </c>
      <c r="H1411" s="41"/>
      <c r="I1411" s="40">
        <v>9.6047544763971793</v>
      </c>
      <c r="J1411" s="41">
        <v>0.1416125</v>
      </c>
      <c r="K1411" s="9" t="s">
        <v>2110</v>
      </c>
    </row>
    <row r="1412" spans="1:11" x14ac:dyDescent="0.2">
      <c r="A1412" s="9" t="s">
        <v>52</v>
      </c>
      <c r="B1412" s="9" t="s">
        <v>171</v>
      </c>
      <c r="C1412" s="9"/>
      <c r="D1412" s="9" t="s">
        <v>84</v>
      </c>
      <c r="E1412" s="38">
        <v>2500</v>
      </c>
      <c r="F1412" s="39">
        <v>0</v>
      </c>
      <c r="G1412" s="40"/>
      <c r="H1412" s="41"/>
      <c r="I1412" s="40">
        <v>148.85839999999999</v>
      </c>
      <c r="J1412" s="41"/>
      <c r="K1412" s="9" t="s">
        <v>2111</v>
      </c>
    </row>
    <row r="1413" spans="1:11" x14ac:dyDescent="0.2">
      <c r="A1413" s="9" t="s">
        <v>52</v>
      </c>
      <c r="B1413" s="9" t="s">
        <v>173</v>
      </c>
      <c r="C1413" s="9"/>
      <c r="D1413" s="9" t="s">
        <v>80</v>
      </c>
      <c r="E1413" s="38">
        <v>726</v>
      </c>
      <c r="F1413" s="39">
        <v>751481.89</v>
      </c>
      <c r="G1413" s="40">
        <v>1035.099022038567</v>
      </c>
      <c r="H1413" s="41"/>
      <c r="I1413" s="40">
        <v>211.42561983471069</v>
      </c>
      <c r="J1413" s="41">
        <v>0.20425641927312449</v>
      </c>
      <c r="K1413" s="9" t="s">
        <v>2112</v>
      </c>
    </row>
    <row r="1414" spans="1:11" x14ac:dyDescent="0.2">
      <c r="A1414" s="9" t="s">
        <v>52</v>
      </c>
      <c r="B1414" s="9" t="s">
        <v>173</v>
      </c>
      <c r="C1414" s="9"/>
      <c r="D1414" s="9" t="s">
        <v>80</v>
      </c>
      <c r="E1414" s="38">
        <v>200</v>
      </c>
      <c r="F1414" s="39">
        <v>748420.75</v>
      </c>
      <c r="G1414" s="40">
        <v>3742.1037500000002</v>
      </c>
      <c r="H1414" s="41"/>
      <c r="I1414" s="40">
        <v>761.02499999999998</v>
      </c>
      <c r="J1414" s="41">
        <v>0.20336822569390281</v>
      </c>
      <c r="K1414" s="9" t="s">
        <v>2112</v>
      </c>
    </row>
    <row r="1415" spans="1:11" x14ac:dyDescent="0.2">
      <c r="A1415" s="9" t="s">
        <v>52</v>
      </c>
      <c r="B1415" s="9" t="s">
        <v>175</v>
      </c>
      <c r="C1415" s="9"/>
      <c r="D1415" s="9" t="s">
        <v>78</v>
      </c>
      <c r="E1415" s="38">
        <v>269</v>
      </c>
      <c r="F1415" s="39">
        <v>1261732.3</v>
      </c>
      <c r="G1415" s="40">
        <v>4690.4546468401486</v>
      </c>
      <c r="H1415" s="41"/>
      <c r="I1415" s="40">
        <v>748.16728624535313</v>
      </c>
      <c r="J1415" s="41">
        <v>0.15950847893804421</v>
      </c>
      <c r="K1415" s="9" t="s">
        <v>2113</v>
      </c>
    </row>
    <row r="1416" spans="1:11" x14ac:dyDescent="0.2">
      <c r="A1416" s="9" t="s">
        <v>52</v>
      </c>
      <c r="B1416" s="9" t="s">
        <v>175</v>
      </c>
      <c r="C1416" s="9"/>
      <c r="D1416" s="9" t="s">
        <v>78</v>
      </c>
      <c r="E1416" s="38">
        <v>160</v>
      </c>
      <c r="F1416" s="39">
        <v>1012253.78</v>
      </c>
      <c r="G1416" s="40">
        <v>6326.5861249999998</v>
      </c>
      <c r="H1416" s="41"/>
      <c r="I1416" s="40">
        <v>867.79375000000005</v>
      </c>
      <c r="J1416" s="41">
        <v>0.13716619561549079</v>
      </c>
      <c r="K1416" s="9" t="s">
        <v>2113</v>
      </c>
    </row>
    <row r="1417" spans="1:11" x14ac:dyDescent="0.2">
      <c r="A1417" s="9" t="s">
        <v>52</v>
      </c>
      <c r="B1417" s="9" t="s">
        <v>179</v>
      </c>
      <c r="C1417" s="9"/>
      <c r="D1417" s="9" t="s">
        <v>79</v>
      </c>
      <c r="E1417" s="38">
        <v>5221</v>
      </c>
      <c r="F1417" s="39">
        <v>3434789</v>
      </c>
      <c r="G1417" s="40">
        <v>657.87952499521168</v>
      </c>
      <c r="H1417" s="41"/>
      <c r="I1417" s="40">
        <v>82.691438421758278</v>
      </c>
      <c r="J1417" s="41">
        <v>0.12569389269617429</v>
      </c>
      <c r="K1417" s="9" t="s">
        <v>2114</v>
      </c>
    </row>
    <row r="1418" spans="1:11" x14ac:dyDescent="0.2">
      <c r="A1418" s="9" t="s">
        <v>52</v>
      </c>
      <c r="B1418" s="9" t="s">
        <v>2115</v>
      </c>
      <c r="C1418" s="9"/>
      <c r="D1418" s="9" t="s">
        <v>80</v>
      </c>
      <c r="E1418" s="38">
        <v>1468</v>
      </c>
      <c r="F1418" s="39">
        <v>614108.09</v>
      </c>
      <c r="G1418" s="40">
        <v>418.32976158038139</v>
      </c>
      <c r="H1418" s="41"/>
      <c r="I1418" s="40">
        <v>39.576784741144422</v>
      </c>
      <c r="J1418" s="41">
        <v>9.4606667695910029E-2</v>
      </c>
      <c r="K1418" s="9" t="s">
        <v>2116</v>
      </c>
    </row>
    <row r="1419" spans="1:11" x14ac:dyDescent="0.2">
      <c r="A1419" s="9" t="s">
        <v>52</v>
      </c>
      <c r="B1419" s="9" t="s">
        <v>2001</v>
      </c>
      <c r="C1419" s="9"/>
      <c r="D1419" s="9" t="s">
        <v>85</v>
      </c>
      <c r="E1419" s="38">
        <v>22291</v>
      </c>
      <c r="F1419" s="39">
        <v>823510.69</v>
      </c>
      <c r="G1419" s="40">
        <v>36.943640482706023</v>
      </c>
      <c r="H1419" s="41"/>
      <c r="I1419" s="40">
        <v>16.822933022295999</v>
      </c>
      <c r="J1419" s="41">
        <v>0.45536749498661638</v>
      </c>
      <c r="K1419" s="9" t="s">
        <v>2117</v>
      </c>
    </row>
    <row r="1420" spans="1:11" x14ac:dyDescent="0.2">
      <c r="A1420" s="9" t="s">
        <v>52</v>
      </c>
      <c r="B1420" s="9" t="s">
        <v>187</v>
      </c>
      <c r="C1420" s="9"/>
      <c r="D1420" s="9" t="s">
        <v>76</v>
      </c>
      <c r="E1420" s="38">
        <v>2255</v>
      </c>
      <c r="F1420" s="39">
        <v>862486.06</v>
      </c>
      <c r="G1420" s="40">
        <v>382.47718847006661</v>
      </c>
      <c r="H1420" s="41"/>
      <c r="I1420" s="40">
        <v>34.589800443458977</v>
      </c>
      <c r="J1420" s="41">
        <v>9.0436244268110255E-2</v>
      </c>
      <c r="K1420" s="9" t="s">
        <v>2118</v>
      </c>
    </row>
    <row r="1421" spans="1:11" x14ac:dyDescent="0.2">
      <c r="A1421" s="9" t="s">
        <v>52</v>
      </c>
      <c r="B1421" s="9" t="s">
        <v>1758</v>
      </c>
      <c r="C1421" s="9"/>
      <c r="D1421" s="9" t="s">
        <v>76</v>
      </c>
      <c r="E1421" s="38">
        <v>5628</v>
      </c>
      <c r="F1421" s="39">
        <v>1214970.69</v>
      </c>
      <c r="G1421" s="40">
        <v>215.87965351812369</v>
      </c>
      <c r="H1421" s="41"/>
      <c r="I1421" s="40">
        <v>12.93096066098081</v>
      </c>
      <c r="J1421" s="41">
        <v>5.989893188287531E-2</v>
      </c>
      <c r="K1421" s="9" t="s">
        <v>2119</v>
      </c>
    </row>
    <row r="1422" spans="1:11" x14ac:dyDescent="0.2">
      <c r="A1422" s="9" t="s">
        <v>52</v>
      </c>
      <c r="B1422" s="9" t="s">
        <v>191</v>
      </c>
      <c r="C1422" s="9"/>
      <c r="D1422" s="9" t="s">
        <v>76</v>
      </c>
      <c r="E1422" s="38">
        <v>4884</v>
      </c>
      <c r="F1422" s="39">
        <v>2305814.4900000002</v>
      </c>
      <c r="G1422" s="40">
        <v>472.11598894348901</v>
      </c>
      <c r="H1422" s="41"/>
      <c r="I1422" s="40">
        <v>61.874078624078621</v>
      </c>
      <c r="J1422" s="41">
        <v>0.13105694378735561</v>
      </c>
      <c r="K1422" s="9" t="s">
        <v>2120</v>
      </c>
    </row>
    <row r="1423" spans="1:11" x14ac:dyDescent="0.2">
      <c r="A1423" s="9" t="s">
        <v>52</v>
      </c>
      <c r="B1423" s="9" t="s">
        <v>193</v>
      </c>
      <c r="C1423" s="9"/>
      <c r="D1423" s="9" t="s">
        <v>82</v>
      </c>
      <c r="E1423" s="38">
        <v>2966</v>
      </c>
      <c r="F1423" s="39">
        <v>1985446.9</v>
      </c>
      <c r="G1423" s="40">
        <v>669.40219150370865</v>
      </c>
      <c r="H1423" s="41"/>
      <c r="I1423" s="40">
        <v>145.6014834794336</v>
      </c>
      <c r="J1423" s="41">
        <v>0.21750972035565391</v>
      </c>
      <c r="K1423" s="9" t="s">
        <v>2121</v>
      </c>
    </row>
    <row r="1424" spans="1:11" x14ac:dyDescent="0.2">
      <c r="A1424" s="9" t="s">
        <v>52</v>
      </c>
      <c r="B1424" s="9" t="s">
        <v>2122</v>
      </c>
      <c r="C1424" s="9"/>
      <c r="D1424" s="9" t="s">
        <v>81</v>
      </c>
      <c r="E1424" s="38">
        <v>9775</v>
      </c>
      <c r="F1424" s="39">
        <v>1503725.46</v>
      </c>
      <c r="G1424" s="40">
        <v>153.83380664961641</v>
      </c>
      <c r="H1424" s="41"/>
      <c r="I1424" s="40">
        <v>17.267248204603579</v>
      </c>
      <c r="J1424" s="41">
        <v>0.1122461218419484</v>
      </c>
      <c r="K1424" s="9" t="s">
        <v>2123</v>
      </c>
    </row>
    <row r="1425" spans="1:11" x14ac:dyDescent="0.2">
      <c r="A1425" s="9" t="s">
        <v>52</v>
      </c>
      <c r="B1425" s="9" t="s">
        <v>2124</v>
      </c>
      <c r="C1425" s="9"/>
      <c r="D1425" s="9" t="s">
        <v>81</v>
      </c>
      <c r="E1425" s="38">
        <v>1060</v>
      </c>
      <c r="F1425" s="39">
        <v>1037614.66</v>
      </c>
      <c r="G1425" s="40">
        <v>978.88175471698116</v>
      </c>
      <c r="H1425" s="41"/>
      <c r="I1425" s="40">
        <v>181.4735849056604</v>
      </c>
      <c r="J1425" s="41">
        <v>0.18538866827498371</v>
      </c>
      <c r="K1425" s="9" t="s">
        <v>2125</v>
      </c>
    </row>
    <row r="1426" spans="1:11" x14ac:dyDescent="0.2">
      <c r="A1426" s="9" t="s">
        <v>52</v>
      </c>
      <c r="B1426" s="9" t="s">
        <v>2126</v>
      </c>
      <c r="C1426" s="9"/>
      <c r="D1426" s="9" t="s">
        <v>86</v>
      </c>
      <c r="E1426" s="38">
        <v>61309</v>
      </c>
      <c r="F1426" s="39">
        <v>6986771.9199999999</v>
      </c>
      <c r="G1426" s="40">
        <v>113.9599719453914</v>
      </c>
      <c r="H1426" s="41"/>
      <c r="I1426" s="40">
        <v>13.25999445432155</v>
      </c>
      <c r="J1426" s="41">
        <v>0.11635659633784071</v>
      </c>
      <c r="K1426" s="9" t="s">
        <v>2127</v>
      </c>
    </row>
    <row r="1427" spans="1:11" x14ac:dyDescent="0.2">
      <c r="A1427" s="9" t="s">
        <v>52</v>
      </c>
      <c r="B1427" s="9" t="s">
        <v>2128</v>
      </c>
      <c r="C1427" s="9"/>
      <c r="D1427" s="9" t="s">
        <v>83</v>
      </c>
      <c r="E1427" s="38">
        <v>1912</v>
      </c>
      <c r="F1427" s="39">
        <v>646027.44999999995</v>
      </c>
      <c r="G1427" s="40">
        <v>337.88046548117148</v>
      </c>
      <c r="H1427" s="41"/>
      <c r="I1427" s="40">
        <v>100.418410041841</v>
      </c>
      <c r="J1427" s="41">
        <v>0.29720099354911322</v>
      </c>
      <c r="K1427" s="9" t="s">
        <v>2129</v>
      </c>
    </row>
    <row r="1428" spans="1:11" x14ac:dyDescent="0.2">
      <c r="A1428" s="9" t="s">
        <v>52</v>
      </c>
      <c r="B1428" s="9" t="s">
        <v>2130</v>
      </c>
      <c r="C1428" s="9"/>
      <c r="D1428" s="9" t="s">
        <v>80</v>
      </c>
      <c r="E1428" s="38">
        <v>727</v>
      </c>
      <c r="F1428" s="39">
        <v>1087132</v>
      </c>
      <c r="G1428" s="40">
        <v>1495.367262723521</v>
      </c>
      <c r="H1428" s="41"/>
      <c r="I1428" s="40">
        <v>283.67262723521321</v>
      </c>
      <c r="J1428" s="41">
        <v>0.1897009746746485</v>
      </c>
      <c r="K1428" s="9" t="s">
        <v>2131</v>
      </c>
    </row>
    <row r="1429" spans="1:11" x14ac:dyDescent="0.2">
      <c r="A1429" s="9" t="s">
        <v>52</v>
      </c>
      <c r="B1429" s="9" t="s">
        <v>2132</v>
      </c>
      <c r="C1429" s="9"/>
      <c r="D1429" s="9" t="s">
        <v>80</v>
      </c>
      <c r="E1429" s="38">
        <v>725</v>
      </c>
      <c r="F1429" s="39">
        <v>162665.43</v>
      </c>
      <c r="G1429" s="40">
        <v>224.3661103448276</v>
      </c>
      <c r="H1429" s="41"/>
      <c r="I1429" s="40">
        <v>57.931034482758619</v>
      </c>
      <c r="J1429" s="41">
        <v>0.25819868425639059</v>
      </c>
      <c r="K1429" s="9" t="s">
        <v>2133</v>
      </c>
    </row>
    <row r="1430" spans="1:11" x14ac:dyDescent="0.2">
      <c r="A1430" s="9" t="s">
        <v>52</v>
      </c>
      <c r="B1430" s="9" t="s">
        <v>2005</v>
      </c>
      <c r="C1430" s="9"/>
      <c r="D1430" s="9" t="s">
        <v>76</v>
      </c>
      <c r="E1430" s="38">
        <v>6071</v>
      </c>
      <c r="F1430" s="39">
        <v>4422382.09</v>
      </c>
      <c r="G1430" s="40">
        <v>728.4437637950914</v>
      </c>
      <c r="H1430" s="41"/>
      <c r="I1430" s="40">
        <v>92.872014495140832</v>
      </c>
      <c r="J1430" s="41">
        <v>0.12749373268197189</v>
      </c>
      <c r="K1430" s="9" t="s">
        <v>2134</v>
      </c>
    </row>
    <row r="1431" spans="1:11" x14ac:dyDescent="0.2">
      <c r="A1431" s="9" t="s">
        <v>52</v>
      </c>
      <c r="B1431" s="9" t="s">
        <v>197</v>
      </c>
      <c r="C1431" s="9"/>
      <c r="D1431" s="9" t="s">
        <v>76</v>
      </c>
      <c r="E1431" s="38">
        <v>5088</v>
      </c>
      <c r="F1431" s="39">
        <v>1256893.8</v>
      </c>
      <c r="G1431" s="40">
        <v>247.03101415094341</v>
      </c>
      <c r="H1431" s="41"/>
      <c r="I1431" s="40">
        <v>34.054834905660378</v>
      </c>
      <c r="J1431" s="41">
        <v>0.13785651580109631</v>
      </c>
      <c r="K1431" s="9" t="s">
        <v>2135</v>
      </c>
    </row>
    <row r="1432" spans="1:11" x14ac:dyDescent="0.2">
      <c r="A1432" s="9" t="s">
        <v>52</v>
      </c>
      <c r="B1432" s="9" t="s">
        <v>200</v>
      </c>
      <c r="C1432" s="9"/>
      <c r="D1432" s="9" t="s">
        <v>77</v>
      </c>
      <c r="E1432" s="38">
        <v>6200</v>
      </c>
      <c r="F1432" s="39">
        <v>2411213.87</v>
      </c>
      <c r="G1432" s="40">
        <v>388.90546290322578</v>
      </c>
      <c r="H1432" s="41"/>
      <c r="I1432" s="40">
        <v>47.626290322580637</v>
      </c>
      <c r="J1432" s="41">
        <v>0.1224623844752519</v>
      </c>
      <c r="K1432" s="9" t="s">
        <v>2136</v>
      </c>
    </row>
    <row r="1433" spans="1:11" x14ac:dyDescent="0.2">
      <c r="A1433" s="9" t="s">
        <v>52</v>
      </c>
      <c r="B1433" s="9" t="s">
        <v>202</v>
      </c>
      <c r="C1433" s="9"/>
      <c r="D1433" s="9" t="s">
        <v>81</v>
      </c>
      <c r="E1433" s="38">
        <v>649</v>
      </c>
      <c r="F1433" s="39">
        <v>1197790.8799999999</v>
      </c>
      <c r="G1433" s="40">
        <v>1845.594576271186</v>
      </c>
      <c r="H1433" s="41"/>
      <c r="I1433" s="40">
        <v>278.33898305084739</v>
      </c>
      <c r="J1433" s="41">
        <v>0.15081263600871631</v>
      </c>
      <c r="K1433" s="9" t="s">
        <v>2137</v>
      </c>
    </row>
    <row r="1434" spans="1:11" x14ac:dyDescent="0.2">
      <c r="A1434" s="9" t="s">
        <v>52</v>
      </c>
      <c r="B1434" s="9" t="s">
        <v>877</v>
      </c>
      <c r="C1434" s="9"/>
      <c r="D1434" s="9" t="s">
        <v>76</v>
      </c>
      <c r="E1434" s="38">
        <v>6571</v>
      </c>
      <c r="F1434" s="39">
        <v>701719.36</v>
      </c>
      <c r="G1434" s="40">
        <v>106.7903454573124</v>
      </c>
      <c r="H1434" s="41"/>
      <c r="I1434" s="40">
        <v>10.586212144270281</v>
      </c>
      <c r="J1434" s="41">
        <v>9.9130797816380609E-2</v>
      </c>
      <c r="K1434" s="9" t="s">
        <v>2138</v>
      </c>
    </row>
    <row r="1435" spans="1:11" x14ac:dyDescent="0.2">
      <c r="A1435" s="9" t="s">
        <v>52</v>
      </c>
      <c r="B1435" s="9" t="s">
        <v>1091</v>
      </c>
      <c r="C1435" s="9"/>
      <c r="D1435" s="9" t="s">
        <v>81</v>
      </c>
      <c r="E1435" s="38">
        <v>13923</v>
      </c>
      <c r="F1435" s="39">
        <v>9978338.8800000008</v>
      </c>
      <c r="G1435" s="40">
        <v>716.68023270846811</v>
      </c>
      <c r="H1435" s="41"/>
      <c r="I1435" s="40">
        <v>39.051532715363066</v>
      </c>
      <c r="J1435" s="41">
        <v>5.4489479314617138E-2</v>
      </c>
      <c r="K1435" s="9" t="s">
        <v>2139</v>
      </c>
    </row>
    <row r="1436" spans="1:11" x14ac:dyDescent="0.2">
      <c r="A1436" s="9" t="s">
        <v>52</v>
      </c>
      <c r="B1436" s="9" t="s">
        <v>2140</v>
      </c>
      <c r="C1436" s="9"/>
      <c r="D1436" s="9" t="s">
        <v>80</v>
      </c>
      <c r="E1436" s="38">
        <v>581</v>
      </c>
      <c r="F1436" s="39">
        <v>623902</v>
      </c>
      <c r="G1436" s="40">
        <v>1073.8416523235801</v>
      </c>
      <c r="H1436" s="41"/>
      <c r="I1436" s="40">
        <v>230.6247848537005</v>
      </c>
      <c r="J1436" s="41">
        <v>0.21476610108638861</v>
      </c>
      <c r="K1436" s="9" t="s">
        <v>2141</v>
      </c>
    </row>
    <row r="1437" spans="1:11" x14ac:dyDescent="0.2">
      <c r="A1437" s="9" t="s">
        <v>52</v>
      </c>
      <c r="B1437" s="9" t="s">
        <v>2142</v>
      </c>
      <c r="C1437" s="9"/>
      <c r="D1437" s="9" t="s">
        <v>80</v>
      </c>
      <c r="E1437" s="38">
        <v>649</v>
      </c>
      <c r="F1437" s="39">
        <v>773763</v>
      </c>
      <c r="G1437" s="40">
        <v>1192.238828967643</v>
      </c>
      <c r="H1437" s="41"/>
      <c r="I1437" s="40">
        <v>324.12788906009251</v>
      </c>
      <c r="J1437" s="41">
        <v>0.27186489920040108</v>
      </c>
      <c r="K1437" s="9" t="s">
        <v>2143</v>
      </c>
    </row>
    <row r="1438" spans="1:11" x14ac:dyDescent="0.2">
      <c r="A1438" s="9" t="s">
        <v>52</v>
      </c>
      <c r="B1438" s="9" t="s">
        <v>206</v>
      </c>
      <c r="C1438" s="9"/>
      <c r="D1438" s="9" t="s">
        <v>80</v>
      </c>
      <c r="E1438" s="38">
        <v>1115</v>
      </c>
      <c r="F1438" s="39">
        <v>701475.25</v>
      </c>
      <c r="G1438" s="40">
        <v>629.12578475336318</v>
      </c>
      <c r="H1438" s="41"/>
      <c r="I1438" s="40">
        <v>91.010798206278039</v>
      </c>
      <c r="J1438" s="41">
        <v>0.14466232415185001</v>
      </c>
      <c r="K1438" s="9" t="s">
        <v>2144</v>
      </c>
    </row>
    <row r="1439" spans="1:11" x14ac:dyDescent="0.2">
      <c r="A1439" s="9" t="s">
        <v>52</v>
      </c>
      <c r="B1439" s="9" t="s">
        <v>208</v>
      </c>
      <c r="C1439" s="9"/>
      <c r="D1439" s="9" t="s">
        <v>78</v>
      </c>
      <c r="E1439" s="38">
        <v>1257</v>
      </c>
      <c r="F1439" s="39">
        <v>745329.41</v>
      </c>
      <c r="G1439" s="40">
        <v>592.94304693715196</v>
      </c>
      <c r="H1439" s="41"/>
      <c r="I1439" s="40">
        <v>130.46937151949089</v>
      </c>
      <c r="J1439" s="41">
        <v>0.2200369364198308</v>
      </c>
      <c r="K1439" s="9" t="s">
        <v>2145</v>
      </c>
    </row>
    <row r="1440" spans="1:11" x14ac:dyDescent="0.2">
      <c r="A1440" s="9" t="s">
        <v>52</v>
      </c>
      <c r="B1440" s="9" t="s">
        <v>212</v>
      </c>
      <c r="C1440" s="9"/>
      <c r="D1440" s="9" t="s">
        <v>76</v>
      </c>
      <c r="E1440" s="38">
        <v>7812</v>
      </c>
      <c r="F1440" s="39">
        <v>4376826.88</v>
      </c>
      <c r="G1440" s="40">
        <v>560.26969790066562</v>
      </c>
      <c r="H1440" s="41"/>
      <c r="I1440" s="40">
        <v>25</v>
      </c>
      <c r="J1440" s="41">
        <v>4.4621367340898797E-2</v>
      </c>
      <c r="K1440" s="9" t="s">
        <v>2146</v>
      </c>
    </row>
    <row r="1441" spans="1:11" x14ac:dyDescent="0.2">
      <c r="A1441" s="9" t="s">
        <v>52</v>
      </c>
      <c r="B1441" s="9" t="s">
        <v>674</v>
      </c>
      <c r="C1441" s="9"/>
      <c r="D1441" s="9" t="s">
        <v>80</v>
      </c>
      <c r="E1441" s="38">
        <v>1210</v>
      </c>
      <c r="F1441" s="39">
        <v>586634.87</v>
      </c>
      <c r="G1441" s="40">
        <v>484.82220661157032</v>
      </c>
      <c r="H1441" s="41"/>
      <c r="I1441" s="40">
        <v>112.9</v>
      </c>
      <c r="J1441" s="41">
        <v>0.23286887122819691</v>
      </c>
      <c r="K1441" s="9" t="s">
        <v>2147</v>
      </c>
    </row>
    <row r="1442" spans="1:11" x14ac:dyDescent="0.2">
      <c r="A1442" s="9" t="s">
        <v>52</v>
      </c>
      <c r="B1442" s="9" t="s">
        <v>676</v>
      </c>
      <c r="C1442" s="9"/>
      <c r="D1442" s="9" t="s">
        <v>77</v>
      </c>
      <c r="E1442" s="38">
        <v>2643</v>
      </c>
      <c r="F1442" s="39">
        <v>2844260.33</v>
      </c>
      <c r="G1442" s="40">
        <v>1076.148441165343</v>
      </c>
      <c r="H1442" s="41"/>
      <c r="I1442" s="40">
        <v>112.1615966674234</v>
      </c>
      <c r="J1442" s="41">
        <v>0.1042250235905797</v>
      </c>
      <c r="K1442" s="9" t="s">
        <v>2148</v>
      </c>
    </row>
    <row r="1443" spans="1:11" x14ac:dyDescent="0.2">
      <c r="A1443" s="9" t="s">
        <v>52</v>
      </c>
      <c r="B1443" s="9" t="s">
        <v>220</v>
      </c>
      <c r="C1443" s="9"/>
      <c r="D1443" s="9" t="s">
        <v>85</v>
      </c>
      <c r="E1443" s="38">
        <v>26591</v>
      </c>
      <c r="F1443" s="39">
        <v>6772139.5300000003</v>
      </c>
      <c r="G1443" s="40">
        <v>254.67788086194579</v>
      </c>
      <c r="H1443" s="41"/>
      <c r="I1443" s="40">
        <v>41.190064307472447</v>
      </c>
      <c r="J1443" s="41">
        <v>0.16173396828992981</v>
      </c>
      <c r="K1443" s="9" t="s">
        <v>2149</v>
      </c>
    </row>
    <row r="1444" spans="1:11" x14ac:dyDescent="0.2">
      <c r="A1444" s="9" t="s">
        <v>52</v>
      </c>
      <c r="B1444" s="9" t="s">
        <v>766</v>
      </c>
      <c r="C1444" s="9"/>
      <c r="D1444" s="9" t="s">
        <v>86</v>
      </c>
      <c r="E1444" s="38">
        <v>90873</v>
      </c>
      <c r="F1444" s="39">
        <v>17154303.57</v>
      </c>
      <c r="G1444" s="40">
        <v>188.77228186590079</v>
      </c>
      <c r="H1444" s="41"/>
      <c r="I1444" s="40">
        <v>12.499999339737879</v>
      </c>
      <c r="J1444" s="41">
        <v>6.6217345132362021E-2</v>
      </c>
      <c r="K1444" s="9" t="s">
        <v>2150</v>
      </c>
    </row>
    <row r="1445" spans="1:11" x14ac:dyDescent="0.2">
      <c r="A1445" s="9" t="s">
        <v>52</v>
      </c>
      <c r="B1445" s="9" t="s">
        <v>1001</v>
      </c>
      <c r="C1445" s="9"/>
      <c r="D1445" s="9" t="s">
        <v>76</v>
      </c>
      <c r="E1445" s="38">
        <v>3401</v>
      </c>
      <c r="F1445" s="39">
        <v>341501.4</v>
      </c>
      <c r="G1445" s="40">
        <v>100.41205527785949</v>
      </c>
      <c r="H1445" s="41"/>
      <c r="I1445" s="40">
        <v>69.414877977065572</v>
      </c>
      <c r="J1445" s="41">
        <v>0.69130024064323015</v>
      </c>
      <c r="K1445" s="9" t="s">
        <v>2151</v>
      </c>
    </row>
    <row r="1446" spans="1:11" x14ac:dyDescent="0.2">
      <c r="A1446" s="9" t="s">
        <v>52</v>
      </c>
      <c r="B1446" s="9" t="s">
        <v>768</v>
      </c>
      <c r="C1446" s="9"/>
      <c r="D1446" s="9" t="s">
        <v>77</v>
      </c>
      <c r="E1446" s="38">
        <v>21350</v>
      </c>
      <c r="F1446" s="39">
        <v>3487641.11</v>
      </c>
      <c r="G1446" s="40">
        <v>163.3555555035129</v>
      </c>
      <c r="H1446" s="41"/>
      <c r="I1446" s="40">
        <v>25.559297423887589</v>
      </c>
      <c r="J1446" s="41">
        <v>0.15646420683463039</v>
      </c>
      <c r="K1446" s="9" t="s">
        <v>2152</v>
      </c>
    </row>
    <row r="1447" spans="1:11" x14ac:dyDescent="0.2">
      <c r="A1447" s="9" t="s">
        <v>52</v>
      </c>
      <c r="B1447" s="9" t="s">
        <v>1359</v>
      </c>
      <c r="C1447" s="9"/>
      <c r="D1447" s="9" t="s">
        <v>77</v>
      </c>
      <c r="E1447" s="38">
        <v>5465</v>
      </c>
      <c r="F1447" s="39">
        <v>2293344.0699999998</v>
      </c>
      <c r="G1447" s="40">
        <v>419.64209881061288</v>
      </c>
      <c r="H1447" s="41"/>
      <c r="I1447" s="40">
        <v>41.542827080695339</v>
      </c>
      <c r="J1447" s="41">
        <v>9.89958519377339E-2</v>
      </c>
      <c r="K1447" s="9" t="s">
        <v>2153</v>
      </c>
    </row>
    <row r="1448" spans="1:11" x14ac:dyDescent="0.2">
      <c r="A1448" s="9" t="s">
        <v>52</v>
      </c>
      <c r="B1448" s="9" t="s">
        <v>2020</v>
      </c>
      <c r="C1448" s="9"/>
      <c r="D1448" s="9" t="s">
        <v>80</v>
      </c>
      <c r="E1448" s="38">
        <v>896</v>
      </c>
      <c r="F1448" s="39">
        <v>939112.64</v>
      </c>
      <c r="G1448" s="40">
        <v>1048.1167857142859</v>
      </c>
      <c r="H1448" s="41"/>
      <c r="I1448" s="40">
        <v>184.14174107142861</v>
      </c>
      <c r="J1448" s="41">
        <v>0.1756881900769646</v>
      </c>
      <c r="K1448" s="9" t="s">
        <v>2154</v>
      </c>
    </row>
    <row r="1449" spans="1:11" x14ac:dyDescent="0.2">
      <c r="A1449" s="9" t="s">
        <v>52</v>
      </c>
      <c r="B1449" s="9" t="s">
        <v>445</v>
      </c>
      <c r="C1449" s="9"/>
      <c r="D1449" s="9" t="s">
        <v>82</v>
      </c>
      <c r="E1449" s="38">
        <v>3427</v>
      </c>
      <c r="F1449" s="39">
        <v>844892.09</v>
      </c>
      <c r="G1449" s="40">
        <v>246.53985701779979</v>
      </c>
      <c r="H1449" s="41"/>
      <c r="I1449" s="40">
        <v>35.063737960898749</v>
      </c>
      <c r="J1449" s="41">
        <v>0.14222340511200671</v>
      </c>
      <c r="K1449" s="9" t="s">
        <v>2155</v>
      </c>
    </row>
    <row r="1450" spans="1:11" x14ac:dyDescent="0.2">
      <c r="A1450" s="9" t="s">
        <v>52</v>
      </c>
      <c r="B1450" s="9" t="s">
        <v>228</v>
      </c>
      <c r="C1450" s="9"/>
      <c r="D1450" s="9" t="s">
        <v>76</v>
      </c>
      <c r="E1450" s="38">
        <v>5299</v>
      </c>
      <c r="F1450" s="39">
        <v>1723973.97</v>
      </c>
      <c r="G1450" s="40">
        <v>325.33949235704853</v>
      </c>
      <c r="H1450" s="41"/>
      <c r="I1450" s="40">
        <v>62.362590526514431</v>
      </c>
      <c r="J1450" s="41">
        <v>0.19168466168894649</v>
      </c>
      <c r="K1450" s="9" t="s">
        <v>2156</v>
      </c>
    </row>
    <row r="1451" spans="1:11" x14ac:dyDescent="0.2">
      <c r="A1451" s="9" t="s">
        <v>52</v>
      </c>
      <c r="B1451" s="9" t="s">
        <v>2157</v>
      </c>
      <c r="C1451" s="9"/>
      <c r="D1451" s="9" t="s">
        <v>78</v>
      </c>
      <c r="E1451" s="38">
        <v>570</v>
      </c>
      <c r="F1451" s="39">
        <v>728240</v>
      </c>
      <c r="G1451" s="40">
        <v>1277.614035087719</v>
      </c>
      <c r="H1451" s="41"/>
      <c r="I1451" s="40">
        <v>232.37719298245611</v>
      </c>
      <c r="J1451" s="41">
        <v>0.18188371965286171</v>
      </c>
      <c r="K1451" s="9" t="s">
        <v>2158</v>
      </c>
    </row>
    <row r="1452" spans="1:11" x14ac:dyDescent="0.2">
      <c r="A1452" s="9" t="s">
        <v>52</v>
      </c>
      <c r="B1452" s="9" t="s">
        <v>233</v>
      </c>
      <c r="C1452" s="9"/>
      <c r="D1452" s="9" t="s">
        <v>77</v>
      </c>
      <c r="E1452" s="38">
        <v>4701</v>
      </c>
      <c r="F1452" s="39">
        <v>1459854.76</v>
      </c>
      <c r="G1452" s="40">
        <v>310.54132312273993</v>
      </c>
      <c r="H1452" s="41"/>
      <c r="I1452" s="40">
        <v>78.146351840034029</v>
      </c>
      <c r="J1452" s="41">
        <v>0.25164558150976613</v>
      </c>
      <c r="K1452" s="9" t="s">
        <v>2159</v>
      </c>
    </row>
    <row r="1453" spans="1:11" x14ac:dyDescent="0.2">
      <c r="A1453" s="9" t="s">
        <v>52</v>
      </c>
      <c r="B1453" s="9" t="s">
        <v>2160</v>
      </c>
      <c r="C1453" s="9"/>
      <c r="D1453" s="9" t="s">
        <v>80</v>
      </c>
      <c r="E1453" s="38">
        <v>749</v>
      </c>
      <c r="F1453" s="39">
        <v>576252.06999999995</v>
      </c>
      <c r="G1453" s="40">
        <v>769.36190921228297</v>
      </c>
      <c r="H1453" s="41"/>
      <c r="I1453" s="40">
        <v>106.6179973297731</v>
      </c>
      <c r="J1453" s="41">
        <v>0.13857977117548581</v>
      </c>
      <c r="K1453" s="9" t="s">
        <v>2161</v>
      </c>
    </row>
    <row r="1454" spans="1:11" x14ac:dyDescent="0.2">
      <c r="A1454" s="9" t="s">
        <v>52</v>
      </c>
      <c r="B1454" s="9" t="s">
        <v>895</v>
      </c>
      <c r="C1454" s="9"/>
      <c r="D1454" s="9" t="s">
        <v>77</v>
      </c>
      <c r="E1454" s="38">
        <v>23550</v>
      </c>
      <c r="F1454" s="39">
        <v>3249802.62</v>
      </c>
      <c r="G1454" s="40">
        <v>137.99586496815289</v>
      </c>
      <c r="H1454" s="41"/>
      <c r="I1454" s="40">
        <v>21.238853503184711</v>
      </c>
      <c r="J1454" s="41">
        <v>0.1539093472698351</v>
      </c>
      <c r="K1454" s="9" t="s">
        <v>2162</v>
      </c>
    </row>
    <row r="1455" spans="1:11" x14ac:dyDescent="0.2">
      <c r="A1455" s="9" t="s">
        <v>52</v>
      </c>
      <c r="B1455" s="9" t="s">
        <v>1477</v>
      </c>
      <c r="C1455" s="9"/>
      <c r="D1455" s="9" t="s">
        <v>85</v>
      </c>
      <c r="E1455" s="38">
        <v>9489</v>
      </c>
      <c r="F1455" s="39">
        <v>2955377.06</v>
      </c>
      <c r="G1455" s="40">
        <v>311.45295183897139</v>
      </c>
      <c r="H1455" s="41"/>
      <c r="I1455" s="40">
        <v>28.78109600505849</v>
      </c>
      <c r="J1455" s="41">
        <v>9.240912900366087E-2</v>
      </c>
      <c r="K1455" s="9" t="s">
        <v>2163</v>
      </c>
    </row>
    <row r="1456" spans="1:11" x14ac:dyDescent="0.2">
      <c r="A1456" s="9" t="s">
        <v>52</v>
      </c>
      <c r="B1456" s="9" t="s">
        <v>235</v>
      </c>
      <c r="C1456" s="9"/>
      <c r="D1456" s="9" t="s">
        <v>77</v>
      </c>
      <c r="E1456" s="38">
        <v>6376</v>
      </c>
      <c r="F1456" s="39">
        <v>5428339.1399999997</v>
      </c>
      <c r="G1456" s="40">
        <v>851.37063048933499</v>
      </c>
      <c r="H1456" s="41"/>
      <c r="I1456" s="40">
        <v>101.4233061480552</v>
      </c>
      <c r="J1456" s="41">
        <v>0.11912943965398599</v>
      </c>
      <c r="K1456" s="9" t="s">
        <v>2164</v>
      </c>
    </row>
    <row r="1457" spans="1:11" x14ac:dyDescent="0.2">
      <c r="A1457" s="9" t="s">
        <v>52</v>
      </c>
      <c r="B1457" s="9" t="s">
        <v>454</v>
      </c>
      <c r="C1457" s="9"/>
      <c r="D1457" s="9" t="s">
        <v>76</v>
      </c>
      <c r="E1457" s="38">
        <v>25853</v>
      </c>
      <c r="F1457" s="39">
        <v>1493858.56</v>
      </c>
      <c r="G1457" s="40">
        <v>57.782793486249183</v>
      </c>
      <c r="H1457" s="41"/>
      <c r="I1457" s="40">
        <v>1.2062043089776811</v>
      </c>
      <c r="J1457" s="41">
        <v>2.0874800891457889E-2</v>
      </c>
      <c r="K1457" s="9" t="s">
        <v>2165</v>
      </c>
    </row>
    <row r="1458" spans="1:11" x14ac:dyDescent="0.2">
      <c r="A1458" s="9" t="s">
        <v>52</v>
      </c>
      <c r="B1458" s="9" t="s">
        <v>2166</v>
      </c>
      <c r="C1458" s="9"/>
      <c r="D1458" s="9" t="s">
        <v>76</v>
      </c>
      <c r="E1458" s="38">
        <v>164</v>
      </c>
      <c r="F1458" s="39">
        <v>0</v>
      </c>
      <c r="G1458" s="40"/>
      <c r="H1458" s="41"/>
      <c r="I1458" s="40">
        <v>736.95731707317077</v>
      </c>
      <c r="J1458" s="41"/>
      <c r="K1458" s="9" t="s">
        <v>2167</v>
      </c>
    </row>
    <row r="1459" spans="1:11" x14ac:dyDescent="0.2">
      <c r="A1459" s="9" t="s">
        <v>52</v>
      </c>
      <c r="B1459" s="9" t="s">
        <v>456</v>
      </c>
      <c r="C1459" s="9"/>
      <c r="D1459" s="9" t="s">
        <v>76</v>
      </c>
      <c r="E1459" s="38">
        <v>1359</v>
      </c>
      <c r="F1459" s="39">
        <v>721056.44</v>
      </c>
      <c r="G1459" s="40">
        <v>530.57869021339218</v>
      </c>
      <c r="H1459" s="41"/>
      <c r="I1459" s="40">
        <v>54.142016188373802</v>
      </c>
      <c r="J1459" s="41">
        <v>0.10204332964559611</v>
      </c>
      <c r="K1459" s="9" t="s">
        <v>2168</v>
      </c>
    </row>
    <row r="1460" spans="1:11" x14ac:dyDescent="0.2">
      <c r="A1460" s="9" t="s">
        <v>52</v>
      </c>
      <c r="B1460" s="9" t="s">
        <v>2169</v>
      </c>
      <c r="C1460" s="9"/>
      <c r="D1460" s="9" t="s">
        <v>80</v>
      </c>
      <c r="E1460" s="38">
        <v>601</v>
      </c>
      <c r="F1460" s="39">
        <v>0</v>
      </c>
      <c r="G1460" s="40"/>
      <c r="H1460" s="41"/>
      <c r="I1460" s="40">
        <v>189.018302828619</v>
      </c>
      <c r="J1460" s="41"/>
      <c r="K1460" s="9" t="s">
        <v>2170</v>
      </c>
    </row>
    <row r="1461" spans="1:11" x14ac:dyDescent="0.2">
      <c r="A1461" s="9" t="s">
        <v>52</v>
      </c>
      <c r="B1461" s="9" t="s">
        <v>2171</v>
      </c>
      <c r="C1461" s="9"/>
      <c r="D1461" s="9" t="s">
        <v>81</v>
      </c>
      <c r="E1461" s="38">
        <v>8659</v>
      </c>
      <c r="F1461" s="39">
        <v>1855824.14</v>
      </c>
      <c r="G1461" s="40">
        <v>214.32314816953459</v>
      </c>
      <c r="H1461" s="41"/>
      <c r="I1461" s="40">
        <v>22.207137082804021</v>
      </c>
      <c r="J1461" s="41">
        <v>0.1036152056950827</v>
      </c>
      <c r="K1461" s="9" t="s">
        <v>2172</v>
      </c>
    </row>
    <row r="1462" spans="1:11" x14ac:dyDescent="0.2">
      <c r="A1462" s="9" t="s">
        <v>52</v>
      </c>
      <c r="B1462" s="9" t="s">
        <v>242</v>
      </c>
      <c r="C1462" s="9"/>
      <c r="D1462" s="9" t="s">
        <v>82</v>
      </c>
      <c r="E1462" s="38">
        <v>4502</v>
      </c>
      <c r="F1462" s="39">
        <v>704112.25</v>
      </c>
      <c r="G1462" s="40">
        <v>156.39987783207459</v>
      </c>
      <c r="H1462" s="41"/>
      <c r="I1462" s="40">
        <v>18.8520657485562</v>
      </c>
      <c r="J1462" s="41">
        <v>0.12053759894107791</v>
      </c>
      <c r="K1462" s="9" t="s">
        <v>2173</v>
      </c>
    </row>
    <row r="1463" spans="1:11" x14ac:dyDescent="0.2">
      <c r="A1463" s="9" t="s">
        <v>52</v>
      </c>
      <c r="B1463" s="9" t="s">
        <v>243</v>
      </c>
      <c r="C1463" s="9"/>
      <c r="D1463" s="9" t="s">
        <v>82</v>
      </c>
      <c r="E1463" s="38">
        <v>1720</v>
      </c>
      <c r="F1463" s="39">
        <v>1688391.04</v>
      </c>
      <c r="G1463" s="40">
        <v>981.62269767441865</v>
      </c>
      <c r="H1463" s="41"/>
      <c r="I1463" s="40">
        <v>104.65058139534879</v>
      </c>
      <c r="J1463" s="41">
        <v>0.1066097815823519</v>
      </c>
      <c r="K1463" s="9" t="s">
        <v>2174</v>
      </c>
    </row>
    <row r="1464" spans="1:11" x14ac:dyDescent="0.2">
      <c r="A1464" s="9" t="s">
        <v>52</v>
      </c>
      <c r="B1464" s="9" t="s">
        <v>461</v>
      </c>
      <c r="C1464" s="9"/>
      <c r="D1464" s="9" t="s">
        <v>76</v>
      </c>
      <c r="E1464" s="38">
        <v>3500</v>
      </c>
      <c r="F1464" s="39">
        <v>1824705.21</v>
      </c>
      <c r="G1464" s="40">
        <v>521.34434571428574</v>
      </c>
      <c r="H1464" s="41"/>
      <c r="I1464" s="40">
        <v>42.857142857142847</v>
      </c>
      <c r="J1464" s="41">
        <v>8.2205059303798456E-2</v>
      </c>
      <c r="K1464" s="9" t="s">
        <v>2175</v>
      </c>
    </row>
    <row r="1465" spans="1:11" x14ac:dyDescent="0.2">
      <c r="A1465" s="9" t="s">
        <v>52</v>
      </c>
      <c r="B1465" s="9" t="s">
        <v>1368</v>
      </c>
      <c r="C1465" s="9"/>
      <c r="D1465" s="9" t="s">
        <v>80</v>
      </c>
      <c r="E1465" s="38">
        <v>1416</v>
      </c>
      <c r="F1465" s="39">
        <v>692088.17</v>
      </c>
      <c r="G1465" s="40">
        <v>488.76283192090398</v>
      </c>
      <c r="H1465" s="41"/>
      <c r="I1465" s="40">
        <v>123.67302259887011</v>
      </c>
      <c r="J1465" s="41">
        <v>0.2530327891603753</v>
      </c>
      <c r="K1465" s="9" t="s">
        <v>2176</v>
      </c>
    </row>
    <row r="1466" spans="1:11" x14ac:dyDescent="0.2">
      <c r="A1466" s="9" t="s">
        <v>52</v>
      </c>
      <c r="B1466" s="9" t="s">
        <v>2032</v>
      </c>
      <c r="C1466" s="9"/>
      <c r="D1466" s="9" t="s">
        <v>85</v>
      </c>
      <c r="E1466" s="38">
        <v>22490</v>
      </c>
      <c r="F1466" s="39">
        <v>1451937</v>
      </c>
      <c r="G1466" s="40">
        <v>64.559226322810133</v>
      </c>
      <c r="H1466" s="41"/>
      <c r="I1466" s="40">
        <v>15.36943352601156</v>
      </c>
      <c r="J1466" s="41">
        <v>0.23806718886563261</v>
      </c>
      <c r="K1466" s="9" t="s">
        <v>2177</v>
      </c>
    </row>
    <row r="1467" spans="1:11" x14ac:dyDescent="0.2">
      <c r="A1467" s="9" t="s">
        <v>52</v>
      </c>
      <c r="B1467" s="9" t="s">
        <v>245</v>
      </c>
      <c r="C1467" s="9"/>
      <c r="D1467" s="9" t="s">
        <v>79</v>
      </c>
      <c r="E1467" s="38">
        <v>1403</v>
      </c>
      <c r="F1467" s="39">
        <v>533435.23</v>
      </c>
      <c r="G1467" s="40">
        <v>380.21042765502489</v>
      </c>
      <c r="H1467" s="41"/>
      <c r="I1467" s="40">
        <v>38.488239486813967</v>
      </c>
      <c r="J1467" s="41">
        <v>0.10122878460802071</v>
      </c>
      <c r="K1467" s="9" t="s">
        <v>2178</v>
      </c>
    </row>
    <row r="1468" spans="1:11" x14ac:dyDescent="0.2">
      <c r="A1468" s="9" t="s">
        <v>52</v>
      </c>
      <c r="B1468" s="9" t="s">
        <v>2179</v>
      </c>
      <c r="C1468" s="9"/>
      <c r="D1468" s="9" t="s">
        <v>85</v>
      </c>
      <c r="E1468" s="38">
        <v>50000</v>
      </c>
      <c r="F1468" s="39">
        <v>0</v>
      </c>
      <c r="G1468" s="40"/>
      <c r="H1468" s="41"/>
      <c r="I1468" s="40">
        <v>9.3947400000000005</v>
      </c>
      <c r="J1468" s="41"/>
      <c r="K1468" s="9" t="s">
        <v>2180</v>
      </c>
    </row>
    <row r="1469" spans="1:11" x14ac:dyDescent="0.2">
      <c r="A1469" s="9" t="s">
        <v>52</v>
      </c>
      <c r="B1469" s="9" t="s">
        <v>247</v>
      </c>
      <c r="C1469" s="9"/>
      <c r="D1469" s="9" t="s">
        <v>76</v>
      </c>
      <c r="E1469" s="38">
        <v>19157</v>
      </c>
      <c r="F1469" s="39">
        <v>4520328.47</v>
      </c>
      <c r="G1469" s="40">
        <v>235.9622315602652</v>
      </c>
      <c r="H1469" s="41"/>
      <c r="I1469" s="40">
        <v>32.754136869029601</v>
      </c>
      <c r="J1469" s="41">
        <v>0.1388109302596765</v>
      </c>
      <c r="K1469" s="9" t="s">
        <v>2181</v>
      </c>
    </row>
    <row r="1470" spans="1:11" x14ac:dyDescent="0.2">
      <c r="A1470" s="9" t="s">
        <v>52</v>
      </c>
      <c r="B1470" s="9" t="s">
        <v>2182</v>
      </c>
      <c r="C1470" s="9"/>
      <c r="D1470" s="9" t="s">
        <v>78</v>
      </c>
      <c r="E1470" s="38">
        <v>1281</v>
      </c>
      <c r="F1470" s="39">
        <v>1262572.8600000001</v>
      </c>
      <c r="G1470" s="40">
        <v>985.61503512880574</v>
      </c>
      <c r="H1470" s="41"/>
      <c r="I1470" s="40">
        <v>114.856362217018</v>
      </c>
      <c r="J1470" s="41">
        <v>0.1165326807357478</v>
      </c>
      <c r="K1470" s="9" t="s">
        <v>2183</v>
      </c>
    </row>
    <row r="1471" spans="1:11" x14ac:dyDescent="0.2">
      <c r="A1471" s="9" t="s">
        <v>52</v>
      </c>
      <c r="B1471" s="9" t="s">
        <v>779</v>
      </c>
      <c r="C1471" s="9"/>
      <c r="D1471" s="9" t="s">
        <v>86</v>
      </c>
      <c r="E1471" s="38">
        <v>59630</v>
      </c>
      <c r="F1471" s="39">
        <v>6480000</v>
      </c>
      <c r="G1471" s="40">
        <v>108.6701324836492</v>
      </c>
      <c r="H1471" s="41"/>
      <c r="I1471" s="40">
        <v>12</v>
      </c>
      <c r="J1471" s="41">
        <v>0.1104259259259259</v>
      </c>
      <c r="K1471" s="9" t="s">
        <v>2184</v>
      </c>
    </row>
    <row r="1472" spans="1:11" x14ac:dyDescent="0.2">
      <c r="A1472" s="9" t="s">
        <v>52</v>
      </c>
      <c r="B1472" s="9" t="s">
        <v>140</v>
      </c>
      <c r="C1472" s="9"/>
      <c r="D1472" s="9" t="s">
        <v>83</v>
      </c>
      <c r="E1472" s="38">
        <v>6540</v>
      </c>
      <c r="F1472" s="39">
        <v>2647592.02</v>
      </c>
      <c r="G1472" s="40">
        <v>404.83058409785929</v>
      </c>
      <c r="H1472" s="41"/>
      <c r="I1472" s="40">
        <v>58.404281345565749</v>
      </c>
      <c r="J1472" s="41">
        <v>0.14426845114905579</v>
      </c>
      <c r="K1472" s="9" t="s">
        <v>2185</v>
      </c>
    </row>
    <row r="1473" spans="1:11" x14ac:dyDescent="0.2">
      <c r="A1473" s="9" t="s">
        <v>52</v>
      </c>
      <c r="B1473" s="9" t="s">
        <v>256</v>
      </c>
      <c r="C1473" s="9"/>
      <c r="D1473" s="9" t="s">
        <v>76</v>
      </c>
      <c r="E1473" s="38">
        <v>1478</v>
      </c>
      <c r="F1473" s="39">
        <v>1379781.61</v>
      </c>
      <c r="G1473" s="40">
        <v>933.5464208389717</v>
      </c>
      <c r="H1473" s="41"/>
      <c r="I1473" s="40">
        <v>135.31799729363999</v>
      </c>
      <c r="J1473" s="41">
        <v>0.1449504751697625</v>
      </c>
      <c r="K1473" s="9" t="s">
        <v>2186</v>
      </c>
    </row>
    <row r="1474" spans="1:11" x14ac:dyDescent="0.2">
      <c r="A1474" s="9" t="s">
        <v>52</v>
      </c>
      <c r="B1474" s="9" t="s">
        <v>2187</v>
      </c>
      <c r="C1474" s="9"/>
      <c r="D1474" s="9" t="s">
        <v>76</v>
      </c>
      <c r="E1474" s="38">
        <v>3676</v>
      </c>
      <c r="F1474" s="39">
        <v>691321</v>
      </c>
      <c r="G1474" s="40">
        <v>188.06338411316651</v>
      </c>
      <c r="H1474" s="41"/>
      <c r="I1474" s="40">
        <v>9.5238710554951034</v>
      </c>
      <c r="J1474" s="41">
        <v>5.0641814728613767E-2</v>
      </c>
      <c r="K1474" s="9" t="s">
        <v>2188</v>
      </c>
    </row>
    <row r="1475" spans="1:11" x14ac:dyDescent="0.2">
      <c r="A1475" s="9" t="s">
        <v>52</v>
      </c>
      <c r="B1475" s="9" t="s">
        <v>1119</v>
      </c>
      <c r="C1475" s="9"/>
      <c r="D1475" s="9" t="s">
        <v>80</v>
      </c>
      <c r="E1475" s="38">
        <v>1688</v>
      </c>
      <c r="F1475" s="39">
        <v>760999.66</v>
      </c>
      <c r="G1475" s="40">
        <v>450.82918246445502</v>
      </c>
      <c r="H1475" s="41"/>
      <c r="I1475" s="40">
        <v>102.26054502369669</v>
      </c>
      <c r="J1475" s="41">
        <v>0.22682769661158581</v>
      </c>
      <c r="K1475" s="9" t="s">
        <v>2189</v>
      </c>
    </row>
    <row r="1476" spans="1:11" x14ac:dyDescent="0.2">
      <c r="A1476" s="9" t="s">
        <v>52</v>
      </c>
      <c r="B1476" s="9" t="s">
        <v>477</v>
      </c>
      <c r="C1476" s="9"/>
      <c r="D1476" s="9" t="s">
        <v>78</v>
      </c>
      <c r="E1476" s="38">
        <v>5715</v>
      </c>
      <c r="F1476" s="39">
        <v>1761608.7</v>
      </c>
      <c r="G1476" s="40">
        <v>308.24299212598419</v>
      </c>
      <c r="H1476" s="41"/>
      <c r="I1476" s="40">
        <v>94.574068241469831</v>
      </c>
      <c r="J1476" s="41">
        <v>0.30681660461826737</v>
      </c>
      <c r="K1476" s="9" t="s">
        <v>2190</v>
      </c>
    </row>
    <row r="1477" spans="1:11" x14ac:dyDescent="0.2">
      <c r="A1477" s="9" t="s">
        <v>52</v>
      </c>
      <c r="B1477" s="9" t="s">
        <v>2191</v>
      </c>
      <c r="C1477" s="9"/>
      <c r="D1477" s="9" t="s">
        <v>85</v>
      </c>
      <c r="E1477" s="38">
        <v>15878</v>
      </c>
      <c r="F1477" s="39">
        <v>1171419.1399999999</v>
      </c>
      <c r="G1477" s="40">
        <v>73.776240080614684</v>
      </c>
      <c r="H1477" s="41"/>
      <c r="I1477" s="40">
        <v>25.192087164630301</v>
      </c>
      <c r="J1477" s="41">
        <v>0.34146612970657109</v>
      </c>
      <c r="K1477" s="9" t="s">
        <v>2192</v>
      </c>
    </row>
    <row r="1478" spans="1:11" x14ac:dyDescent="0.2">
      <c r="A1478" s="9" t="s">
        <v>52</v>
      </c>
      <c r="B1478" s="9" t="s">
        <v>2193</v>
      </c>
      <c r="C1478" s="9"/>
      <c r="D1478" s="9" t="s">
        <v>81</v>
      </c>
      <c r="E1478" s="38">
        <v>3055</v>
      </c>
      <c r="F1478" s="39">
        <v>1609781.44</v>
      </c>
      <c r="G1478" s="40">
        <v>526.93336824877247</v>
      </c>
      <c r="H1478" s="41"/>
      <c r="I1478" s="40">
        <v>149.29689034369889</v>
      </c>
      <c r="J1478" s="41">
        <v>0.28333163041064757</v>
      </c>
      <c r="K1478" s="9" t="s">
        <v>2194</v>
      </c>
    </row>
    <row r="1479" spans="1:11" x14ac:dyDescent="0.2">
      <c r="A1479" s="9" t="s">
        <v>52</v>
      </c>
      <c r="B1479" s="9" t="s">
        <v>1384</v>
      </c>
      <c r="C1479" s="9"/>
      <c r="D1479" s="9" t="s">
        <v>78</v>
      </c>
      <c r="E1479" s="38">
        <v>1450</v>
      </c>
      <c r="F1479" s="39">
        <v>206647.25</v>
      </c>
      <c r="G1479" s="40">
        <v>142.5153448275862</v>
      </c>
      <c r="H1479" s="41"/>
      <c r="I1479" s="40">
        <v>96.050344827586201</v>
      </c>
      <c r="J1479" s="41">
        <v>0.67396493299572102</v>
      </c>
      <c r="K1479" s="9" t="s">
        <v>2195</v>
      </c>
    </row>
    <row r="1480" spans="1:11" x14ac:dyDescent="0.2">
      <c r="A1480" s="9" t="s">
        <v>52</v>
      </c>
      <c r="B1480" s="9" t="s">
        <v>267</v>
      </c>
      <c r="C1480" s="9"/>
      <c r="D1480" s="9" t="s">
        <v>77</v>
      </c>
      <c r="E1480" s="38">
        <v>2689</v>
      </c>
      <c r="F1480" s="39">
        <v>1340384.3</v>
      </c>
      <c r="G1480" s="40">
        <v>498.46943101524732</v>
      </c>
      <c r="H1480" s="41"/>
      <c r="I1480" s="40">
        <v>100.9669021941242</v>
      </c>
      <c r="J1480" s="41">
        <v>0.20255384966833759</v>
      </c>
      <c r="K1480" s="9" t="s">
        <v>2196</v>
      </c>
    </row>
    <row r="1481" spans="1:11" x14ac:dyDescent="0.2">
      <c r="A1481" s="9" t="s">
        <v>52</v>
      </c>
      <c r="B1481" s="9" t="s">
        <v>484</v>
      </c>
      <c r="C1481" s="9"/>
      <c r="D1481" s="9" t="s">
        <v>77</v>
      </c>
      <c r="E1481" s="38">
        <v>1589</v>
      </c>
      <c r="F1481" s="39">
        <v>790615.68</v>
      </c>
      <c r="G1481" s="40">
        <v>497.55549402139712</v>
      </c>
      <c r="H1481" s="41"/>
      <c r="I1481" s="40">
        <v>98.350534927627436</v>
      </c>
      <c r="J1481" s="41">
        <v>0.1976674684721659</v>
      </c>
      <c r="K1481" s="9" t="s">
        <v>2197</v>
      </c>
    </row>
    <row r="1482" spans="1:11" x14ac:dyDescent="0.2">
      <c r="A1482" s="9" t="s">
        <v>52</v>
      </c>
      <c r="B1482" s="9" t="s">
        <v>2198</v>
      </c>
      <c r="C1482" s="9"/>
      <c r="D1482" s="9" t="s">
        <v>76</v>
      </c>
      <c r="E1482" s="38">
        <v>3020</v>
      </c>
      <c r="F1482" s="39">
        <v>1280369.8</v>
      </c>
      <c r="G1482" s="40">
        <v>423.96350993377479</v>
      </c>
      <c r="H1482" s="41"/>
      <c r="I1482" s="40">
        <v>30</v>
      </c>
      <c r="J1482" s="41">
        <v>7.0760806760671799E-2</v>
      </c>
      <c r="K1482" s="9" t="s">
        <v>2199</v>
      </c>
    </row>
    <row r="1483" spans="1:11" x14ac:dyDescent="0.2">
      <c r="A1483" s="9" t="s">
        <v>52</v>
      </c>
      <c r="B1483" s="9" t="s">
        <v>271</v>
      </c>
      <c r="C1483" s="9"/>
      <c r="D1483" s="9" t="s">
        <v>78</v>
      </c>
      <c r="E1483" s="38">
        <v>3318</v>
      </c>
      <c r="F1483" s="39">
        <v>2356314.08</v>
      </c>
      <c r="G1483" s="40">
        <v>710.16096443640754</v>
      </c>
      <c r="H1483" s="41"/>
      <c r="I1483" s="40">
        <v>221.42525617842071</v>
      </c>
      <c r="J1483" s="41">
        <v>0.31179587060821712</v>
      </c>
      <c r="K1483" s="9" t="s">
        <v>2200</v>
      </c>
    </row>
    <row r="1484" spans="1:11" x14ac:dyDescent="0.2">
      <c r="A1484" s="9" t="s">
        <v>52</v>
      </c>
      <c r="B1484" s="9" t="s">
        <v>487</v>
      </c>
      <c r="C1484" s="9"/>
      <c r="D1484" s="9" t="s">
        <v>77</v>
      </c>
      <c r="E1484" s="38">
        <v>2066</v>
      </c>
      <c r="F1484" s="39">
        <v>1317006.56</v>
      </c>
      <c r="G1484" s="40">
        <v>637.46687318489842</v>
      </c>
      <c r="H1484" s="41"/>
      <c r="I1484" s="40">
        <v>67.352371732817033</v>
      </c>
      <c r="J1484" s="41">
        <v>0.10565626947218849</v>
      </c>
      <c r="K1484" s="9" t="s">
        <v>2201</v>
      </c>
    </row>
    <row r="1485" spans="1:11" x14ac:dyDescent="0.2">
      <c r="A1485" s="9" t="s">
        <v>52</v>
      </c>
      <c r="B1485" s="9" t="s">
        <v>2202</v>
      </c>
      <c r="C1485" s="9"/>
      <c r="D1485" s="9" t="s">
        <v>81</v>
      </c>
      <c r="E1485" s="38">
        <v>5602</v>
      </c>
      <c r="F1485" s="39">
        <v>2304478.2799999998</v>
      </c>
      <c r="G1485" s="40">
        <v>411.36706176365578</v>
      </c>
      <c r="H1485" s="41"/>
      <c r="I1485" s="40">
        <v>53.914851838629062</v>
      </c>
      <c r="J1485" s="41">
        <v>0.13106263687588329</v>
      </c>
      <c r="K1485" s="9" t="s">
        <v>2203</v>
      </c>
    </row>
    <row r="1486" spans="1:11" x14ac:dyDescent="0.2">
      <c r="A1486" s="9" t="s">
        <v>52</v>
      </c>
      <c r="B1486" s="9" t="s">
        <v>2204</v>
      </c>
      <c r="C1486" s="9"/>
      <c r="D1486" s="9" t="s">
        <v>80</v>
      </c>
      <c r="E1486" s="38">
        <v>712</v>
      </c>
      <c r="F1486" s="39">
        <v>609272</v>
      </c>
      <c r="G1486" s="40">
        <v>855.71910112359546</v>
      </c>
      <c r="H1486" s="41"/>
      <c r="I1486" s="40">
        <v>138.3369101123595</v>
      </c>
      <c r="J1486" s="41">
        <v>0.16166158956919069</v>
      </c>
      <c r="K1486" s="9" t="s">
        <v>2205</v>
      </c>
    </row>
    <row r="1487" spans="1:11" x14ac:dyDescent="0.2">
      <c r="A1487" s="9" t="s">
        <v>52</v>
      </c>
      <c r="B1487" s="9" t="s">
        <v>2206</v>
      </c>
      <c r="C1487" s="9"/>
      <c r="D1487" s="9" t="s">
        <v>76</v>
      </c>
      <c r="E1487" s="38">
        <v>4082</v>
      </c>
      <c r="F1487" s="39">
        <v>0</v>
      </c>
      <c r="G1487" s="40"/>
      <c r="H1487" s="41"/>
      <c r="I1487" s="40">
        <v>54.120284174424299</v>
      </c>
      <c r="J1487" s="41"/>
      <c r="K1487" s="9" t="s">
        <v>2207</v>
      </c>
    </row>
    <row r="1488" spans="1:11" x14ac:dyDescent="0.2">
      <c r="A1488" s="9" t="s">
        <v>52</v>
      </c>
      <c r="B1488" s="9" t="s">
        <v>1913</v>
      </c>
      <c r="C1488" s="9"/>
      <c r="D1488" s="9" t="s">
        <v>76</v>
      </c>
      <c r="E1488" s="38">
        <v>7616</v>
      </c>
      <c r="F1488" s="39">
        <v>1043002.43</v>
      </c>
      <c r="G1488" s="40">
        <v>136.94884847689079</v>
      </c>
      <c r="H1488" s="41"/>
      <c r="I1488" s="40">
        <v>16.758403361344541</v>
      </c>
      <c r="J1488" s="41">
        <v>0.1223698011902043</v>
      </c>
      <c r="K1488" s="9" t="s">
        <v>2208</v>
      </c>
    </row>
    <row r="1489" spans="1:11" x14ac:dyDescent="0.2">
      <c r="A1489" s="9" t="s">
        <v>52</v>
      </c>
      <c r="B1489" s="9" t="s">
        <v>489</v>
      </c>
      <c r="C1489" s="9"/>
      <c r="D1489" s="9" t="s">
        <v>82</v>
      </c>
      <c r="E1489" s="38">
        <v>3555</v>
      </c>
      <c r="F1489" s="39">
        <v>3825234.56</v>
      </c>
      <c r="G1489" s="40">
        <v>1076.0153473980311</v>
      </c>
      <c r="H1489" s="41"/>
      <c r="I1489" s="40">
        <v>96.567651195499295</v>
      </c>
      <c r="J1489" s="41">
        <v>8.9745607652357923E-2</v>
      </c>
      <c r="K1489" s="9" t="s">
        <v>2209</v>
      </c>
    </row>
    <row r="1490" spans="1:11" x14ac:dyDescent="0.2">
      <c r="A1490" s="9" t="s">
        <v>52</v>
      </c>
      <c r="B1490" s="9" t="s">
        <v>275</v>
      </c>
      <c r="C1490" s="9"/>
      <c r="D1490" s="9" t="s">
        <v>83</v>
      </c>
      <c r="E1490" s="38">
        <v>3519</v>
      </c>
      <c r="F1490" s="39">
        <v>2415944.52</v>
      </c>
      <c r="G1490" s="40">
        <v>686.54291560102297</v>
      </c>
      <c r="H1490" s="41"/>
      <c r="I1490" s="40">
        <v>93.313725490196077</v>
      </c>
      <c r="J1490" s="41">
        <v>0.13591827017617111</v>
      </c>
      <c r="K1490" s="9" t="s">
        <v>2210</v>
      </c>
    </row>
    <row r="1491" spans="1:11" x14ac:dyDescent="0.2">
      <c r="A1491" s="9" t="s">
        <v>52</v>
      </c>
      <c r="B1491" s="9" t="s">
        <v>277</v>
      </c>
      <c r="C1491" s="9"/>
      <c r="D1491" s="9" t="s">
        <v>76</v>
      </c>
      <c r="E1491" s="38">
        <v>742</v>
      </c>
      <c r="F1491" s="39">
        <v>895037.87</v>
      </c>
      <c r="G1491" s="40">
        <v>1206.2504986522911</v>
      </c>
      <c r="H1491" s="41"/>
      <c r="I1491" s="40">
        <v>265.13746630727758</v>
      </c>
      <c r="J1491" s="41">
        <v>0.21980299001203149</v>
      </c>
      <c r="K1491" s="9" t="s">
        <v>2211</v>
      </c>
    </row>
    <row r="1492" spans="1:11" x14ac:dyDescent="0.2">
      <c r="A1492" s="9" t="s">
        <v>52</v>
      </c>
      <c r="B1492" s="9" t="s">
        <v>2212</v>
      </c>
      <c r="C1492" s="9"/>
      <c r="D1492" s="9" t="s">
        <v>85</v>
      </c>
      <c r="E1492" s="38">
        <v>21161</v>
      </c>
      <c r="F1492" s="39">
        <v>0</v>
      </c>
      <c r="G1492" s="40"/>
      <c r="H1492" s="41"/>
      <c r="I1492" s="40">
        <v>5.6996852700723029</v>
      </c>
      <c r="J1492" s="41"/>
      <c r="K1492" s="9" t="s">
        <v>2213</v>
      </c>
    </row>
    <row r="1493" spans="1:11" x14ac:dyDescent="0.2">
      <c r="A1493" s="9" t="s">
        <v>52</v>
      </c>
      <c r="B1493" s="9" t="s">
        <v>279</v>
      </c>
      <c r="C1493" s="9"/>
      <c r="D1493" s="9" t="s">
        <v>76</v>
      </c>
      <c r="E1493" s="38">
        <v>5500</v>
      </c>
      <c r="F1493" s="39">
        <v>877394.23</v>
      </c>
      <c r="G1493" s="40">
        <v>159.5262236363636</v>
      </c>
      <c r="H1493" s="41"/>
      <c r="I1493" s="40">
        <v>20.446545454545451</v>
      </c>
      <c r="J1493" s="41">
        <v>0.12817043485686019</v>
      </c>
      <c r="K1493" s="9" t="s">
        <v>2214</v>
      </c>
    </row>
    <row r="1494" spans="1:11" x14ac:dyDescent="0.2">
      <c r="A1494" s="9" t="s">
        <v>52</v>
      </c>
      <c r="B1494" s="9" t="s">
        <v>494</v>
      </c>
      <c r="C1494" s="9"/>
      <c r="D1494" s="9" t="s">
        <v>85</v>
      </c>
      <c r="E1494" s="38">
        <v>1200</v>
      </c>
      <c r="F1494" s="39">
        <v>0</v>
      </c>
      <c r="G1494" s="40"/>
      <c r="H1494" s="41"/>
      <c r="I1494" s="40">
        <v>133.04</v>
      </c>
      <c r="J1494" s="41"/>
      <c r="K1494" s="9" t="s">
        <v>2215</v>
      </c>
    </row>
    <row r="1495" spans="1:11" x14ac:dyDescent="0.2">
      <c r="A1495" s="9" t="s">
        <v>52</v>
      </c>
      <c r="B1495" s="9" t="s">
        <v>283</v>
      </c>
      <c r="C1495" s="9"/>
      <c r="D1495" s="9" t="s">
        <v>78</v>
      </c>
      <c r="E1495" s="38">
        <v>691</v>
      </c>
      <c r="F1495" s="39">
        <v>256714.23999999999</v>
      </c>
      <c r="G1495" s="40">
        <v>371.51120115774239</v>
      </c>
      <c r="H1495" s="41"/>
      <c r="I1495" s="40">
        <v>141.0173661360347</v>
      </c>
      <c r="J1495" s="41">
        <v>0.37957769697543853</v>
      </c>
      <c r="K1495" s="9" t="s">
        <v>2216</v>
      </c>
    </row>
    <row r="1496" spans="1:11" x14ac:dyDescent="0.2">
      <c r="A1496" s="9" t="s">
        <v>52</v>
      </c>
      <c r="B1496" s="9" t="s">
        <v>497</v>
      </c>
      <c r="C1496" s="9"/>
      <c r="D1496" s="9" t="s">
        <v>76</v>
      </c>
      <c r="E1496" s="38">
        <v>2700</v>
      </c>
      <c r="F1496" s="39">
        <v>768322.79</v>
      </c>
      <c r="G1496" s="40">
        <v>284.5639962962963</v>
      </c>
      <c r="H1496" s="41"/>
      <c r="I1496" s="40">
        <v>23.76776918518518</v>
      </c>
      <c r="J1496" s="41">
        <v>8.3523458675487147E-2</v>
      </c>
      <c r="K1496" s="9" t="s">
        <v>2217</v>
      </c>
    </row>
    <row r="1497" spans="1:11" x14ac:dyDescent="0.2">
      <c r="A1497" s="9" t="s">
        <v>52</v>
      </c>
      <c r="B1497" s="9" t="s">
        <v>285</v>
      </c>
      <c r="C1497" s="9"/>
      <c r="D1497" s="9" t="s">
        <v>76</v>
      </c>
      <c r="E1497" s="38">
        <v>3200</v>
      </c>
      <c r="F1497" s="39">
        <v>6204851.5899999999</v>
      </c>
      <c r="G1497" s="40">
        <v>1939.016121875</v>
      </c>
      <c r="H1497" s="41"/>
      <c r="I1497" s="40">
        <v>82.587187499999999</v>
      </c>
      <c r="J1497" s="41">
        <v>4.2592316055701178E-2</v>
      </c>
      <c r="K1497" s="9" t="s">
        <v>2218</v>
      </c>
    </row>
    <row r="1498" spans="1:11" x14ac:dyDescent="0.2">
      <c r="A1498" s="9" t="s">
        <v>52</v>
      </c>
      <c r="B1498" s="9" t="s">
        <v>287</v>
      </c>
      <c r="C1498" s="9"/>
      <c r="D1498" s="9" t="s">
        <v>79</v>
      </c>
      <c r="E1498" s="38">
        <v>1475</v>
      </c>
      <c r="F1498" s="39">
        <v>837277.57</v>
      </c>
      <c r="G1498" s="40">
        <v>567.64581016949148</v>
      </c>
      <c r="H1498" s="41"/>
      <c r="I1498" s="40">
        <v>90.153220338983047</v>
      </c>
      <c r="J1498" s="41">
        <v>0.15881949399408851</v>
      </c>
      <c r="K1498" s="9" t="s">
        <v>2219</v>
      </c>
    </row>
    <row r="1499" spans="1:11" x14ac:dyDescent="0.2">
      <c r="A1499" s="9" t="s">
        <v>52</v>
      </c>
      <c r="B1499" s="9" t="s">
        <v>502</v>
      </c>
      <c r="C1499" s="9"/>
      <c r="D1499" s="9" t="s">
        <v>86</v>
      </c>
      <c r="E1499" s="38">
        <v>170000</v>
      </c>
      <c r="F1499" s="39">
        <v>22000000</v>
      </c>
      <c r="G1499" s="40">
        <v>129.41176470588229</v>
      </c>
      <c r="H1499" s="41"/>
      <c r="I1499" s="40">
        <v>16.963370588235289</v>
      </c>
      <c r="J1499" s="41">
        <v>0.13108059090909091</v>
      </c>
      <c r="K1499" s="9" t="s">
        <v>2220</v>
      </c>
    </row>
    <row r="1500" spans="1:11" x14ac:dyDescent="0.2">
      <c r="A1500" s="9" t="s">
        <v>52</v>
      </c>
      <c r="B1500" s="9" t="s">
        <v>2221</v>
      </c>
      <c r="C1500" s="9"/>
      <c r="D1500" s="9" t="s">
        <v>78</v>
      </c>
      <c r="E1500" s="38">
        <v>1877</v>
      </c>
      <c r="F1500" s="39">
        <v>1019637</v>
      </c>
      <c r="G1500" s="40">
        <v>543.22695791156104</v>
      </c>
      <c r="H1500" s="41"/>
      <c r="I1500" s="40">
        <v>100.14704315396909</v>
      </c>
      <c r="J1500" s="41">
        <v>0.1843558050561131</v>
      </c>
      <c r="K1500" s="9" t="s">
        <v>2222</v>
      </c>
    </row>
    <row r="1501" spans="1:11" x14ac:dyDescent="0.2">
      <c r="A1501" s="9" t="s">
        <v>52</v>
      </c>
      <c r="B1501" s="9" t="s">
        <v>508</v>
      </c>
      <c r="C1501" s="9"/>
      <c r="D1501" s="9" t="s">
        <v>76</v>
      </c>
      <c r="E1501" s="38">
        <v>3000</v>
      </c>
      <c r="F1501" s="39">
        <v>2414971.6</v>
      </c>
      <c r="G1501" s="40">
        <v>804.99053333333336</v>
      </c>
      <c r="H1501" s="41"/>
      <c r="I1501" s="40">
        <v>49.063647799999998</v>
      </c>
      <c r="J1501" s="41">
        <v>6.0949347561685602E-2</v>
      </c>
      <c r="K1501" s="9" t="s">
        <v>2223</v>
      </c>
    </row>
    <row r="1502" spans="1:11" x14ac:dyDescent="0.2">
      <c r="A1502" s="9" t="s">
        <v>52</v>
      </c>
      <c r="B1502" s="9" t="s">
        <v>2224</v>
      </c>
      <c r="C1502" s="9"/>
      <c r="D1502" s="9" t="s">
        <v>80</v>
      </c>
      <c r="E1502" s="38">
        <v>649</v>
      </c>
      <c r="F1502" s="39">
        <v>54000</v>
      </c>
      <c r="G1502" s="40">
        <v>83.204930662557786</v>
      </c>
      <c r="H1502" s="41"/>
      <c r="I1502" s="40">
        <v>178.06471494607089</v>
      </c>
      <c r="J1502" s="41">
        <v>2.1400740740740741E-2</v>
      </c>
      <c r="K1502" s="9" t="s">
        <v>2225</v>
      </c>
    </row>
    <row r="1503" spans="1:11" x14ac:dyDescent="0.2">
      <c r="A1503" s="9" t="s">
        <v>52</v>
      </c>
      <c r="B1503" s="9" t="s">
        <v>2226</v>
      </c>
      <c r="C1503" s="9"/>
      <c r="D1503" s="9" t="s">
        <v>81</v>
      </c>
      <c r="E1503" s="38">
        <v>8926</v>
      </c>
      <c r="F1503" s="39">
        <v>0</v>
      </c>
      <c r="G1503" s="40"/>
      <c r="H1503" s="41"/>
      <c r="I1503" s="40">
        <v>18.409926058704912</v>
      </c>
      <c r="J1503" s="41"/>
      <c r="K1503" s="9" t="s">
        <v>2227</v>
      </c>
    </row>
    <row r="1504" spans="1:11" x14ac:dyDescent="0.2">
      <c r="A1504" s="9" t="s">
        <v>52</v>
      </c>
      <c r="B1504" s="9" t="s">
        <v>2228</v>
      </c>
      <c r="C1504" s="9"/>
      <c r="D1504" s="9" t="s">
        <v>83</v>
      </c>
      <c r="E1504" s="38">
        <v>1300</v>
      </c>
      <c r="F1504" s="39">
        <v>447184.53</v>
      </c>
      <c r="G1504" s="40">
        <v>343.98809999999997</v>
      </c>
      <c r="H1504" s="41"/>
      <c r="I1504" s="40">
        <v>72.557692307692307</v>
      </c>
      <c r="J1504" s="41">
        <v>0.2109308208850606</v>
      </c>
      <c r="K1504" s="9" t="s">
        <v>2229</v>
      </c>
    </row>
    <row r="1505" spans="1:11" x14ac:dyDescent="0.2">
      <c r="A1505" s="9" t="s">
        <v>52</v>
      </c>
      <c r="B1505" s="9" t="s">
        <v>2059</v>
      </c>
      <c r="C1505" s="9"/>
      <c r="D1505" s="9" t="s">
        <v>82</v>
      </c>
      <c r="E1505" s="38">
        <v>5212</v>
      </c>
      <c r="F1505" s="39">
        <v>472269</v>
      </c>
      <c r="G1505" s="40">
        <v>90.611857252494246</v>
      </c>
      <c r="H1505" s="41"/>
      <c r="I1505" s="40">
        <v>31.65771297006907</v>
      </c>
      <c r="J1505" s="41">
        <v>0.34937715581585921</v>
      </c>
      <c r="K1505" s="9" t="s">
        <v>2230</v>
      </c>
    </row>
    <row r="1506" spans="1:11" x14ac:dyDescent="0.2">
      <c r="A1506" s="9" t="s">
        <v>52</v>
      </c>
      <c r="B1506" s="9" t="s">
        <v>800</v>
      </c>
      <c r="C1506" s="9"/>
      <c r="D1506" s="9" t="s">
        <v>86</v>
      </c>
      <c r="E1506" s="38">
        <v>30357</v>
      </c>
      <c r="F1506" s="39">
        <v>8100000</v>
      </c>
      <c r="G1506" s="40">
        <v>266.82478505781211</v>
      </c>
      <c r="H1506" s="41"/>
      <c r="I1506" s="40">
        <v>22.333546793161378</v>
      </c>
      <c r="J1506" s="41">
        <v>8.3701170370370365E-2</v>
      </c>
      <c r="K1506" s="9" t="s">
        <v>2231</v>
      </c>
    </row>
    <row r="1507" spans="1:11" x14ac:dyDescent="0.2">
      <c r="A1507" s="9" t="s">
        <v>52</v>
      </c>
      <c r="B1507" s="9" t="s">
        <v>710</v>
      </c>
      <c r="C1507" s="9"/>
      <c r="D1507" s="9" t="s">
        <v>76</v>
      </c>
      <c r="E1507" s="38">
        <v>2200</v>
      </c>
      <c r="F1507" s="39">
        <v>868491.99</v>
      </c>
      <c r="G1507" s="40">
        <v>394.76908636363629</v>
      </c>
      <c r="H1507" s="41"/>
      <c r="I1507" s="40">
        <v>70.525000000000006</v>
      </c>
      <c r="J1507" s="41">
        <v>0.17864874032977551</v>
      </c>
      <c r="K1507" s="9" t="s">
        <v>2232</v>
      </c>
    </row>
    <row r="1508" spans="1:11" x14ac:dyDescent="0.2">
      <c r="A1508" s="9" t="s">
        <v>52</v>
      </c>
      <c r="B1508" s="9" t="s">
        <v>2062</v>
      </c>
      <c r="C1508" s="9"/>
      <c r="D1508" s="9" t="s">
        <v>77</v>
      </c>
      <c r="E1508" s="38">
        <v>21341</v>
      </c>
      <c r="F1508" s="39">
        <v>3255675.8</v>
      </c>
      <c r="G1508" s="40">
        <v>152.55497867953699</v>
      </c>
      <c r="H1508" s="41"/>
      <c r="I1508" s="40">
        <v>20.958439623072959</v>
      </c>
      <c r="J1508" s="41">
        <v>0.13738286226042529</v>
      </c>
      <c r="K1508" s="9" t="s">
        <v>2233</v>
      </c>
    </row>
    <row r="1509" spans="1:11" x14ac:dyDescent="0.2">
      <c r="A1509" s="9" t="s">
        <v>52</v>
      </c>
      <c r="B1509" s="9" t="s">
        <v>1816</v>
      </c>
      <c r="C1509" s="9"/>
      <c r="D1509" s="9" t="s">
        <v>76</v>
      </c>
      <c r="E1509" s="38">
        <v>3270</v>
      </c>
      <c r="F1509" s="39">
        <v>1415281.74</v>
      </c>
      <c r="G1509" s="40">
        <v>432.80787155963299</v>
      </c>
      <c r="H1509" s="41"/>
      <c r="I1509" s="40">
        <v>62.917737003058107</v>
      </c>
      <c r="J1509" s="41">
        <v>0.14537105523597019</v>
      </c>
      <c r="K1509" s="9" t="s">
        <v>2234</v>
      </c>
    </row>
    <row r="1510" spans="1:11" x14ac:dyDescent="0.2">
      <c r="A1510" s="9" t="s">
        <v>52</v>
      </c>
      <c r="B1510" s="9" t="s">
        <v>1149</v>
      </c>
      <c r="C1510" s="9"/>
      <c r="D1510" s="9" t="s">
        <v>76</v>
      </c>
      <c r="E1510" s="38">
        <v>15031</v>
      </c>
      <c r="F1510" s="39">
        <v>3224816.26</v>
      </c>
      <c r="G1510" s="40">
        <v>214.54435899141771</v>
      </c>
      <c r="H1510" s="41"/>
      <c r="I1510" s="40">
        <v>41.000002661166917</v>
      </c>
      <c r="J1510" s="41">
        <v>0.19110268316496271</v>
      </c>
      <c r="K1510" s="9" t="s">
        <v>2235</v>
      </c>
    </row>
    <row r="1511" spans="1:11" x14ac:dyDescent="0.2">
      <c r="A1511" s="9" t="s">
        <v>52</v>
      </c>
      <c r="B1511" s="9" t="s">
        <v>603</v>
      </c>
      <c r="C1511" s="9"/>
      <c r="D1511" s="9" t="s">
        <v>81</v>
      </c>
      <c r="E1511" s="38">
        <v>7200</v>
      </c>
      <c r="F1511" s="39">
        <v>3171646.61</v>
      </c>
      <c r="G1511" s="40">
        <v>440.50647361111112</v>
      </c>
      <c r="H1511" s="41"/>
      <c r="I1511" s="40">
        <v>49.266077777777781</v>
      </c>
      <c r="J1511" s="41">
        <v>0.11183962263689901</v>
      </c>
      <c r="K1511" s="9" t="s">
        <v>2236</v>
      </c>
    </row>
    <row r="1512" spans="1:11" x14ac:dyDescent="0.2">
      <c r="A1512" s="9" t="s">
        <v>52</v>
      </c>
      <c r="B1512" s="9" t="s">
        <v>317</v>
      </c>
      <c r="C1512" s="9"/>
      <c r="D1512" s="9" t="s">
        <v>76</v>
      </c>
      <c r="E1512" s="38">
        <v>4000</v>
      </c>
      <c r="F1512" s="39">
        <v>1801766.99</v>
      </c>
      <c r="G1512" s="40">
        <v>450.44174750000002</v>
      </c>
      <c r="H1512" s="41"/>
      <c r="I1512" s="40">
        <v>65.955250000000007</v>
      </c>
      <c r="J1512" s="41">
        <v>0.14642348398224339</v>
      </c>
      <c r="K1512" s="9" t="s">
        <v>2237</v>
      </c>
    </row>
    <row r="1513" spans="1:11" x14ac:dyDescent="0.2">
      <c r="A1513" s="9" t="s">
        <v>52</v>
      </c>
      <c r="B1513" s="9" t="s">
        <v>321</v>
      </c>
      <c r="C1513" s="9"/>
      <c r="D1513" s="9" t="s">
        <v>78</v>
      </c>
      <c r="E1513" s="38">
        <v>1022</v>
      </c>
      <c r="F1513" s="39">
        <v>1761393</v>
      </c>
      <c r="G1513" s="40">
        <v>1723.476516634051</v>
      </c>
      <c r="H1513" s="41"/>
      <c r="I1513" s="40">
        <v>144.67416829745599</v>
      </c>
      <c r="J1513" s="41">
        <v>8.3943219940126934E-2</v>
      </c>
      <c r="K1513" s="9" t="s">
        <v>2238</v>
      </c>
    </row>
    <row r="1514" spans="1:11" x14ac:dyDescent="0.2">
      <c r="A1514" s="9" t="s">
        <v>52</v>
      </c>
      <c r="B1514" s="9" t="s">
        <v>323</v>
      </c>
      <c r="C1514" s="9"/>
      <c r="D1514" s="9" t="s">
        <v>81</v>
      </c>
      <c r="E1514" s="38">
        <v>4000</v>
      </c>
      <c r="F1514" s="39">
        <v>2969475.42</v>
      </c>
      <c r="G1514" s="40">
        <v>742.36885499999994</v>
      </c>
      <c r="H1514" s="41"/>
      <c r="I1514" s="40">
        <v>51.5565</v>
      </c>
      <c r="J1514" s="41">
        <v>6.9448630088340652E-2</v>
      </c>
      <c r="K1514" s="9" t="s">
        <v>2239</v>
      </c>
    </row>
    <row r="1515" spans="1:11" x14ac:dyDescent="0.2">
      <c r="A1515" s="9" t="s">
        <v>52</v>
      </c>
      <c r="B1515" s="9" t="s">
        <v>2240</v>
      </c>
      <c r="C1515" s="9"/>
      <c r="D1515" s="9" t="s">
        <v>83</v>
      </c>
      <c r="E1515" s="38">
        <v>30</v>
      </c>
      <c r="F1515" s="39">
        <v>65934.87</v>
      </c>
      <c r="G1515" s="40">
        <v>2197.8290000000002</v>
      </c>
      <c r="H1515" s="41"/>
      <c r="I1515" s="40">
        <v>995.76666666666665</v>
      </c>
      <c r="J1515" s="41">
        <v>0.45306830816531529</v>
      </c>
      <c r="K1515" s="9" t="s">
        <v>2241</v>
      </c>
    </row>
    <row r="1516" spans="1:11" x14ac:dyDescent="0.2">
      <c r="A1516" s="9" t="s">
        <v>52</v>
      </c>
      <c r="B1516" s="9" t="s">
        <v>2240</v>
      </c>
      <c r="C1516" s="9"/>
      <c r="D1516" s="9" t="s">
        <v>83</v>
      </c>
      <c r="E1516" s="38">
        <v>5</v>
      </c>
      <c r="F1516" s="39">
        <v>10074.65</v>
      </c>
      <c r="G1516" s="40">
        <v>2014.93</v>
      </c>
      <c r="H1516" s="41"/>
      <c r="I1516" s="40">
        <v>1002.9</v>
      </c>
      <c r="J1516" s="41">
        <v>0.49773441260986728</v>
      </c>
      <c r="K1516" s="9" t="s">
        <v>2241</v>
      </c>
    </row>
    <row r="1517" spans="1:11" x14ac:dyDescent="0.2">
      <c r="A1517" s="9" t="s">
        <v>52</v>
      </c>
      <c r="B1517" s="9" t="s">
        <v>2242</v>
      </c>
      <c r="C1517" s="9"/>
      <c r="D1517" s="9" t="s">
        <v>80</v>
      </c>
      <c r="E1517" s="38">
        <v>856</v>
      </c>
      <c r="F1517" s="39">
        <v>250425.76</v>
      </c>
      <c r="G1517" s="40">
        <v>292.55345794392531</v>
      </c>
      <c r="H1517" s="41"/>
      <c r="I1517" s="40">
        <v>68.00934579439253</v>
      </c>
      <c r="J1517" s="41">
        <v>0.2324680975311805</v>
      </c>
      <c r="K1517" s="9" t="s">
        <v>2243</v>
      </c>
    </row>
    <row r="1518" spans="1:11" x14ac:dyDescent="0.2">
      <c r="A1518" s="9" t="s">
        <v>52</v>
      </c>
      <c r="B1518" s="9" t="s">
        <v>715</v>
      </c>
      <c r="C1518" s="9"/>
      <c r="D1518" s="9" t="s">
        <v>76</v>
      </c>
      <c r="E1518" s="38">
        <v>6157</v>
      </c>
      <c r="F1518" s="39">
        <v>2288235</v>
      </c>
      <c r="G1518" s="40">
        <v>371.6477180445022</v>
      </c>
      <c r="H1518" s="41"/>
      <c r="I1518" s="40">
        <v>76.316063017703428</v>
      </c>
      <c r="J1518" s="41">
        <v>0.20534516778215531</v>
      </c>
      <c r="K1518" s="9" t="s">
        <v>2244</v>
      </c>
    </row>
    <row r="1519" spans="1:11" x14ac:dyDescent="0.2">
      <c r="A1519" s="9" t="s">
        <v>52</v>
      </c>
      <c r="B1519" s="9" t="s">
        <v>607</v>
      </c>
      <c r="C1519" s="9"/>
      <c r="D1519" s="9" t="s">
        <v>85</v>
      </c>
      <c r="E1519" s="38">
        <v>11213</v>
      </c>
      <c r="F1519" s="39">
        <v>3440470.1</v>
      </c>
      <c r="G1519" s="40">
        <v>306.82868991349329</v>
      </c>
      <c r="H1519" s="41"/>
      <c r="I1519" s="40">
        <v>22.572906447873009</v>
      </c>
      <c r="J1519" s="41">
        <v>7.3568434732218718E-2</v>
      </c>
      <c r="K1519" s="9" t="s">
        <v>2245</v>
      </c>
    </row>
    <row r="1520" spans="1:11" x14ac:dyDescent="0.2">
      <c r="A1520" s="9" t="s">
        <v>52</v>
      </c>
      <c r="B1520" s="9" t="s">
        <v>2246</v>
      </c>
      <c r="C1520" s="9"/>
      <c r="D1520" s="9" t="s">
        <v>81</v>
      </c>
      <c r="E1520" s="38">
        <v>967</v>
      </c>
      <c r="F1520" s="39">
        <v>98949.23</v>
      </c>
      <c r="G1520" s="40">
        <v>102.32598759048599</v>
      </c>
      <c r="H1520" s="41"/>
      <c r="I1520" s="40">
        <v>107.4550155118925</v>
      </c>
      <c r="J1520" s="41">
        <v>1.050124392074602E-2</v>
      </c>
      <c r="K1520" s="9" t="s">
        <v>2247</v>
      </c>
    </row>
    <row r="1521" spans="1:11" x14ac:dyDescent="0.2">
      <c r="A1521" s="9" t="s">
        <v>52</v>
      </c>
      <c r="B1521" s="9" t="s">
        <v>2248</v>
      </c>
      <c r="C1521" s="9"/>
      <c r="D1521" s="9" t="s">
        <v>76</v>
      </c>
      <c r="E1521" s="38">
        <v>5754</v>
      </c>
      <c r="F1521" s="39">
        <v>0</v>
      </c>
      <c r="G1521" s="40"/>
      <c r="H1521" s="41"/>
      <c r="I1521" s="40">
        <v>29.341334723670489</v>
      </c>
      <c r="J1521" s="41"/>
      <c r="K1521" s="9" t="s">
        <v>2249</v>
      </c>
    </row>
    <row r="1522" spans="1:11" x14ac:dyDescent="0.2">
      <c r="A1522" s="9" t="s">
        <v>52</v>
      </c>
      <c r="B1522" s="9" t="s">
        <v>2073</v>
      </c>
      <c r="C1522" s="9"/>
      <c r="D1522" s="9" t="s">
        <v>85</v>
      </c>
      <c r="E1522" s="38">
        <v>76000</v>
      </c>
      <c r="F1522" s="39">
        <v>5849917.3899999997</v>
      </c>
      <c r="G1522" s="40">
        <v>76.972597236842105</v>
      </c>
      <c r="H1522" s="41"/>
      <c r="I1522" s="40">
        <v>18.421052631578949</v>
      </c>
      <c r="J1522" s="41">
        <v>0.23931961883653199</v>
      </c>
      <c r="K1522" s="9" t="s">
        <v>2250</v>
      </c>
    </row>
    <row r="1523" spans="1:11" x14ac:dyDescent="0.2">
      <c r="A1523" s="9" t="s">
        <v>52</v>
      </c>
      <c r="B1523" s="9" t="s">
        <v>2073</v>
      </c>
      <c r="C1523" s="9"/>
      <c r="D1523" s="9" t="s">
        <v>85</v>
      </c>
      <c r="E1523" s="38">
        <v>17111</v>
      </c>
      <c r="F1523" s="39">
        <v>1462477.32</v>
      </c>
      <c r="G1523" s="40">
        <v>85.47000876629069</v>
      </c>
      <c r="H1523" s="41"/>
      <c r="I1523" s="40">
        <v>20.45467360177663</v>
      </c>
      <c r="J1523" s="41">
        <v>0.23931989591469349</v>
      </c>
      <c r="K1523" s="9" t="s">
        <v>2250</v>
      </c>
    </row>
    <row r="1524" spans="1:11" x14ac:dyDescent="0.2">
      <c r="A1524" s="9" t="s">
        <v>52</v>
      </c>
      <c r="B1524" s="9" t="s">
        <v>2251</v>
      </c>
      <c r="C1524" s="9"/>
      <c r="D1524" s="9" t="s">
        <v>78</v>
      </c>
      <c r="E1524" s="38">
        <v>2093</v>
      </c>
      <c r="F1524" s="39">
        <v>0</v>
      </c>
      <c r="G1524" s="40"/>
      <c r="H1524" s="41"/>
      <c r="I1524" s="40">
        <v>23.621595795508838</v>
      </c>
      <c r="J1524" s="41"/>
      <c r="K1524" s="9" t="s">
        <v>2252</v>
      </c>
    </row>
    <row r="1525" spans="1:11" x14ac:dyDescent="0.2">
      <c r="A1525" s="9" t="s">
        <v>52</v>
      </c>
      <c r="B1525" s="9" t="s">
        <v>2253</v>
      </c>
      <c r="C1525" s="9"/>
      <c r="D1525" s="9" t="s">
        <v>85</v>
      </c>
      <c r="E1525" s="38">
        <v>20368</v>
      </c>
      <c r="F1525" s="39">
        <v>0</v>
      </c>
      <c r="G1525" s="40"/>
      <c r="H1525" s="41"/>
      <c r="I1525" s="40">
        <v>15.751419874312649</v>
      </c>
      <c r="J1525" s="41"/>
      <c r="K1525" s="9" t="s">
        <v>2254</v>
      </c>
    </row>
    <row r="1526" spans="1:11" x14ac:dyDescent="0.2">
      <c r="A1526" s="9" t="s">
        <v>52</v>
      </c>
      <c r="B1526" s="9" t="s">
        <v>2255</v>
      </c>
      <c r="C1526" s="9"/>
      <c r="D1526" s="9" t="s">
        <v>85</v>
      </c>
      <c r="E1526" s="38">
        <v>41583</v>
      </c>
      <c r="F1526" s="39">
        <v>1440577.01</v>
      </c>
      <c r="G1526" s="40">
        <v>34.643412211721127</v>
      </c>
      <c r="H1526" s="41"/>
      <c r="I1526" s="40">
        <v>8.0625844695187929</v>
      </c>
      <c r="J1526" s="41">
        <v>0.23273066810638601</v>
      </c>
      <c r="K1526" s="9" t="s">
        <v>2256</v>
      </c>
    </row>
    <row r="1527" spans="1:11" x14ac:dyDescent="0.2">
      <c r="A1527" s="9" t="s">
        <v>52</v>
      </c>
      <c r="B1527" s="9" t="s">
        <v>948</v>
      </c>
      <c r="C1527" s="9"/>
      <c r="D1527" s="9" t="s">
        <v>76</v>
      </c>
      <c r="E1527" s="38">
        <v>5215</v>
      </c>
      <c r="F1527" s="39">
        <v>673630.5</v>
      </c>
      <c r="G1527" s="40">
        <v>129.17171620325979</v>
      </c>
      <c r="H1527" s="41"/>
      <c r="I1527" s="40">
        <v>26.845637583892621</v>
      </c>
      <c r="J1527" s="41">
        <v>0.2078290694972986</v>
      </c>
      <c r="K1527" s="9" t="s">
        <v>2257</v>
      </c>
    </row>
    <row r="1528" spans="1:11" x14ac:dyDescent="0.2">
      <c r="A1528" s="9" t="s">
        <v>52</v>
      </c>
      <c r="B1528" s="9" t="s">
        <v>2258</v>
      </c>
      <c r="C1528" s="9"/>
      <c r="D1528" s="9" t="s">
        <v>80</v>
      </c>
      <c r="E1528" s="38">
        <v>898</v>
      </c>
      <c r="F1528" s="39">
        <v>582513.92000000004</v>
      </c>
      <c r="G1528" s="40">
        <v>648.67919821826285</v>
      </c>
      <c r="H1528" s="41"/>
      <c r="I1528" s="40">
        <v>197.77394209354119</v>
      </c>
      <c r="J1528" s="41">
        <v>0.30488713471430862</v>
      </c>
      <c r="K1528" s="9" t="s">
        <v>2259</v>
      </c>
    </row>
    <row r="1529" spans="1:11" x14ac:dyDescent="0.2">
      <c r="A1529" s="9" t="s">
        <v>52</v>
      </c>
      <c r="B1529" s="9" t="s">
        <v>339</v>
      </c>
      <c r="C1529" s="9"/>
      <c r="D1529" s="9" t="s">
        <v>80</v>
      </c>
      <c r="E1529" s="38">
        <v>805</v>
      </c>
      <c r="F1529" s="39">
        <v>954209.5</v>
      </c>
      <c r="G1529" s="40">
        <v>1185.3534161490679</v>
      </c>
      <c r="H1529" s="41"/>
      <c r="I1529" s="40">
        <v>160.94658385093169</v>
      </c>
      <c r="J1529" s="41">
        <v>0.1357794069331735</v>
      </c>
      <c r="K1529" s="9" t="s">
        <v>2260</v>
      </c>
    </row>
    <row r="1530" spans="1:11" x14ac:dyDescent="0.2">
      <c r="A1530" s="9" t="s">
        <v>52</v>
      </c>
      <c r="B1530" s="9" t="s">
        <v>2261</v>
      </c>
      <c r="C1530" s="9"/>
      <c r="D1530" s="9" t="s">
        <v>78</v>
      </c>
      <c r="E1530" s="38">
        <v>150</v>
      </c>
      <c r="F1530" s="39">
        <v>0</v>
      </c>
      <c r="G1530" s="40"/>
      <c r="H1530" s="41"/>
      <c r="I1530" s="40">
        <v>661.04</v>
      </c>
      <c r="J1530" s="41"/>
      <c r="K1530" s="9" t="s">
        <v>2262</v>
      </c>
    </row>
    <row r="1531" spans="1:11" x14ac:dyDescent="0.2">
      <c r="A1531" s="9" t="s">
        <v>52</v>
      </c>
      <c r="B1531" s="9" t="s">
        <v>1296</v>
      </c>
      <c r="C1531" s="9"/>
      <c r="D1531" s="9" t="s">
        <v>82</v>
      </c>
      <c r="E1531" s="38">
        <v>1112</v>
      </c>
      <c r="F1531" s="39">
        <v>305162.23999999999</v>
      </c>
      <c r="G1531" s="40">
        <v>274.42647482014388</v>
      </c>
      <c r="H1531" s="41"/>
      <c r="I1531" s="40">
        <v>43.708633093525179</v>
      </c>
      <c r="J1531" s="41">
        <v>0.15927265444112609</v>
      </c>
      <c r="K1531" s="9" t="s">
        <v>2263</v>
      </c>
    </row>
    <row r="1532" spans="1:11" x14ac:dyDescent="0.2">
      <c r="A1532" s="9" t="s">
        <v>52</v>
      </c>
      <c r="B1532" s="9" t="s">
        <v>2264</v>
      </c>
      <c r="C1532" s="9"/>
      <c r="D1532" s="9" t="s">
        <v>80</v>
      </c>
      <c r="E1532" s="38">
        <v>2667</v>
      </c>
      <c r="F1532" s="39">
        <v>1309769.21</v>
      </c>
      <c r="G1532" s="40">
        <v>491.10206599175098</v>
      </c>
      <c r="H1532" s="41"/>
      <c r="I1532" s="40">
        <v>26.996625421822269</v>
      </c>
      <c r="J1532" s="41">
        <v>5.497151669949548E-2</v>
      </c>
      <c r="K1532" s="9" t="s">
        <v>2265</v>
      </c>
    </row>
    <row r="1533" spans="1:11" x14ac:dyDescent="0.2">
      <c r="A1533" s="9" t="s">
        <v>52</v>
      </c>
      <c r="B1533" s="9" t="s">
        <v>2266</v>
      </c>
      <c r="C1533" s="9"/>
      <c r="D1533" s="9" t="s">
        <v>77</v>
      </c>
      <c r="E1533" s="38">
        <v>3519</v>
      </c>
      <c r="F1533" s="39">
        <v>0</v>
      </c>
      <c r="G1533" s="40"/>
      <c r="H1533" s="41"/>
      <c r="I1533" s="40">
        <v>83.249786871270246</v>
      </c>
      <c r="J1533" s="41"/>
      <c r="K1533" s="9" t="s">
        <v>2267</v>
      </c>
    </row>
    <row r="1534" spans="1:11" x14ac:dyDescent="0.2">
      <c r="A1534" s="9" t="s">
        <v>52</v>
      </c>
      <c r="B1534" s="9" t="s">
        <v>353</v>
      </c>
      <c r="C1534" s="9"/>
      <c r="D1534" s="9" t="s">
        <v>76</v>
      </c>
      <c r="E1534" s="38">
        <v>2434</v>
      </c>
      <c r="F1534" s="39">
        <v>492316.84</v>
      </c>
      <c r="G1534" s="40">
        <v>202.26657354149549</v>
      </c>
      <c r="H1534" s="41"/>
      <c r="I1534" s="40">
        <v>26.117502054231721</v>
      </c>
      <c r="J1534" s="41">
        <v>0.1291241632116423</v>
      </c>
      <c r="K1534" s="9" t="s">
        <v>2268</v>
      </c>
    </row>
    <row r="1535" spans="1:11" x14ac:dyDescent="0.2">
      <c r="A1535" s="9" t="s">
        <v>52</v>
      </c>
      <c r="B1535" s="9" t="s">
        <v>355</v>
      </c>
      <c r="C1535" s="9"/>
      <c r="D1535" s="9" t="s">
        <v>82</v>
      </c>
      <c r="E1535" s="38">
        <v>2000</v>
      </c>
      <c r="F1535" s="39">
        <v>1716476.72</v>
      </c>
      <c r="G1535" s="40">
        <v>858.23835999999994</v>
      </c>
      <c r="H1535" s="41"/>
      <c r="I1535" s="40">
        <v>145.80950000000001</v>
      </c>
      <c r="J1535" s="41">
        <v>0.16989394414856959</v>
      </c>
      <c r="K1535" s="9" t="s">
        <v>2269</v>
      </c>
    </row>
    <row r="1536" spans="1:11" x14ac:dyDescent="0.2">
      <c r="A1536" s="9" t="s">
        <v>52</v>
      </c>
      <c r="B1536" s="9" t="s">
        <v>538</v>
      </c>
      <c r="C1536" s="9"/>
      <c r="D1536" s="9" t="s">
        <v>80</v>
      </c>
      <c r="E1536" s="38">
        <v>1108</v>
      </c>
      <c r="F1536" s="39">
        <v>1620444.06</v>
      </c>
      <c r="G1536" s="40">
        <v>1462.49463898917</v>
      </c>
      <c r="H1536" s="41"/>
      <c r="I1536" s="40">
        <v>211.8384476534296</v>
      </c>
      <c r="J1536" s="41">
        <v>0.14484733277370901</v>
      </c>
      <c r="K1536" s="9" t="s">
        <v>2270</v>
      </c>
    </row>
    <row r="1537" spans="1:11" x14ac:dyDescent="0.2">
      <c r="A1537" s="9" t="s">
        <v>52</v>
      </c>
      <c r="B1537" s="9" t="s">
        <v>2271</v>
      </c>
      <c r="C1537" s="9"/>
      <c r="D1537" s="9" t="s">
        <v>77</v>
      </c>
      <c r="E1537" s="38">
        <v>1978</v>
      </c>
      <c r="F1537" s="39">
        <v>445947.18</v>
      </c>
      <c r="G1537" s="40">
        <v>225.45357937310411</v>
      </c>
      <c r="H1537" s="41"/>
      <c r="I1537" s="40">
        <v>36.834157735085952</v>
      </c>
      <c r="J1537" s="41">
        <v>0.16337801261575419</v>
      </c>
      <c r="K1537" s="9" t="s">
        <v>2272</v>
      </c>
    </row>
    <row r="1538" spans="1:11" x14ac:dyDescent="0.2">
      <c r="A1538" s="9" t="s">
        <v>52</v>
      </c>
      <c r="B1538" s="9" t="s">
        <v>2273</v>
      </c>
      <c r="C1538" s="9"/>
      <c r="D1538" s="9" t="s">
        <v>77</v>
      </c>
      <c r="E1538" s="38">
        <v>2492</v>
      </c>
      <c r="F1538" s="39">
        <v>1947436.2</v>
      </c>
      <c r="G1538" s="40">
        <v>781.47520064205457</v>
      </c>
      <c r="H1538" s="41"/>
      <c r="I1538" s="40">
        <v>120.8286516853933</v>
      </c>
      <c r="J1538" s="41">
        <v>0.1546161050102694</v>
      </c>
      <c r="K1538" s="9" t="s">
        <v>2274</v>
      </c>
    </row>
    <row r="1539" spans="1:11" x14ac:dyDescent="0.2">
      <c r="A1539" s="9" t="s">
        <v>52</v>
      </c>
      <c r="B1539" s="9" t="s">
        <v>357</v>
      </c>
      <c r="C1539" s="9"/>
      <c r="D1539" s="9" t="s">
        <v>76</v>
      </c>
      <c r="E1539" s="38">
        <v>670</v>
      </c>
      <c r="F1539" s="39">
        <v>729700.72</v>
      </c>
      <c r="G1539" s="40">
        <v>1089.105552238806</v>
      </c>
      <c r="H1539" s="41"/>
      <c r="I1539" s="40">
        <v>198.1582089552239</v>
      </c>
      <c r="J1539" s="41">
        <v>0.18194582568042419</v>
      </c>
      <c r="K1539" s="9" t="s">
        <v>2275</v>
      </c>
    </row>
    <row r="1540" spans="1:11" x14ac:dyDescent="0.2">
      <c r="A1540" s="9" t="s">
        <v>52</v>
      </c>
      <c r="B1540" s="9" t="s">
        <v>2276</v>
      </c>
      <c r="C1540" s="9"/>
      <c r="D1540" s="9" t="s">
        <v>78</v>
      </c>
      <c r="E1540" s="38">
        <v>1225</v>
      </c>
      <c r="F1540" s="39">
        <v>734402</v>
      </c>
      <c r="G1540" s="40">
        <v>599.51183673469393</v>
      </c>
      <c r="H1540" s="41"/>
      <c r="I1540" s="40">
        <v>120.1583673469388</v>
      </c>
      <c r="J1540" s="41">
        <v>0.20042701408765229</v>
      </c>
      <c r="K1540" s="9" t="s">
        <v>2277</v>
      </c>
    </row>
    <row r="1541" spans="1:11" x14ac:dyDescent="0.2">
      <c r="A1541" s="9" t="s">
        <v>52</v>
      </c>
      <c r="B1541" s="9" t="s">
        <v>731</v>
      </c>
      <c r="C1541" s="9"/>
      <c r="D1541" s="9" t="s">
        <v>78</v>
      </c>
      <c r="E1541" s="38">
        <v>1044</v>
      </c>
      <c r="F1541" s="39">
        <v>655818.81999999995</v>
      </c>
      <c r="G1541" s="40">
        <v>628.17894636015319</v>
      </c>
      <c r="H1541" s="41"/>
      <c r="I1541" s="40">
        <v>175.55172413793099</v>
      </c>
      <c r="J1541" s="41">
        <v>0.27946133049368732</v>
      </c>
      <c r="K1541" s="9" t="s">
        <v>2278</v>
      </c>
    </row>
    <row r="1542" spans="1:11" x14ac:dyDescent="0.2">
      <c r="A1542" s="9" t="s">
        <v>52</v>
      </c>
      <c r="B1542" s="9" t="s">
        <v>2279</v>
      </c>
      <c r="C1542" s="9"/>
      <c r="D1542" s="9" t="s">
        <v>80</v>
      </c>
      <c r="E1542" s="38">
        <v>839</v>
      </c>
      <c r="F1542" s="39">
        <v>227628.1</v>
      </c>
      <c r="G1542" s="40">
        <v>271.30882002383788</v>
      </c>
      <c r="H1542" s="41"/>
      <c r="I1542" s="40">
        <v>63.223980929678177</v>
      </c>
      <c r="J1542" s="41">
        <v>0.23303326786104181</v>
      </c>
      <c r="K1542" s="9" t="s">
        <v>2280</v>
      </c>
    </row>
    <row r="1543" spans="1:11" x14ac:dyDescent="0.2">
      <c r="A1543" s="9" t="s">
        <v>52</v>
      </c>
      <c r="B1543" s="9" t="s">
        <v>2281</v>
      </c>
      <c r="C1543" s="9"/>
      <c r="D1543" s="9" t="s">
        <v>81</v>
      </c>
      <c r="E1543" s="38">
        <v>7000</v>
      </c>
      <c r="F1543" s="39">
        <v>2557406.29</v>
      </c>
      <c r="G1543" s="40">
        <v>365.34375571428569</v>
      </c>
      <c r="H1543" s="41"/>
      <c r="I1543" s="40">
        <v>35.714280000000002</v>
      </c>
      <c r="J1543" s="41">
        <v>9.7755276890321555E-2</v>
      </c>
      <c r="K1543" s="9" t="s">
        <v>2282</v>
      </c>
    </row>
    <row r="1544" spans="1:11" x14ac:dyDescent="0.2">
      <c r="A1544" s="9" t="s">
        <v>52</v>
      </c>
      <c r="B1544" s="9" t="s">
        <v>733</v>
      </c>
      <c r="C1544" s="9"/>
      <c r="D1544" s="9" t="s">
        <v>80</v>
      </c>
      <c r="E1544" s="38">
        <v>541</v>
      </c>
      <c r="F1544" s="39">
        <v>1333845.95</v>
      </c>
      <c r="G1544" s="40">
        <v>2465.519316081331</v>
      </c>
      <c r="H1544" s="41"/>
      <c r="I1544" s="40">
        <v>166.38262476894641</v>
      </c>
      <c r="J1544" s="41">
        <v>6.7483805007617262E-2</v>
      </c>
      <c r="K1544" s="9" t="s">
        <v>2283</v>
      </c>
    </row>
    <row r="1545" spans="1:11" x14ac:dyDescent="0.2">
      <c r="A1545" s="9" t="s">
        <v>52</v>
      </c>
      <c r="B1545" s="9" t="s">
        <v>2284</v>
      </c>
      <c r="C1545" s="9"/>
      <c r="D1545" s="9" t="s">
        <v>84</v>
      </c>
      <c r="E1545" s="38">
        <v>175</v>
      </c>
      <c r="F1545" s="39">
        <v>198936.48</v>
      </c>
      <c r="G1545" s="40">
        <v>1136.7798857142859</v>
      </c>
      <c r="H1545" s="41"/>
      <c r="I1545" s="40">
        <v>644.93714285714282</v>
      </c>
      <c r="J1545" s="41">
        <v>0.56733687054279835</v>
      </c>
      <c r="K1545" s="9" t="s">
        <v>2285</v>
      </c>
    </row>
    <row r="1546" spans="1:11" x14ac:dyDescent="0.2">
      <c r="A1546" s="9" t="s">
        <v>52</v>
      </c>
      <c r="B1546" s="9" t="s">
        <v>1173</v>
      </c>
      <c r="C1546" s="9"/>
      <c r="D1546" s="9" t="s">
        <v>81</v>
      </c>
      <c r="E1546" s="38">
        <v>8894</v>
      </c>
      <c r="F1546" s="39">
        <v>3499676.88</v>
      </c>
      <c r="G1546" s="40">
        <v>393.48739374859463</v>
      </c>
      <c r="H1546" s="41"/>
      <c r="I1546" s="40">
        <v>38.676860805037101</v>
      </c>
      <c r="J1546" s="41">
        <v>9.8292502935299564E-2</v>
      </c>
      <c r="K1546" s="9" t="s">
        <v>2286</v>
      </c>
    </row>
    <row r="1547" spans="1:11" x14ac:dyDescent="0.2">
      <c r="A1547" s="9" t="s">
        <v>52</v>
      </c>
      <c r="B1547" s="9" t="s">
        <v>550</v>
      </c>
      <c r="C1547" s="9"/>
      <c r="D1547" s="9" t="s">
        <v>76</v>
      </c>
      <c r="E1547" s="38">
        <v>5140</v>
      </c>
      <c r="F1547" s="39">
        <v>1284313.42</v>
      </c>
      <c r="G1547" s="40">
        <v>249.8664241245136</v>
      </c>
      <c r="H1547" s="41"/>
      <c r="I1547" s="40">
        <v>34.958949416342413</v>
      </c>
      <c r="J1547" s="41">
        <v>0.13991055236345659</v>
      </c>
      <c r="K1547" s="9" t="s">
        <v>2287</v>
      </c>
    </row>
    <row r="1548" spans="1:11" x14ac:dyDescent="0.2">
      <c r="A1548" s="9" t="s">
        <v>52</v>
      </c>
      <c r="B1548" s="9" t="s">
        <v>2288</v>
      </c>
      <c r="C1548" s="9"/>
      <c r="D1548" s="9" t="s">
        <v>78</v>
      </c>
      <c r="E1548" s="38">
        <v>1072</v>
      </c>
      <c r="F1548" s="39">
        <v>164444.59</v>
      </c>
      <c r="G1548" s="40">
        <v>153.3998041044776</v>
      </c>
      <c r="H1548" s="41"/>
      <c r="I1548" s="40">
        <v>110.8414179104478</v>
      </c>
      <c r="J1548" s="41">
        <v>0.72256557664803689</v>
      </c>
      <c r="K1548" s="9" t="s">
        <v>2289</v>
      </c>
    </row>
    <row r="1549" spans="1:11" x14ac:dyDescent="0.2">
      <c r="A1549" s="9" t="s">
        <v>52</v>
      </c>
      <c r="B1549" s="9" t="s">
        <v>2290</v>
      </c>
      <c r="C1549" s="9"/>
      <c r="D1549" s="9" t="s">
        <v>76</v>
      </c>
      <c r="E1549" s="38">
        <v>1984</v>
      </c>
      <c r="F1549" s="39">
        <v>411111</v>
      </c>
      <c r="G1549" s="40">
        <v>207.21320564516131</v>
      </c>
      <c r="H1549" s="41"/>
      <c r="I1549" s="40">
        <v>20.012963709677422</v>
      </c>
      <c r="J1549" s="41">
        <v>9.6581507184191132E-2</v>
      </c>
      <c r="K1549" s="9" t="s">
        <v>2291</v>
      </c>
    </row>
    <row r="1550" spans="1:11" x14ac:dyDescent="0.2">
      <c r="A1550" s="9" t="s">
        <v>52</v>
      </c>
      <c r="B1550" s="9" t="s">
        <v>2292</v>
      </c>
      <c r="C1550" s="9"/>
      <c r="D1550" s="9" t="s">
        <v>85</v>
      </c>
      <c r="E1550" s="38">
        <v>27168</v>
      </c>
      <c r="F1550" s="39">
        <v>9373430.3499999996</v>
      </c>
      <c r="G1550" s="40">
        <v>345.01731264723202</v>
      </c>
      <c r="H1550" s="41"/>
      <c r="I1550" s="40">
        <v>17.689633392226149</v>
      </c>
      <c r="J1550" s="41">
        <v>5.1271726791035477E-2</v>
      </c>
      <c r="K1550" s="9" t="s">
        <v>2293</v>
      </c>
    </row>
    <row r="1551" spans="1:11" x14ac:dyDescent="0.2">
      <c r="A1551" s="9" t="s">
        <v>52</v>
      </c>
      <c r="B1551" s="9" t="s">
        <v>369</v>
      </c>
      <c r="C1551" s="9"/>
      <c r="D1551" s="9" t="s">
        <v>84</v>
      </c>
      <c r="E1551" s="38">
        <v>1510</v>
      </c>
      <c r="F1551" s="39">
        <v>0</v>
      </c>
      <c r="G1551" s="40"/>
      <c r="H1551" s="41"/>
      <c r="I1551" s="40">
        <v>197.91589403973509</v>
      </c>
      <c r="J1551" s="41"/>
      <c r="K1551" s="9" t="s">
        <v>2294</v>
      </c>
    </row>
    <row r="1552" spans="1:11" x14ac:dyDescent="0.2">
      <c r="A1552" s="9" t="s">
        <v>52</v>
      </c>
      <c r="B1552" s="9" t="s">
        <v>371</v>
      </c>
      <c r="C1552" s="9"/>
      <c r="D1552" s="9" t="s">
        <v>76</v>
      </c>
      <c r="E1552" s="38">
        <v>3458</v>
      </c>
      <c r="F1552" s="39">
        <v>816377.73</v>
      </c>
      <c r="G1552" s="40">
        <v>236.08378542510121</v>
      </c>
      <c r="H1552" s="41"/>
      <c r="I1552" s="40">
        <v>50.588189705031809</v>
      </c>
      <c r="J1552" s="41">
        <v>0.21428066147762259</v>
      </c>
      <c r="K1552" s="9" t="s">
        <v>2295</v>
      </c>
    </row>
    <row r="1553" spans="1:11" x14ac:dyDescent="0.2">
      <c r="A1553" s="9" t="s">
        <v>52</v>
      </c>
      <c r="B1553" s="9" t="s">
        <v>2296</v>
      </c>
      <c r="C1553" s="9"/>
      <c r="D1553" s="9" t="s">
        <v>82</v>
      </c>
      <c r="E1553" s="38">
        <v>600</v>
      </c>
      <c r="F1553" s="39">
        <v>126810.58</v>
      </c>
      <c r="G1553" s="40">
        <v>211.35096666666669</v>
      </c>
      <c r="H1553" s="41"/>
      <c r="I1553" s="40">
        <v>40</v>
      </c>
      <c r="J1553" s="41">
        <v>0.18925865649380361</v>
      </c>
      <c r="K1553" s="9" t="s">
        <v>2297</v>
      </c>
    </row>
    <row r="1554" spans="1:11" x14ac:dyDescent="0.2">
      <c r="A1554" s="9" t="s">
        <v>52</v>
      </c>
      <c r="B1554" s="9" t="s">
        <v>2298</v>
      </c>
      <c r="C1554" s="9"/>
      <c r="D1554" s="9" t="s">
        <v>80</v>
      </c>
      <c r="E1554" s="38">
        <v>735</v>
      </c>
      <c r="F1554" s="39">
        <v>333875.5</v>
      </c>
      <c r="G1554" s="40">
        <v>454.25238095238097</v>
      </c>
      <c r="H1554" s="41"/>
      <c r="I1554" s="40">
        <v>111.76342857142861</v>
      </c>
      <c r="J1554" s="41">
        <v>0.24603817890201579</v>
      </c>
      <c r="K1554" s="9" t="s">
        <v>2299</v>
      </c>
    </row>
    <row r="1555" spans="1:11" x14ac:dyDescent="0.2">
      <c r="A1555" s="9" t="s">
        <v>52</v>
      </c>
      <c r="B1555" s="9" t="s">
        <v>376</v>
      </c>
      <c r="C1555" s="9"/>
      <c r="D1555" s="9" t="s">
        <v>79</v>
      </c>
      <c r="E1555" s="38">
        <v>10154</v>
      </c>
      <c r="F1555" s="39">
        <v>4728807</v>
      </c>
      <c r="G1555" s="40">
        <v>465.7087847153831</v>
      </c>
      <c r="H1555" s="41"/>
      <c r="I1555" s="40">
        <v>39.232708292298597</v>
      </c>
      <c r="J1555" s="41">
        <v>8.4243006745676016E-2</v>
      </c>
      <c r="K1555" s="9" t="s">
        <v>2300</v>
      </c>
    </row>
    <row r="1556" spans="1:11" x14ac:dyDescent="0.2">
      <c r="A1556" s="9" t="s">
        <v>52</v>
      </c>
      <c r="B1556" s="9" t="s">
        <v>2301</v>
      </c>
      <c r="C1556" s="9"/>
      <c r="D1556" s="9" t="s">
        <v>76</v>
      </c>
      <c r="E1556" s="38">
        <v>1563</v>
      </c>
      <c r="F1556" s="39">
        <v>558266</v>
      </c>
      <c r="G1556" s="40">
        <v>357.17594369801662</v>
      </c>
      <c r="H1556" s="41"/>
      <c r="I1556" s="40">
        <v>66.268714011516309</v>
      </c>
      <c r="J1556" s="41">
        <v>0.1855352108134832</v>
      </c>
      <c r="K1556" s="9" t="s">
        <v>2302</v>
      </c>
    </row>
    <row r="1557" spans="1:11" x14ac:dyDescent="0.2">
      <c r="A1557" s="9" t="s">
        <v>52</v>
      </c>
      <c r="B1557" s="9" t="s">
        <v>565</v>
      </c>
      <c r="C1557" s="9"/>
      <c r="D1557" s="9" t="s">
        <v>76</v>
      </c>
      <c r="E1557" s="38">
        <v>9768</v>
      </c>
      <c r="F1557" s="39">
        <v>1860107.17</v>
      </c>
      <c r="G1557" s="40">
        <v>190.42866195741189</v>
      </c>
      <c r="H1557" s="41"/>
      <c r="I1557" s="40">
        <v>34.380528255528247</v>
      </c>
      <c r="J1557" s="41">
        <v>0.1805428232395879</v>
      </c>
      <c r="K1557" s="9" t="s">
        <v>2303</v>
      </c>
    </row>
    <row r="1558" spans="1:11" x14ac:dyDescent="0.2">
      <c r="A1558" s="9" t="s">
        <v>52</v>
      </c>
      <c r="B1558" s="9" t="s">
        <v>384</v>
      </c>
      <c r="C1558" s="9"/>
      <c r="D1558" s="9" t="s">
        <v>77</v>
      </c>
      <c r="E1558" s="38">
        <v>3249</v>
      </c>
      <c r="F1558" s="39">
        <v>1006325.31</v>
      </c>
      <c r="G1558" s="40">
        <v>309.73385964912279</v>
      </c>
      <c r="H1558" s="41"/>
      <c r="I1558" s="40">
        <v>77.948907356109572</v>
      </c>
      <c r="J1558" s="41">
        <v>0.25166414625902628</v>
      </c>
      <c r="K1558" s="9" t="s">
        <v>2304</v>
      </c>
    </row>
    <row r="1559" spans="1:11" x14ac:dyDescent="0.2">
      <c r="A1559" s="9" t="s">
        <v>52</v>
      </c>
      <c r="B1559" s="9" t="s">
        <v>386</v>
      </c>
      <c r="C1559" s="9"/>
      <c r="D1559" s="9" t="s">
        <v>84</v>
      </c>
      <c r="E1559" s="38">
        <v>5000</v>
      </c>
      <c r="F1559" s="39">
        <v>0</v>
      </c>
      <c r="G1559" s="40"/>
      <c r="H1559" s="41"/>
      <c r="I1559" s="40">
        <v>154.47640000000001</v>
      </c>
      <c r="J1559" s="41"/>
      <c r="K1559" s="9" t="s">
        <v>2305</v>
      </c>
    </row>
    <row r="1560" spans="1:11" x14ac:dyDescent="0.2">
      <c r="A1560" s="9" t="s">
        <v>52</v>
      </c>
      <c r="B1560" s="9" t="s">
        <v>388</v>
      </c>
      <c r="C1560" s="9"/>
      <c r="D1560" s="9" t="s">
        <v>76</v>
      </c>
      <c r="E1560" s="38">
        <v>12636</v>
      </c>
      <c r="F1560" s="39">
        <v>3681779</v>
      </c>
      <c r="G1560" s="40">
        <v>291.37219056663503</v>
      </c>
      <c r="H1560" s="41"/>
      <c r="I1560" s="40">
        <v>51.13540677429566</v>
      </c>
      <c r="J1560" s="41">
        <v>0.17549858370097721</v>
      </c>
      <c r="K1560" s="9" t="s">
        <v>2306</v>
      </c>
    </row>
    <row r="1561" spans="1:11" x14ac:dyDescent="0.2">
      <c r="A1561" s="9" t="s">
        <v>52</v>
      </c>
      <c r="B1561" s="9" t="s">
        <v>741</v>
      </c>
      <c r="C1561" s="9"/>
      <c r="D1561" s="9" t="s">
        <v>80</v>
      </c>
      <c r="E1561" s="38">
        <v>1619</v>
      </c>
      <c r="F1561" s="39">
        <v>0</v>
      </c>
      <c r="G1561" s="40"/>
      <c r="H1561" s="41"/>
      <c r="I1561" s="40">
        <v>75.207535515750465</v>
      </c>
      <c r="J1561" s="41"/>
      <c r="K1561" s="9" t="s">
        <v>2307</v>
      </c>
    </row>
    <row r="1562" spans="1:11" x14ac:dyDescent="0.2">
      <c r="A1562" s="9" t="s">
        <v>52</v>
      </c>
      <c r="B1562" s="9" t="s">
        <v>571</v>
      </c>
      <c r="C1562" s="9"/>
      <c r="D1562" s="9" t="s">
        <v>76</v>
      </c>
      <c r="E1562" s="38">
        <v>2500</v>
      </c>
      <c r="F1562" s="39">
        <v>613296.65</v>
      </c>
      <c r="G1562" s="40">
        <v>245.31865999999999</v>
      </c>
      <c r="H1562" s="41"/>
      <c r="I1562" s="40">
        <v>30.860800000000001</v>
      </c>
      <c r="J1562" s="41">
        <v>0.125798828348402</v>
      </c>
      <c r="K1562" s="9" t="s">
        <v>2308</v>
      </c>
    </row>
    <row r="1563" spans="1:11" x14ac:dyDescent="0.2">
      <c r="A1563" s="9" t="s">
        <v>52</v>
      </c>
      <c r="B1563" s="9" t="s">
        <v>392</v>
      </c>
      <c r="C1563" s="9"/>
      <c r="D1563" s="9" t="s">
        <v>76</v>
      </c>
      <c r="E1563" s="38">
        <v>6749</v>
      </c>
      <c r="F1563" s="39">
        <v>1756921.93</v>
      </c>
      <c r="G1563" s="40">
        <v>260.32329678470882</v>
      </c>
      <c r="H1563" s="41"/>
      <c r="I1563" s="40">
        <v>43.691658023410866</v>
      </c>
      <c r="J1563" s="41">
        <v>0.16783614283874301</v>
      </c>
      <c r="K1563" s="9" t="s">
        <v>2309</v>
      </c>
    </row>
    <row r="1564" spans="1:11" x14ac:dyDescent="0.2">
      <c r="A1564" s="9" t="s">
        <v>52</v>
      </c>
      <c r="B1564" s="9" t="s">
        <v>2310</v>
      </c>
      <c r="C1564" s="9"/>
      <c r="D1564" s="9" t="s">
        <v>85</v>
      </c>
      <c r="E1564" s="38">
        <v>38233</v>
      </c>
      <c r="F1564" s="39">
        <v>1304713.95</v>
      </c>
      <c r="G1564" s="40">
        <v>34.125335443203511</v>
      </c>
      <c r="H1564" s="41"/>
      <c r="I1564" s="40">
        <v>3.4138700860513169</v>
      </c>
      <c r="J1564" s="41">
        <v>0.10003916567305809</v>
      </c>
      <c r="K1564" s="9" t="s">
        <v>2311</v>
      </c>
    </row>
    <row r="1565" spans="1:11" x14ac:dyDescent="0.2">
      <c r="A1565" s="9" t="s">
        <v>52</v>
      </c>
      <c r="B1565" s="9" t="s">
        <v>2312</v>
      </c>
      <c r="C1565" s="9"/>
      <c r="D1565" s="9" t="s">
        <v>81</v>
      </c>
      <c r="E1565" s="38">
        <v>3999</v>
      </c>
      <c r="F1565" s="39">
        <v>1273338.01</v>
      </c>
      <c r="G1565" s="40">
        <v>318.4141060265066</v>
      </c>
      <c r="H1565" s="41"/>
      <c r="I1565" s="40">
        <v>39.00975243810953</v>
      </c>
      <c r="J1565" s="41">
        <v>0.1225126390438938</v>
      </c>
      <c r="K1565" s="9" t="s">
        <v>2313</v>
      </c>
    </row>
    <row r="1566" spans="1:11" x14ac:dyDescent="0.2">
      <c r="A1566" s="9" t="s">
        <v>52</v>
      </c>
      <c r="B1566" s="9" t="s">
        <v>574</v>
      </c>
      <c r="C1566" s="9"/>
      <c r="D1566" s="9" t="s">
        <v>82</v>
      </c>
      <c r="E1566" s="38">
        <v>1236</v>
      </c>
      <c r="F1566" s="39">
        <v>701966</v>
      </c>
      <c r="G1566" s="40">
        <v>567.93365695792875</v>
      </c>
      <c r="H1566" s="41"/>
      <c r="I1566" s="40">
        <v>80.873786407766985</v>
      </c>
      <c r="J1566" s="41">
        <v>0.14240005926212951</v>
      </c>
      <c r="K1566" s="9" t="s">
        <v>2314</v>
      </c>
    </row>
    <row r="1567" spans="1:11" x14ac:dyDescent="0.2">
      <c r="A1567" s="9" t="s">
        <v>52</v>
      </c>
      <c r="B1567" s="9" t="s">
        <v>396</v>
      </c>
      <c r="C1567" s="9"/>
      <c r="D1567" s="9" t="s">
        <v>78</v>
      </c>
      <c r="E1567" s="38">
        <v>1732</v>
      </c>
      <c r="F1567" s="39">
        <v>1196924.3899999999</v>
      </c>
      <c r="G1567" s="40">
        <v>691.0648903002309</v>
      </c>
      <c r="H1567" s="41"/>
      <c r="I1567" s="40">
        <v>75.057736720554274</v>
      </c>
      <c r="J1567" s="41">
        <v>0.108611706041014</v>
      </c>
      <c r="K1567" s="9" t="s">
        <v>2315</v>
      </c>
    </row>
    <row r="1568" spans="1:11" x14ac:dyDescent="0.2">
      <c r="A1568" s="9" t="s">
        <v>52</v>
      </c>
      <c r="B1568" s="9" t="s">
        <v>2316</v>
      </c>
      <c r="C1568" s="9"/>
      <c r="D1568" s="9" t="s">
        <v>85</v>
      </c>
      <c r="E1568" s="38">
        <v>13394</v>
      </c>
      <c r="F1568" s="39">
        <v>0</v>
      </c>
      <c r="G1568" s="40"/>
      <c r="H1568" s="41"/>
      <c r="I1568" s="40">
        <v>15.59792324921607</v>
      </c>
      <c r="J1568" s="41"/>
      <c r="K1568" s="9" t="s">
        <v>2317</v>
      </c>
    </row>
    <row r="1569" spans="1:11" x14ac:dyDescent="0.2">
      <c r="A1569" s="9" t="s">
        <v>52</v>
      </c>
      <c r="B1569" s="9" t="s">
        <v>398</v>
      </c>
      <c r="C1569" s="9"/>
      <c r="D1569" s="9" t="s">
        <v>76</v>
      </c>
      <c r="E1569" s="38">
        <v>3181</v>
      </c>
      <c r="F1569" s="39">
        <v>1116524.18</v>
      </c>
      <c r="G1569" s="40">
        <v>350.99785602011951</v>
      </c>
      <c r="H1569" s="41"/>
      <c r="I1569" s="40">
        <v>56.592266582835578</v>
      </c>
      <c r="J1569" s="41">
        <v>0.16123251356723861</v>
      </c>
      <c r="K1569" s="9" t="s">
        <v>2318</v>
      </c>
    </row>
    <row r="1570" spans="1:11" x14ac:dyDescent="0.2">
      <c r="A1570" s="9" t="s">
        <v>44</v>
      </c>
      <c r="B1570" s="9" t="s">
        <v>650</v>
      </c>
      <c r="C1570" s="9"/>
      <c r="D1570" s="9" t="s">
        <v>76</v>
      </c>
      <c r="E1570" s="38">
        <v>7950</v>
      </c>
      <c r="F1570" s="39">
        <v>3330755.31</v>
      </c>
      <c r="G1570" s="40">
        <v>418.96293207547171</v>
      </c>
      <c r="H1570" s="41">
        <v>-2.658415690626496E-2</v>
      </c>
      <c r="I1570" s="40">
        <v>50.275551849056598</v>
      </c>
      <c r="J1570" s="41">
        <v>0.12</v>
      </c>
      <c r="K1570" s="9" t="s">
        <v>2319</v>
      </c>
    </row>
    <row r="1571" spans="1:11" x14ac:dyDescent="0.2">
      <c r="A1571" s="9" t="s">
        <v>44</v>
      </c>
      <c r="B1571" s="9" t="s">
        <v>164</v>
      </c>
      <c r="C1571" s="9"/>
      <c r="D1571" s="9" t="s">
        <v>76</v>
      </c>
      <c r="E1571" s="38">
        <v>3803</v>
      </c>
      <c r="F1571" s="39">
        <v>4190968.7799999989</v>
      </c>
      <c r="G1571" s="40">
        <v>1102.016508019984</v>
      </c>
      <c r="H1571" s="41">
        <v>8.052982997944004E-2</v>
      </c>
      <c r="I1571" s="40">
        <v>83.119948566920854</v>
      </c>
      <c r="J1571" s="41">
        <v>7.5425320729781253E-2</v>
      </c>
      <c r="K1571" s="9" t="s">
        <v>2320</v>
      </c>
    </row>
    <row r="1572" spans="1:11" x14ac:dyDescent="0.2">
      <c r="A1572" s="9" t="s">
        <v>44</v>
      </c>
      <c r="B1572" s="9" t="s">
        <v>166</v>
      </c>
      <c r="C1572" s="9"/>
      <c r="D1572" s="9" t="s">
        <v>76</v>
      </c>
      <c r="E1572" s="38">
        <v>3502</v>
      </c>
      <c r="F1572" s="39">
        <v>1501246.12</v>
      </c>
      <c r="G1572" s="40">
        <v>428.6825014277556</v>
      </c>
      <c r="H1572" s="41">
        <v>0.1491486950509259</v>
      </c>
      <c r="I1572" s="40">
        <v>73.045473786407769</v>
      </c>
      <c r="J1572" s="41">
        <v>0.17039527749120839</v>
      </c>
      <c r="K1572" s="9" t="s">
        <v>2321</v>
      </c>
    </row>
    <row r="1573" spans="1:11" x14ac:dyDescent="0.2">
      <c r="A1573" s="9" t="s">
        <v>44</v>
      </c>
      <c r="B1573" s="9" t="s">
        <v>2322</v>
      </c>
      <c r="C1573" s="9"/>
      <c r="D1573" s="9" t="s">
        <v>81</v>
      </c>
      <c r="E1573" s="38">
        <v>4510</v>
      </c>
      <c r="F1573" s="39">
        <v>1489381.11</v>
      </c>
      <c r="G1573" s="40">
        <v>330.23971396895797</v>
      </c>
      <c r="H1573" s="41">
        <v>-5.1120387534636887E-2</v>
      </c>
      <c r="I1573" s="40">
        <v>43.569603991130819</v>
      </c>
      <c r="J1573" s="41">
        <v>0.1319332658918978</v>
      </c>
      <c r="K1573" s="9" t="s">
        <v>2323</v>
      </c>
    </row>
    <row r="1574" spans="1:11" x14ac:dyDescent="0.2">
      <c r="A1574" s="9" t="s">
        <v>44</v>
      </c>
      <c r="B1574" s="9" t="s">
        <v>981</v>
      </c>
      <c r="C1574" s="9"/>
      <c r="D1574" s="9" t="s">
        <v>76</v>
      </c>
      <c r="E1574" s="38">
        <v>5212</v>
      </c>
      <c r="F1574" s="39">
        <v>3628335.6600000011</v>
      </c>
      <c r="G1574" s="40">
        <v>696.15035686876456</v>
      </c>
      <c r="H1574" s="41">
        <v>0.19837875147355921</v>
      </c>
      <c r="I1574" s="40">
        <v>104.4225535303147</v>
      </c>
      <c r="J1574" s="41">
        <v>0.15</v>
      </c>
      <c r="K1574" s="9" t="s">
        <v>2324</v>
      </c>
    </row>
    <row r="1575" spans="1:11" x14ac:dyDescent="0.2">
      <c r="A1575" s="9" t="s">
        <v>44</v>
      </c>
      <c r="B1575" s="9" t="s">
        <v>1070</v>
      </c>
      <c r="C1575" s="9"/>
      <c r="D1575" s="9" t="s">
        <v>76</v>
      </c>
      <c r="E1575" s="38">
        <v>3701</v>
      </c>
      <c r="F1575" s="39">
        <v>1129355.3899999999</v>
      </c>
      <c r="G1575" s="40">
        <v>305.14871386111872</v>
      </c>
      <c r="H1575" s="41">
        <v>-4.1482050180965332E-2</v>
      </c>
      <c r="I1575" s="40">
        <v>30.514871386111871</v>
      </c>
      <c r="J1575" s="41">
        <v>0.1</v>
      </c>
      <c r="K1575" s="9" t="s">
        <v>2325</v>
      </c>
    </row>
    <row r="1576" spans="1:11" x14ac:dyDescent="0.2">
      <c r="A1576" s="9" t="s">
        <v>44</v>
      </c>
      <c r="B1576" s="9" t="s">
        <v>169</v>
      </c>
      <c r="C1576" s="9"/>
      <c r="D1576" s="9" t="s">
        <v>76</v>
      </c>
      <c r="E1576" s="38">
        <v>8708</v>
      </c>
      <c r="F1576" s="39">
        <v>5762577.6000000006</v>
      </c>
      <c r="G1576" s="40">
        <v>661.75672944418932</v>
      </c>
      <c r="H1576" s="41">
        <v>8.2189973128444331E-3</v>
      </c>
      <c r="I1576" s="40">
        <v>96.378970969223687</v>
      </c>
      <c r="J1576" s="41">
        <v>0.14564108936251019</v>
      </c>
      <c r="K1576" s="9" t="s">
        <v>2326</v>
      </c>
    </row>
    <row r="1577" spans="1:11" x14ac:dyDescent="0.2">
      <c r="A1577" s="9" t="s">
        <v>44</v>
      </c>
      <c r="B1577" s="9" t="s">
        <v>406</v>
      </c>
      <c r="C1577" s="9"/>
      <c r="D1577" s="9" t="s">
        <v>76</v>
      </c>
      <c r="E1577" s="38">
        <v>3690</v>
      </c>
      <c r="F1577" s="39">
        <v>880738.58999999985</v>
      </c>
      <c r="G1577" s="40">
        <v>238.68254471544711</v>
      </c>
      <c r="H1577" s="41">
        <v>6.603395818761526E-2</v>
      </c>
      <c r="I1577" s="40">
        <v>42</v>
      </c>
      <c r="J1577" s="41">
        <v>0.175965946944598</v>
      </c>
      <c r="K1577" s="9" t="s">
        <v>2327</v>
      </c>
    </row>
    <row r="1578" spans="1:11" x14ac:dyDescent="0.2">
      <c r="A1578" s="9" t="s">
        <v>44</v>
      </c>
      <c r="B1578" s="9" t="s">
        <v>2328</v>
      </c>
      <c r="C1578" s="9"/>
      <c r="D1578" s="9" t="s">
        <v>76</v>
      </c>
      <c r="E1578" s="38">
        <v>1824</v>
      </c>
      <c r="F1578" s="39">
        <v>1644821.8</v>
      </c>
      <c r="G1578" s="40">
        <v>901.76633771929824</v>
      </c>
      <c r="H1578" s="41">
        <v>-4.0954825967618479E-2</v>
      </c>
      <c r="I1578" s="40">
        <v>72.141306798245608</v>
      </c>
      <c r="J1578" s="41">
        <v>7.9999999756812545E-2</v>
      </c>
      <c r="K1578" s="9" t="s">
        <v>2329</v>
      </c>
    </row>
    <row r="1579" spans="1:11" x14ac:dyDescent="0.2">
      <c r="A1579" s="9" t="s">
        <v>44</v>
      </c>
      <c r="B1579" s="9" t="s">
        <v>173</v>
      </c>
      <c r="C1579" s="9"/>
      <c r="D1579" s="9" t="s">
        <v>80</v>
      </c>
      <c r="E1579" s="38">
        <v>220</v>
      </c>
      <c r="F1579" s="39">
        <v>1032697.85</v>
      </c>
      <c r="G1579" s="40">
        <v>4694.0811363636367</v>
      </c>
      <c r="H1579" s="41">
        <v>1.880858537684528E-2</v>
      </c>
      <c r="I1579" s="40">
        <v>99.653372727272696</v>
      </c>
      <c r="J1579" s="41">
        <v>2.122958036564131E-2</v>
      </c>
      <c r="K1579" s="9" t="s">
        <v>2330</v>
      </c>
    </row>
    <row r="1580" spans="1:11" x14ac:dyDescent="0.2">
      <c r="A1580" s="9" t="s">
        <v>44</v>
      </c>
      <c r="B1580" s="9" t="s">
        <v>173</v>
      </c>
      <c r="C1580" s="9"/>
      <c r="D1580" s="9" t="s">
        <v>80</v>
      </c>
      <c r="E1580" s="38">
        <v>1</v>
      </c>
      <c r="F1580" s="39">
        <v>0</v>
      </c>
      <c r="G1580" s="40"/>
      <c r="H1580" s="41"/>
      <c r="I1580" s="40">
        <v>127500</v>
      </c>
      <c r="J1580" s="41"/>
      <c r="K1580" s="9" t="s">
        <v>2330</v>
      </c>
    </row>
    <row r="1581" spans="1:11" x14ac:dyDescent="0.2">
      <c r="A1581" s="9" t="s">
        <v>44</v>
      </c>
      <c r="B1581" s="9" t="s">
        <v>2331</v>
      </c>
      <c r="C1581" s="9"/>
      <c r="D1581" s="9" t="s">
        <v>79</v>
      </c>
      <c r="E1581" s="38">
        <v>800</v>
      </c>
      <c r="F1581" s="39">
        <v>493205.43000000011</v>
      </c>
      <c r="G1581" s="40">
        <v>616.50678750000009</v>
      </c>
      <c r="H1581" s="41">
        <v>-1.4637821552034941E-2</v>
      </c>
      <c r="I1581" s="40">
        <v>110.971221</v>
      </c>
      <c r="J1581" s="41">
        <v>0.1799999987834684</v>
      </c>
      <c r="K1581" s="9" t="s">
        <v>2332</v>
      </c>
    </row>
    <row r="1582" spans="1:11" x14ac:dyDescent="0.2">
      <c r="A1582" s="9" t="s">
        <v>44</v>
      </c>
      <c r="B1582" s="9" t="s">
        <v>175</v>
      </c>
      <c r="C1582" s="9"/>
      <c r="D1582" s="9" t="s">
        <v>78</v>
      </c>
      <c r="E1582" s="38">
        <v>216</v>
      </c>
      <c r="F1582" s="39">
        <v>0</v>
      </c>
      <c r="G1582" s="40"/>
      <c r="H1582" s="41"/>
      <c r="I1582" s="40">
        <v>351.85185000000001</v>
      </c>
      <c r="J1582" s="41"/>
      <c r="K1582" s="9" t="s">
        <v>2333</v>
      </c>
    </row>
    <row r="1583" spans="1:11" x14ac:dyDescent="0.2">
      <c r="A1583" s="9" t="s">
        <v>44</v>
      </c>
      <c r="B1583" s="9" t="s">
        <v>175</v>
      </c>
      <c r="C1583" s="9"/>
      <c r="D1583" s="9" t="s">
        <v>78</v>
      </c>
      <c r="E1583" s="38">
        <v>192</v>
      </c>
      <c r="F1583" s="39">
        <v>0</v>
      </c>
      <c r="G1583" s="40"/>
      <c r="H1583" s="41"/>
      <c r="I1583" s="40">
        <v>356.77083125000001</v>
      </c>
      <c r="J1583" s="41"/>
      <c r="K1583" s="9" t="s">
        <v>2333</v>
      </c>
    </row>
    <row r="1584" spans="1:11" x14ac:dyDescent="0.2">
      <c r="A1584" s="9" t="s">
        <v>44</v>
      </c>
      <c r="B1584" s="9" t="s">
        <v>177</v>
      </c>
      <c r="C1584" s="9"/>
      <c r="D1584" s="9" t="s">
        <v>85</v>
      </c>
      <c r="E1584" s="38">
        <v>12682</v>
      </c>
      <c r="F1584" s="39">
        <v>0</v>
      </c>
      <c r="G1584" s="40"/>
      <c r="H1584" s="41"/>
      <c r="I1584" s="40">
        <v>41.399999999999991</v>
      </c>
      <c r="J1584" s="41"/>
      <c r="K1584" s="9" t="s">
        <v>2334</v>
      </c>
    </row>
    <row r="1585" spans="1:11" x14ac:dyDescent="0.2">
      <c r="A1585" s="9" t="s">
        <v>44</v>
      </c>
      <c r="B1585" s="9" t="s">
        <v>179</v>
      </c>
      <c r="C1585" s="9"/>
      <c r="D1585" s="9" t="s">
        <v>79</v>
      </c>
      <c r="E1585" s="38">
        <v>2783</v>
      </c>
      <c r="F1585" s="39">
        <v>0</v>
      </c>
      <c r="G1585" s="40"/>
      <c r="H1585" s="41"/>
      <c r="I1585" s="40">
        <v>90.891312396694218</v>
      </c>
      <c r="J1585" s="41"/>
      <c r="K1585" s="9" t="s">
        <v>2335</v>
      </c>
    </row>
    <row r="1586" spans="1:11" x14ac:dyDescent="0.2">
      <c r="A1586" s="9" t="s">
        <v>44</v>
      </c>
      <c r="B1586" s="9" t="s">
        <v>179</v>
      </c>
      <c r="C1586" s="9"/>
      <c r="D1586" s="9" t="s">
        <v>79</v>
      </c>
      <c r="E1586" s="38">
        <v>4381</v>
      </c>
      <c r="F1586" s="39">
        <v>3543942</v>
      </c>
      <c r="G1586" s="40">
        <v>808.93448984250176</v>
      </c>
      <c r="H1586" s="41">
        <v>1.669658855991063E-2</v>
      </c>
      <c r="I1586" s="40">
        <v>63.632290983793652</v>
      </c>
      <c r="J1586" s="41">
        <v>7.8661859251646885E-2</v>
      </c>
      <c r="K1586" s="9" t="s">
        <v>2335</v>
      </c>
    </row>
    <row r="1587" spans="1:11" x14ac:dyDescent="0.2">
      <c r="A1587" s="9" t="s">
        <v>44</v>
      </c>
      <c r="B1587" s="9" t="s">
        <v>1447</v>
      </c>
      <c r="C1587" s="9"/>
      <c r="D1587" s="9" t="s">
        <v>83</v>
      </c>
      <c r="E1587" s="38">
        <v>4</v>
      </c>
      <c r="F1587" s="39">
        <v>0</v>
      </c>
      <c r="G1587" s="40"/>
      <c r="H1587" s="41"/>
      <c r="I1587" s="40">
        <v>1200</v>
      </c>
      <c r="J1587" s="41"/>
      <c r="K1587" s="9" t="s">
        <v>2336</v>
      </c>
    </row>
    <row r="1588" spans="1:11" x14ac:dyDescent="0.2">
      <c r="A1588" s="9" t="s">
        <v>44</v>
      </c>
      <c r="B1588" s="9" t="s">
        <v>2337</v>
      </c>
      <c r="C1588" s="9"/>
      <c r="D1588" s="9" t="s">
        <v>81</v>
      </c>
      <c r="E1588" s="38">
        <v>3313</v>
      </c>
      <c r="F1588" s="39">
        <v>475703.84</v>
      </c>
      <c r="G1588" s="40">
        <v>143.58703290069431</v>
      </c>
      <c r="H1588" s="41">
        <v>9.0966141679283172E-2</v>
      </c>
      <c r="I1588" s="40">
        <v>33.407880229399339</v>
      </c>
      <c r="J1588" s="41">
        <v>0.23266641530579191</v>
      </c>
      <c r="K1588" s="9" t="s">
        <v>2338</v>
      </c>
    </row>
    <row r="1589" spans="1:11" x14ac:dyDescent="0.2">
      <c r="A1589" s="9" t="s">
        <v>44</v>
      </c>
      <c r="B1589" s="9" t="s">
        <v>187</v>
      </c>
      <c r="C1589" s="9"/>
      <c r="D1589" s="9" t="s">
        <v>76</v>
      </c>
      <c r="E1589" s="38">
        <v>2483</v>
      </c>
      <c r="F1589" s="39">
        <v>1105444.8400000001</v>
      </c>
      <c r="G1589" s="40">
        <v>445.20533225936362</v>
      </c>
      <c r="H1589" s="41">
        <v>-5.2009735449666632E-2</v>
      </c>
      <c r="I1589" s="40">
        <v>42.996653403141352</v>
      </c>
      <c r="J1589" s="41">
        <v>9.6577130343292378E-2</v>
      </c>
      <c r="K1589" s="9" t="s">
        <v>2339</v>
      </c>
    </row>
    <row r="1590" spans="1:11" x14ac:dyDescent="0.2">
      <c r="A1590" s="9" t="s">
        <v>44</v>
      </c>
      <c r="B1590" s="9" t="s">
        <v>420</v>
      </c>
      <c r="C1590" s="9"/>
      <c r="D1590" s="9" t="s">
        <v>78</v>
      </c>
      <c r="E1590" s="38">
        <v>940</v>
      </c>
      <c r="F1590" s="39">
        <v>610400.99</v>
      </c>
      <c r="G1590" s="40">
        <v>649.36275531914896</v>
      </c>
      <c r="H1590" s="41">
        <v>-1.7028931606549339E-2</v>
      </c>
      <c r="I1590" s="40">
        <v>64.93627595744681</v>
      </c>
      <c r="J1590" s="41">
        <v>0.1000000006553069</v>
      </c>
      <c r="K1590" s="9" t="s">
        <v>2340</v>
      </c>
    </row>
    <row r="1591" spans="1:11" x14ac:dyDescent="0.2">
      <c r="A1591" s="9" t="s">
        <v>44</v>
      </c>
      <c r="B1591" s="9" t="s">
        <v>191</v>
      </c>
      <c r="C1591" s="9"/>
      <c r="D1591" s="9" t="s">
        <v>76</v>
      </c>
      <c r="E1591" s="38">
        <v>5200</v>
      </c>
      <c r="F1591" s="39">
        <v>2584152.5699999998</v>
      </c>
      <c r="G1591" s="40">
        <v>496.95241730769237</v>
      </c>
      <c r="H1591" s="41">
        <v>8.1829263938317895E-2</v>
      </c>
      <c r="I1591" s="40">
        <v>72.38454415384615</v>
      </c>
      <c r="J1591" s="41">
        <v>0.14565689114865221</v>
      </c>
      <c r="K1591" s="9" t="s">
        <v>2341</v>
      </c>
    </row>
    <row r="1592" spans="1:11" x14ac:dyDescent="0.2">
      <c r="A1592" s="9" t="s">
        <v>44</v>
      </c>
      <c r="B1592" s="9" t="s">
        <v>193</v>
      </c>
      <c r="C1592" s="9"/>
      <c r="D1592" s="9" t="s">
        <v>82</v>
      </c>
      <c r="E1592" s="38">
        <v>2467</v>
      </c>
      <c r="F1592" s="39">
        <v>1452646.37</v>
      </c>
      <c r="G1592" s="40">
        <v>588.8311187677341</v>
      </c>
      <c r="H1592" s="41">
        <v>2.4817571751607211E-2</v>
      </c>
      <c r="I1592" s="40">
        <v>93.689700364815565</v>
      </c>
      <c r="J1592" s="41">
        <v>0.15911132645449011</v>
      </c>
      <c r="K1592" s="9" t="s">
        <v>2342</v>
      </c>
    </row>
    <row r="1593" spans="1:11" x14ac:dyDescent="0.2">
      <c r="A1593" s="9" t="s">
        <v>44</v>
      </c>
      <c r="B1593" s="9" t="s">
        <v>2343</v>
      </c>
      <c r="C1593" s="9"/>
      <c r="D1593" s="9" t="s">
        <v>76</v>
      </c>
      <c r="E1593" s="38">
        <v>6266</v>
      </c>
      <c r="F1593" s="39">
        <v>0</v>
      </c>
      <c r="G1593" s="40"/>
      <c r="H1593" s="41"/>
      <c r="I1593" s="40">
        <v>8.7100000000000009</v>
      </c>
      <c r="J1593" s="41"/>
      <c r="K1593" s="9" t="s">
        <v>2344</v>
      </c>
    </row>
    <row r="1594" spans="1:11" x14ac:dyDescent="0.2">
      <c r="A1594" s="9" t="s">
        <v>44</v>
      </c>
      <c r="B1594" s="9" t="s">
        <v>2345</v>
      </c>
      <c r="C1594" s="9"/>
      <c r="D1594" s="9" t="s">
        <v>76</v>
      </c>
      <c r="E1594" s="38">
        <v>17763</v>
      </c>
      <c r="F1594" s="39">
        <v>0</v>
      </c>
      <c r="G1594" s="40"/>
      <c r="H1594" s="41"/>
      <c r="I1594" s="40">
        <v>22.51871866238811</v>
      </c>
      <c r="J1594" s="41"/>
      <c r="K1594" s="9" t="s">
        <v>2346</v>
      </c>
    </row>
    <row r="1595" spans="1:11" x14ac:dyDescent="0.2">
      <c r="A1595" s="9" t="s">
        <v>44</v>
      </c>
      <c r="B1595" s="9" t="s">
        <v>200</v>
      </c>
      <c r="C1595" s="9"/>
      <c r="D1595" s="9" t="s">
        <v>77</v>
      </c>
      <c r="E1595" s="38">
        <v>6125</v>
      </c>
      <c r="F1595" s="39">
        <v>1650997.81</v>
      </c>
      <c r="G1595" s="40">
        <v>269.55066285714292</v>
      </c>
      <c r="H1595" s="41">
        <v>-0.1736727266983332</v>
      </c>
      <c r="I1595" s="40">
        <v>84.12217469387754</v>
      </c>
      <c r="J1595" s="41">
        <v>0.31208298210886171</v>
      </c>
      <c r="K1595" s="9" t="s">
        <v>2347</v>
      </c>
    </row>
    <row r="1596" spans="1:11" x14ac:dyDescent="0.2">
      <c r="A1596" s="9" t="s">
        <v>44</v>
      </c>
      <c r="B1596" s="9" t="s">
        <v>202</v>
      </c>
      <c r="C1596" s="9"/>
      <c r="D1596" s="9" t="s">
        <v>81</v>
      </c>
      <c r="E1596" s="38">
        <v>910</v>
      </c>
      <c r="F1596" s="39">
        <v>1037383.93</v>
      </c>
      <c r="G1596" s="40">
        <v>1139.98234065934</v>
      </c>
      <c r="H1596" s="41">
        <v>-5.0902782828809081E-3</v>
      </c>
      <c r="I1596" s="40">
        <v>163.14459032967031</v>
      </c>
      <c r="J1596" s="41">
        <v>0.1431115066530865</v>
      </c>
      <c r="K1596" s="9" t="s">
        <v>2348</v>
      </c>
    </row>
    <row r="1597" spans="1:11" x14ac:dyDescent="0.2">
      <c r="A1597" s="9" t="s">
        <v>44</v>
      </c>
      <c r="B1597" s="9" t="s">
        <v>877</v>
      </c>
      <c r="C1597" s="9"/>
      <c r="D1597" s="9" t="s">
        <v>76</v>
      </c>
      <c r="E1597" s="38">
        <v>7084</v>
      </c>
      <c r="F1597" s="39">
        <v>1137820.3400000001</v>
      </c>
      <c r="G1597" s="40">
        <v>160.6183427442123</v>
      </c>
      <c r="H1597" s="41">
        <v>0.15325177130143031</v>
      </c>
      <c r="I1597" s="40">
        <v>16.06183427442123</v>
      </c>
      <c r="J1597" s="41">
        <v>0.1</v>
      </c>
      <c r="K1597" s="9" t="s">
        <v>2349</v>
      </c>
    </row>
    <row r="1598" spans="1:11" x14ac:dyDescent="0.2">
      <c r="A1598" s="9" t="s">
        <v>44</v>
      </c>
      <c r="B1598" s="9" t="s">
        <v>432</v>
      </c>
      <c r="C1598" s="9"/>
      <c r="D1598" s="9" t="s">
        <v>81</v>
      </c>
      <c r="E1598" s="38">
        <v>983</v>
      </c>
      <c r="F1598" s="39">
        <v>2282689.15</v>
      </c>
      <c r="G1598" s="40">
        <v>2322.165971515768</v>
      </c>
      <c r="H1598" s="41">
        <v>-0.14198652747434631</v>
      </c>
      <c r="I1598" s="40">
        <v>201.29910783316379</v>
      </c>
      <c r="J1598" s="41">
        <v>8.6685926114819456E-2</v>
      </c>
      <c r="K1598" s="9" t="s">
        <v>2350</v>
      </c>
    </row>
    <row r="1599" spans="1:11" x14ac:dyDescent="0.2">
      <c r="A1599" s="9" t="s">
        <v>44</v>
      </c>
      <c r="B1599" s="9" t="s">
        <v>204</v>
      </c>
      <c r="C1599" s="9"/>
      <c r="D1599" s="9" t="s">
        <v>81</v>
      </c>
      <c r="E1599" s="38">
        <v>2200</v>
      </c>
      <c r="F1599" s="39">
        <v>2765171.08</v>
      </c>
      <c r="G1599" s="40">
        <v>1256.895945454545</v>
      </c>
      <c r="H1599" s="41">
        <v>-0.1201068773938334</v>
      </c>
      <c r="I1599" s="40">
        <v>70.78988690909091</v>
      </c>
      <c r="J1599" s="41">
        <v>5.6321199193215918E-2</v>
      </c>
      <c r="K1599" s="9" t="s">
        <v>2351</v>
      </c>
    </row>
    <row r="1600" spans="1:11" x14ac:dyDescent="0.2">
      <c r="A1600" s="9" t="s">
        <v>44</v>
      </c>
      <c r="B1600" s="9" t="s">
        <v>206</v>
      </c>
      <c r="C1600" s="9"/>
      <c r="D1600" s="9" t="s">
        <v>80</v>
      </c>
      <c r="E1600" s="38">
        <v>605</v>
      </c>
      <c r="F1600" s="39">
        <v>221154.96</v>
      </c>
      <c r="G1600" s="40">
        <v>365.54538842975211</v>
      </c>
      <c r="H1600" s="41">
        <v>0.25135252245848733</v>
      </c>
      <c r="I1600" s="40">
        <v>104.9709818181818</v>
      </c>
      <c r="J1600" s="41">
        <v>0.28716264830777483</v>
      </c>
      <c r="K1600" s="9" t="s">
        <v>2352</v>
      </c>
    </row>
    <row r="1601" spans="1:11" x14ac:dyDescent="0.2">
      <c r="A1601" s="9" t="s">
        <v>44</v>
      </c>
      <c r="B1601" s="9" t="s">
        <v>208</v>
      </c>
      <c r="C1601" s="9"/>
      <c r="D1601" s="9" t="s">
        <v>78</v>
      </c>
      <c r="E1601" s="38">
        <v>1402</v>
      </c>
      <c r="F1601" s="39">
        <v>964204.24</v>
      </c>
      <c r="G1601" s="40">
        <v>687.73483594864479</v>
      </c>
      <c r="H1601" s="41">
        <v>-0.11059456169246711</v>
      </c>
      <c r="I1601" s="40">
        <v>96.282877318116988</v>
      </c>
      <c r="J1601" s="41">
        <v>0.14000000041484989</v>
      </c>
      <c r="K1601" s="9" t="s">
        <v>2353</v>
      </c>
    </row>
    <row r="1602" spans="1:11" x14ac:dyDescent="0.2">
      <c r="A1602" s="9" t="s">
        <v>44</v>
      </c>
      <c r="B1602" s="9" t="s">
        <v>2354</v>
      </c>
      <c r="C1602" s="9"/>
      <c r="D1602" s="9" t="s">
        <v>82</v>
      </c>
      <c r="E1602" s="38">
        <v>10136</v>
      </c>
      <c r="F1602" s="39">
        <v>865609.76</v>
      </c>
      <c r="G1602" s="40">
        <v>85.399542225730073</v>
      </c>
      <c r="H1602" s="41">
        <v>6.9757339923682216E-2</v>
      </c>
      <c r="I1602" s="40">
        <v>12.809931245067091</v>
      </c>
      <c r="J1602" s="41">
        <v>0.1499999989602705</v>
      </c>
      <c r="K1602" s="9" t="s">
        <v>2355</v>
      </c>
    </row>
    <row r="1603" spans="1:11" x14ac:dyDescent="0.2">
      <c r="A1603" s="9" t="s">
        <v>44</v>
      </c>
      <c r="B1603" s="9" t="s">
        <v>212</v>
      </c>
      <c r="C1603" s="9"/>
      <c r="D1603" s="9" t="s">
        <v>76</v>
      </c>
      <c r="E1603" s="38">
        <v>2144</v>
      </c>
      <c r="F1603" s="39">
        <v>1827909.75</v>
      </c>
      <c r="G1603" s="40">
        <v>852.5698460820895</v>
      </c>
      <c r="H1603" s="41">
        <v>0.42942921223011521</v>
      </c>
      <c r="I1603" s="40">
        <v>132.2165527052239</v>
      </c>
      <c r="J1603" s="41">
        <v>0.15508002460187109</v>
      </c>
      <c r="K1603" s="9" t="s">
        <v>2356</v>
      </c>
    </row>
    <row r="1604" spans="1:11" x14ac:dyDescent="0.2">
      <c r="A1604" s="9" t="s">
        <v>44</v>
      </c>
      <c r="B1604" s="9" t="s">
        <v>2357</v>
      </c>
      <c r="C1604" s="9"/>
      <c r="D1604" s="9" t="s">
        <v>79</v>
      </c>
      <c r="E1604" s="38">
        <v>1620</v>
      </c>
      <c r="F1604" s="39">
        <v>31828</v>
      </c>
      <c r="G1604" s="40">
        <v>19.64691358024691</v>
      </c>
      <c r="H1604" s="41">
        <v>-0.14099103961999351</v>
      </c>
      <c r="I1604" s="40">
        <v>65.208197037037039</v>
      </c>
      <c r="J1604" s="41">
        <v>3.3190046248586152E-2</v>
      </c>
      <c r="K1604" s="9" t="s">
        <v>2358</v>
      </c>
    </row>
    <row r="1605" spans="1:11" x14ac:dyDescent="0.2">
      <c r="A1605" s="9" t="s">
        <v>44</v>
      </c>
      <c r="B1605" s="9" t="s">
        <v>1615</v>
      </c>
      <c r="C1605" s="9"/>
      <c r="D1605" s="9" t="s">
        <v>78</v>
      </c>
      <c r="E1605" s="38">
        <v>192</v>
      </c>
      <c r="F1605" s="39">
        <v>249727.93</v>
      </c>
      <c r="G1605" s="40">
        <v>1300.666302083333</v>
      </c>
      <c r="H1605" s="41">
        <v>-1.738266945026715E-2</v>
      </c>
      <c r="I1605" s="40">
        <v>321.875</v>
      </c>
      <c r="J1605" s="41">
        <v>0.24746931590711541</v>
      </c>
      <c r="K1605" s="9" t="s">
        <v>2359</v>
      </c>
    </row>
    <row r="1606" spans="1:11" x14ac:dyDescent="0.2">
      <c r="A1606" s="9" t="s">
        <v>44</v>
      </c>
      <c r="B1606" s="9" t="s">
        <v>766</v>
      </c>
      <c r="C1606" s="9"/>
      <c r="D1606" s="9" t="s">
        <v>86</v>
      </c>
      <c r="E1606" s="38">
        <v>75000</v>
      </c>
      <c r="F1606" s="39">
        <v>0</v>
      </c>
      <c r="G1606" s="40"/>
      <c r="H1606" s="41">
        <v>-1</v>
      </c>
      <c r="I1606" s="40">
        <v>22.317365983999998</v>
      </c>
      <c r="J1606" s="41"/>
      <c r="K1606" s="9" t="s">
        <v>2360</v>
      </c>
    </row>
    <row r="1607" spans="1:11" x14ac:dyDescent="0.2">
      <c r="A1607" s="9" t="s">
        <v>44</v>
      </c>
      <c r="B1607" s="9" t="s">
        <v>1001</v>
      </c>
      <c r="C1607" s="9"/>
      <c r="D1607" s="9" t="s">
        <v>76</v>
      </c>
      <c r="E1607" s="38">
        <v>4000</v>
      </c>
      <c r="F1607" s="39">
        <v>0</v>
      </c>
      <c r="G1607" s="40"/>
      <c r="H1607" s="41">
        <v>-1</v>
      </c>
      <c r="I1607" s="40">
        <v>67.045949999999991</v>
      </c>
      <c r="J1607" s="41"/>
      <c r="K1607" s="9" t="s">
        <v>2361</v>
      </c>
    </row>
    <row r="1608" spans="1:11" x14ac:dyDescent="0.2">
      <c r="A1608" s="9" t="s">
        <v>44</v>
      </c>
      <c r="B1608" s="9" t="s">
        <v>228</v>
      </c>
      <c r="C1608" s="9"/>
      <c r="D1608" s="9" t="s">
        <v>76</v>
      </c>
      <c r="E1608" s="38">
        <v>4145</v>
      </c>
      <c r="F1608" s="39">
        <v>667730.2699999999</v>
      </c>
      <c r="G1608" s="40">
        <v>161.09294813027739</v>
      </c>
      <c r="H1608" s="41">
        <v>-0.12721906616124631</v>
      </c>
      <c r="I1608" s="40">
        <v>12.39396854041013</v>
      </c>
      <c r="J1608" s="41">
        <v>7.6936754117796713E-2</v>
      </c>
      <c r="K1608" s="9" t="s">
        <v>2362</v>
      </c>
    </row>
    <row r="1609" spans="1:11" x14ac:dyDescent="0.2">
      <c r="A1609" s="9" t="s">
        <v>44</v>
      </c>
      <c r="B1609" s="9" t="s">
        <v>231</v>
      </c>
      <c r="C1609" s="9"/>
      <c r="D1609" s="9" t="s">
        <v>76</v>
      </c>
      <c r="E1609" s="38">
        <v>10065</v>
      </c>
      <c r="F1609" s="39">
        <v>1122524.46</v>
      </c>
      <c r="G1609" s="40">
        <v>111.52751713859909</v>
      </c>
      <c r="H1609" s="41">
        <v>6.3814021574512311E-2</v>
      </c>
      <c r="I1609" s="40">
        <v>11.15275171385991</v>
      </c>
      <c r="J1609" s="41">
        <v>0.1</v>
      </c>
      <c r="K1609" s="9" t="s">
        <v>2363</v>
      </c>
    </row>
    <row r="1610" spans="1:11" x14ac:dyDescent="0.2">
      <c r="A1610" s="9" t="s">
        <v>44</v>
      </c>
      <c r="B1610" s="9" t="s">
        <v>2364</v>
      </c>
      <c r="C1610" s="9"/>
      <c r="D1610" s="9" t="s">
        <v>83</v>
      </c>
      <c r="E1610" s="38">
        <v>1544</v>
      </c>
      <c r="F1610" s="39">
        <v>0</v>
      </c>
      <c r="G1610" s="40"/>
      <c r="H1610" s="41"/>
      <c r="I1610" s="40">
        <v>34.002590673575128</v>
      </c>
      <c r="J1610" s="41"/>
      <c r="K1610" s="9" t="s">
        <v>2365</v>
      </c>
    </row>
    <row r="1611" spans="1:11" x14ac:dyDescent="0.2">
      <c r="A1611" s="9" t="s">
        <v>44</v>
      </c>
      <c r="B1611" s="9" t="s">
        <v>1477</v>
      </c>
      <c r="C1611" s="9"/>
      <c r="D1611" s="9" t="s">
        <v>85</v>
      </c>
      <c r="E1611" s="38">
        <v>7985</v>
      </c>
      <c r="F1611" s="39">
        <v>0</v>
      </c>
      <c r="G1611" s="40"/>
      <c r="H1611" s="41"/>
      <c r="I1611" s="40">
        <v>24</v>
      </c>
      <c r="J1611" s="41"/>
      <c r="K1611" s="9" t="s">
        <v>2366</v>
      </c>
    </row>
    <row r="1612" spans="1:11" x14ac:dyDescent="0.2">
      <c r="A1612" s="9" t="s">
        <v>44</v>
      </c>
      <c r="B1612" s="9" t="s">
        <v>456</v>
      </c>
      <c r="C1612" s="9"/>
      <c r="D1612" s="9" t="s">
        <v>76</v>
      </c>
      <c r="E1612" s="38">
        <v>1500</v>
      </c>
      <c r="F1612" s="39">
        <v>719122.95</v>
      </c>
      <c r="G1612" s="40">
        <v>479.41529999999989</v>
      </c>
      <c r="H1612" s="41">
        <v>7.2374626317479124E-2</v>
      </c>
      <c r="I1612" s="40">
        <v>74.63839999999999</v>
      </c>
      <c r="J1612" s="41">
        <v>0.15568631205553929</v>
      </c>
      <c r="K1612" s="9" t="s">
        <v>2367</v>
      </c>
    </row>
    <row r="1613" spans="1:11" x14ac:dyDescent="0.2">
      <c r="A1613" s="9" t="s">
        <v>44</v>
      </c>
      <c r="B1613" s="9" t="s">
        <v>242</v>
      </c>
      <c r="C1613" s="9"/>
      <c r="D1613" s="9" t="s">
        <v>82</v>
      </c>
      <c r="E1613" s="38">
        <v>6425</v>
      </c>
      <c r="F1613" s="39">
        <v>1094845.07</v>
      </c>
      <c r="G1613" s="40">
        <v>170.40390194552529</v>
      </c>
      <c r="H1613" s="41">
        <v>-0.13278590730238429</v>
      </c>
      <c r="I1613" s="40">
        <v>17.040390194552529</v>
      </c>
      <c r="J1613" s="41">
        <v>0.1</v>
      </c>
      <c r="K1613" s="9" t="s">
        <v>2368</v>
      </c>
    </row>
    <row r="1614" spans="1:11" x14ac:dyDescent="0.2">
      <c r="A1614" s="9" t="s">
        <v>44</v>
      </c>
      <c r="B1614" s="9" t="s">
        <v>245</v>
      </c>
      <c r="C1614" s="9"/>
      <c r="D1614" s="9" t="s">
        <v>79</v>
      </c>
      <c r="E1614" s="38">
        <v>1259</v>
      </c>
      <c r="F1614" s="39">
        <v>340668.03</v>
      </c>
      <c r="G1614" s="40">
        <v>270.58620333598088</v>
      </c>
      <c r="H1614" s="41">
        <v>-0.15307890798530849</v>
      </c>
      <c r="I1614" s="40">
        <v>59.725562192216053</v>
      </c>
      <c r="J1614" s="41">
        <v>0.22072656128019991</v>
      </c>
      <c r="K1614" s="9" t="s">
        <v>2369</v>
      </c>
    </row>
    <row r="1615" spans="1:11" x14ac:dyDescent="0.2">
      <c r="A1615" s="9" t="s">
        <v>44</v>
      </c>
      <c r="B1615" s="9" t="s">
        <v>908</v>
      </c>
      <c r="C1615" s="9"/>
      <c r="D1615" s="9" t="s">
        <v>80</v>
      </c>
      <c r="E1615" s="38">
        <v>780</v>
      </c>
      <c r="F1615" s="39">
        <v>809910.06</v>
      </c>
      <c r="G1615" s="40">
        <v>1038.3462307692309</v>
      </c>
      <c r="H1615" s="41">
        <v>4.6682046847324667E-2</v>
      </c>
      <c r="I1615" s="40">
        <v>195.14966461538469</v>
      </c>
      <c r="J1615" s="41">
        <v>0.1879427678673358</v>
      </c>
      <c r="K1615" s="9" t="s">
        <v>2370</v>
      </c>
    </row>
    <row r="1616" spans="1:11" x14ac:dyDescent="0.2">
      <c r="A1616" s="9" t="s">
        <v>44</v>
      </c>
      <c r="B1616" s="9" t="s">
        <v>247</v>
      </c>
      <c r="C1616" s="9"/>
      <c r="D1616" s="9" t="s">
        <v>76</v>
      </c>
      <c r="E1616" s="38">
        <v>23338</v>
      </c>
      <c r="F1616" s="39">
        <v>3018476.36</v>
      </c>
      <c r="G1616" s="40">
        <v>129.3374050904105</v>
      </c>
      <c r="H1616" s="41">
        <v>5.8990027074080693E-2</v>
      </c>
      <c r="I1616" s="40">
        <v>7.7602443054246297</v>
      </c>
      <c r="J1616" s="41">
        <v>0.06</v>
      </c>
      <c r="K1616" s="9" t="s">
        <v>2371</v>
      </c>
    </row>
    <row r="1617" spans="1:11" x14ac:dyDescent="0.2">
      <c r="A1617" s="9" t="s">
        <v>44</v>
      </c>
      <c r="B1617" s="9" t="s">
        <v>140</v>
      </c>
      <c r="C1617" s="9"/>
      <c r="D1617" s="9" t="s">
        <v>83</v>
      </c>
      <c r="E1617" s="38">
        <v>6914</v>
      </c>
      <c r="F1617" s="39">
        <v>3821261.61</v>
      </c>
      <c r="G1617" s="40">
        <v>552.68464130749214</v>
      </c>
      <c r="H1617" s="41">
        <v>0.2001153218990179</v>
      </c>
      <c r="I1617" s="40">
        <v>61.958521709574782</v>
      </c>
      <c r="J1617" s="41">
        <v>0.1121046562158826</v>
      </c>
      <c r="K1617" s="9" t="s">
        <v>2372</v>
      </c>
    </row>
    <row r="1618" spans="1:11" x14ac:dyDescent="0.2">
      <c r="A1618" s="9" t="s">
        <v>44</v>
      </c>
      <c r="B1618" s="9" t="s">
        <v>256</v>
      </c>
      <c r="C1618" s="9"/>
      <c r="D1618" s="9" t="s">
        <v>76</v>
      </c>
      <c r="E1618" s="38">
        <v>1620</v>
      </c>
      <c r="F1618" s="39">
        <v>1543788.45</v>
      </c>
      <c r="G1618" s="40">
        <v>952.95583333333332</v>
      </c>
      <c r="H1618" s="41">
        <v>6.774680043936876E-2</v>
      </c>
      <c r="I1618" s="40">
        <v>122.2222222222222</v>
      </c>
      <c r="J1618" s="41">
        <v>0.12825591485672791</v>
      </c>
      <c r="K1618" s="9" t="s">
        <v>2373</v>
      </c>
    </row>
    <row r="1619" spans="1:11" x14ac:dyDescent="0.2">
      <c r="A1619" s="9" t="s">
        <v>44</v>
      </c>
      <c r="B1619" s="9" t="s">
        <v>1251</v>
      </c>
      <c r="C1619" s="9"/>
      <c r="D1619" s="9" t="s">
        <v>77</v>
      </c>
      <c r="E1619" s="38">
        <v>6070</v>
      </c>
      <c r="F1619" s="39">
        <v>2552368.2400000002</v>
      </c>
      <c r="G1619" s="40">
        <v>420.4890016474464</v>
      </c>
      <c r="H1619" s="41">
        <v>-0.17002876079284149</v>
      </c>
      <c r="I1619" s="40">
        <v>69.62982800658979</v>
      </c>
      <c r="J1619" s="41">
        <v>0.16559250713760651</v>
      </c>
      <c r="K1619" s="9" t="s">
        <v>2374</v>
      </c>
    </row>
    <row r="1620" spans="1:11" x14ac:dyDescent="0.2">
      <c r="A1620" s="9" t="s">
        <v>44</v>
      </c>
      <c r="B1620" s="9" t="s">
        <v>260</v>
      </c>
      <c r="C1620" s="9"/>
      <c r="D1620" s="9" t="s">
        <v>76</v>
      </c>
      <c r="E1620" s="38">
        <v>3560</v>
      </c>
      <c r="F1620" s="39">
        <v>1450845.01</v>
      </c>
      <c r="G1620" s="40">
        <v>407.5407331460674</v>
      </c>
      <c r="H1620" s="41">
        <v>-2.3028802403193799E-2</v>
      </c>
      <c r="I1620" s="40">
        <v>61.131109971910107</v>
      </c>
      <c r="J1620" s="41">
        <v>0.15</v>
      </c>
      <c r="K1620" s="9" t="s">
        <v>2375</v>
      </c>
    </row>
    <row r="1621" spans="1:11" x14ac:dyDescent="0.2">
      <c r="A1621" s="9" t="s">
        <v>44</v>
      </c>
      <c r="B1621" s="9" t="s">
        <v>473</v>
      </c>
      <c r="C1621" s="9"/>
      <c r="D1621" s="9" t="s">
        <v>86</v>
      </c>
      <c r="E1621" s="38">
        <v>116698</v>
      </c>
      <c r="F1621" s="39">
        <v>0</v>
      </c>
      <c r="G1621" s="40"/>
      <c r="H1621" s="41">
        <v>-1</v>
      </c>
      <c r="I1621" s="40">
        <v>1.71382577250681</v>
      </c>
      <c r="J1621" s="41"/>
      <c r="K1621" s="9" t="s">
        <v>2376</v>
      </c>
    </row>
    <row r="1622" spans="1:11" x14ac:dyDescent="0.2">
      <c r="A1622" s="9" t="s">
        <v>44</v>
      </c>
      <c r="B1622" s="9" t="s">
        <v>262</v>
      </c>
      <c r="C1622" s="9"/>
      <c r="D1622" s="9" t="s">
        <v>76</v>
      </c>
      <c r="E1622" s="38">
        <v>7504</v>
      </c>
      <c r="F1622" s="39">
        <v>1896945.77</v>
      </c>
      <c r="G1622" s="40">
        <v>252.79128065031981</v>
      </c>
      <c r="H1622" s="41">
        <v>-0.13580563524500219</v>
      </c>
      <c r="I1622" s="40">
        <v>46.130601692430702</v>
      </c>
      <c r="J1622" s="41">
        <v>0.18248494004127491</v>
      </c>
      <c r="K1622" s="9" t="s">
        <v>2377</v>
      </c>
    </row>
    <row r="1623" spans="1:11" x14ac:dyDescent="0.2">
      <c r="A1623" s="9" t="s">
        <v>44</v>
      </c>
      <c r="B1623" s="9" t="s">
        <v>479</v>
      </c>
      <c r="C1623" s="9"/>
      <c r="D1623" s="9" t="s">
        <v>77</v>
      </c>
      <c r="E1623" s="38">
        <v>9039</v>
      </c>
      <c r="F1623" s="39">
        <v>4627051.53</v>
      </c>
      <c r="G1623" s="40">
        <v>511.89860935944239</v>
      </c>
      <c r="H1623" s="41">
        <v>0.34556849570389092</v>
      </c>
      <c r="I1623" s="40">
        <v>65.632995021573166</v>
      </c>
      <c r="J1623" s="41">
        <v>0.1282148336048464</v>
      </c>
      <c r="K1623" s="9" t="s">
        <v>2378</v>
      </c>
    </row>
    <row r="1624" spans="1:11" x14ac:dyDescent="0.2">
      <c r="A1624" s="9" t="s">
        <v>44</v>
      </c>
      <c r="B1624" s="9" t="s">
        <v>481</v>
      </c>
      <c r="C1624" s="9"/>
      <c r="D1624" s="9" t="s">
        <v>77</v>
      </c>
      <c r="E1624" s="38">
        <v>1938</v>
      </c>
      <c r="F1624" s="39">
        <v>626944.46</v>
      </c>
      <c r="G1624" s="40">
        <v>323.50075335397321</v>
      </c>
      <c r="H1624" s="41">
        <v>0.1097233404024428</v>
      </c>
      <c r="I1624" s="40">
        <v>48.525113003095967</v>
      </c>
      <c r="J1624" s="41">
        <v>0.15</v>
      </c>
      <c r="K1624" s="9" t="s">
        <v>2379</v>
      </c>
    </row>
    <row r="1625" spans="1:11" x14ac:dyDescent="0.2">
      <c r="A1625" s="9" t="s">
        <v>44</v>
      </c>
      <c r="B1625" s="9" t="s">
        <v>2380</v>
      </c>
      <c r="C1625" s="9"/>
      <c r="D1625" s="9" t="s">
        <v>81</v>
      </c>
      <c r="E1625" s="38">
        <v>646</v>
      </c>
      <c r="F1625" s="39">
        <v>337399.78</v>
      </c>
      <c r="G1625" s="40">
        <v>522.29068111455115</v>
      </c>
      <c r="H1625" s="41">
        <v>-6.9999429981495803E-2</v>
      </c>
      <c r="I1625" s="40">
        <v>85.253004334365315</v>
      </c>
      <c r="J1625" s="41">
        <v>0.16322903589326579</v>
      </c>
      <c r="K1625" s="9" t="s">
        <v>2381</v>
      </c>
    </row>
    <row r="1626" spans="1:11" x14ac:dyDescent="0.2">
      <c r="A1626" s="9" t="s">
        <v>44</v>
      </c>
      <c r="B1626" s="9" t="s">
        <v>267</v>
      </c>
      <c r="C1626" s="9"/>
      <c r="D1626" s="9" t="s">
        <v>77</v>
      </c>
      <c r="E1626" s="38">
        <v>2567</v>
      </c>
      <c r="F1626" s="39">
        <v>1242490.5900000001</v>
      </c>
      <c r="G1626" s="40">
        <v>484.02438254772107</v>
      </c>
      <c r="H1626" s="41">
        <v>6.199874012294021E-3</v>
      </c>
      <c r="I1626" s="40">
        <v>84.57263513829372</v>
      </c>
      <c r="J1626" s="41">
        <v>0.174728047155673</v>
      </c>
      <c r="K1626" s="9" t="s">
        <v>2382</v>
      </c>
    </row>
    <row r="1627" spans="1:11" x14ac:dyDescent="0.2">
      <c r="A1627" s="9" t="s">
        <v>44</v>
      </c>
      <c r="B1627" s="9" t="s">
        <v>484</v>
      </c>
      <c r="C1627" s="9"/>
      <c r="D1627" s="9" t="s">
        <v>77</v>
      </c>
      <c r="E1627" s="38">
        <v>1140</v>
      </c>
      <c r="F1627" s="39">
        <v>752606.24</v>
      </c>
      <c r="G1627" s="40">
        <v>660.1809122807017</v>
      </c>
      <c r="H1627" s="41">
        <v>-4.5448840287031701E-2</v>
      </c>
      <c r="I1627" s="40">
        <v>85.226249473684206</v>
      </c>
      <c r="J1627" s="41">
        <v>0.1290952947719381</v>
      </c>
      <c r="K1627" s="9" t="s">
        <v>2383</v>
      </c>
    </row>
    <row r="1628" spans="1:11" x14ac:dyDescent="0.2">
      <c r="A1628" s="9" t="s">
        <v>44</v>
      </c>
      <c r="B1628" s="9" t="s">
        <v>271</v>
      </c>
      <c r="C1628" s="9"/>
      <c r="D1628" s="9" t="s">
        <v>78</v>
      </c>
      <c r="E1628" s="38">
        <v>2304</v>
      </c>
      <c r="F1628" s="39">
        <v>5257935.6899999985</v>
      </c>
      <c r="G1628" s="40">
        <v>2282.0901432291671</v>
      </c>
      <c r="H1628" s="41">
        <v>6.753868101550406E-2</v>
      </c>
      <c r="I1628" s="40">
        <v>189.95276041666671</v>
      </c>
      <c r="J1628" s="41">
        <v>8.3236309038994746E-2</v>
      </c>
      <c r="K1628" s="9" t="s">
        <v>2384</v>
      </c>
    </row>
    <row r="1629" spans="1:11" x14ac:dyDescent="0.2">
      <c r="A1629" s="9" t="s">
        <v>44</v>
      </c>
      <c r="B1629" s="9" t="s">
        <v>277</v>
      </c>
      <c r="C1629" s="9"/>
      <c r="D1629" s="9" t="s">
        <v>76</v>
      </c>
      <c r="E1629" s="38">
        <v>885</v>
      </c>
      <c r="F1629" s="39">
        <v>869698.5199999999</v>
      </c>
      <c r="G1629" s="40">
        <v>982.71019209039537</v>
      </c>
      <c r="H1629" s="41">
        <v>-7.4266399312957115E-2</v>
      </c>
      <c r="I1629" s="40">
        <v>117.92522305084741</v>
      </c>
      <c r="J1629" s="41">
        <v>0.12</v>
      </c>
      <c r="K1629" s="9" t="s">
        <v>2385</v>
      </c>
    </row>
    <row r="1630" spans="1:11" x14ac:dyDescent="0.2">
      <c r="A1630" s="9" t="s">
        <v>44</v>
      </c>
      <c r="B1630" s="9" t="s">
        <v>283</v>
      </c>
      <c r="C1630" s="9"/>
      <c r="D1630" s="9" t="s">
        <v>78</v>
      </c>
      <c r="E1630" s="38">
        <v>603</v>
      </c>
      <c r="F1630" s="39">
        <v>551345.24</v>
      </c>
      <c r="G1630" s="40">
        <v>914.33704809286894</v>
      </c>
      <c r="H1630" s="41">
        <v>0.1543204881522901</v>
      </c>
      <c r="I1630" s="40">
        <v>126.8505631840796</v>
      </c>
      <c r="J1630" s="41">
        <v>0.13873501401771421</v>
      </c>
      <c r="K1630" s="9" t="s">
        <v>2386</v>
      </c>
    </row>
    <row r="1631" spans="1:11" x14ac:dyDescent="0.2">
      <c r="A1631" s="9" t="s">
        <v>44</v>
      </c>
      <c r="B1631" s="9" t="s">
        <v>502</v>
      </c>
      <c r="C1631" s="9"/>
      <c r="D1631" s="9" t="s">
        <v>86</v>
      </c>
      <c r="E1631" s="38">
        <v>275000</v>
      </c>
      <c r="F1631" s="39">
        <v>0</v>
      </c>
      <c r="G1631" s="40"/>
      <c r="H1631" s="41">
        <v>-1</v>
      </c>
      <c r="I1631" s="40">
        <v>0.16953203661077601</v>
      </c>
      <c r="J1631" s="41"/>
      <c r="K1631" s="9" t="s">
        <v>2387</v>
      </c>
    </row>
    <row r="1632" spans="1:11" x14ac:dyDescent="0.2">
      <c r="A1632" s="9" t="s">
        <v>44</v>
      </c>
      <c r="B1632" s="9" t="s">
        <v>2388</v>
      </c>
      <c r="C1632" s="9"/>
      <c r="D1632" s="9" t="s">
        <v>81</v>
      </c>
      <c r="E1632" s="38">
        <v>505</v>
      </c>
      <c r="F1632" s="39">
        <v>1175180.8400000001</v>
      </c>
      <c r="G1632" s="40">
        <v>2327.0907722772281</v>
      </c>
      <c r="H1632" s="41">
        <v>6.2822738074072251E-2</v>
      </c>
      <c r="I1632" s="40">
        <v>376.16564198019802</v>
      </c>
      <c r="J1632" s="41">
        <v>0.16164631240924579</v>
      </c>
      <c r="K1632" s="9" t="s">
        <v>2389</v>
      </c>
    </row>
    <row r="1633" spans="1:11" x14ac:dyDescent="0.2">
      <c r="A1633" s="9" t="s">
        <v>44</v>
      </c>
      <c r="B1633" s="9" t="s">
        <v>2390</v>
      </c>
      <c r="C1633" s="9"/>
      <c r="D1633" s="9" t="s">
        <v>76</v>
      </c>
      <c r="E1633" s="38">
        <v>7500</v>
      </c>
      <c r="F1633" s="39">
        <v>2856539.57</v>
      </c>
      <c r="G1633" s="40">
        <v>380.87194266666671</v>
      </c>
      <c r="H1633" s="41">
        <v>4.2659465640566392E-2</v>
      </c>
      <c r="I1633" s="40">
        <v>26.67</v>
      </c>
      <c r="J1633" s="41">
        <v>7.0023535504533538E-2</v>
      </c>
      <c r="K1633" s="9" t="s">
        <v>2391</v>
      </c>
    </row>
    <row r="1634" spans="1:11" x14ac:dyDescent="0.2">
      <c r="A1634" s="9" t="s">
        <v>44</v>
      </c>
      <c r="B1634" s="9" t="s">
        <v>301</v>
      </c>
      <c r="C1634" s="9"/>
      <c r="D1634" s="9" t="s">
        <v>82</v>
      </c>
      <c r="E1634" s="38">
        <v>4248</v>
      </c>
      <c r="F1634" s="39">
        <v>1032443.21</v>
      </c>
      <c r="G1634" s="40">
        <v>243.04218691148779</v>
      </c>
      <c r="H1634" s="41"/>
      <c r="I1634" s="40">
        <v>31.825137853107339</v>
      </c>
      <c r="J1634" s="41">
        <v>0.13094491231144809</v>
      </c>
      <c r="K1634" s="9" t="s">
        <v>2392</v>
      </c>
    </row>
    <row r="1635" spans="1:11" x14ac:dyDescent="0.2">
      <c r="A1635" s="9" t="s">
        <v>44</v>
      </c>
      <c r="B1635" s="9" t="s">
        <v>2393</v>
      </c>
      <c r="C1635" s="9"/>
      <c r="D1635" s="9" t="s">
        <v>79</v>
      </c>
      <c r="E1635" s="38">
        <v>866</v>
      </c>
      <c r="F1635" s="39">
        <v>162513</v>
      </c>
      <c r="G1635" s="40">
        <v>187.65935334872981</v>
      </c>
      <c r="H1635" s="41">
        <v>0.18369472587823121</v>
      </c>
      <c r="I1635" s="40">
        <v>127.0207856812933</v>
      </c>
      <c r="J1635" s="41">
        <v>0.67686892987022584</v>
      </c>
      <c r="K1635" s="9" t="s">
        <v>2394</v>
      </c>
    </row>
    <row r="1636" spans="1:11" x14ac:dyDescent="0.2">
      <c r="A1636" s="9" t="s">
        <v>44</v>
      </c>
      <c r="B1636" s="9" t="s">
        <v>1663</v>
      </c>
      <c r="C1636" s="9"/>
      <c r="D1636" s="9" t="s">
        <v>76</v>
      </c>
      <c r="E1636" s="38">
        <v>4551</v>
      </c>
      <c r="F1636" s="39">
        <v>0</v>
      </c>
      <c r="G1636" s="40"/>
      <c r="H1636" s="41"/>
      <c r="I1636" s="40">
        <v>32.959789057350037</v>
      </c>
      <c r="J1636" s="41"/>
      <c r="K1636" s="9" t="s">
        <v>2395</v>
      </c>
    </row>
    <row r="1637" spans="1:11" x14ac:dyDescent="0.2">
      <c r="A1637" s="9" t="s">
        <v>44</v>
      </c>
      <c r="B1637" s="9" t="s">
        <v>710</v>
      </c>
      <c r="C1637" s="9"/>
      <c r="D1637" s="9" t="s">
        <v>76</v>
      </c>
      <c r="E1637" s="38">
        <v>2300</v>
      </c>
      <c r="F1637" s="39">
        <v>610913.50999999989</v>
      </c>
      <c r="G1637" s="40">
        <v>265.61456956521732</v>
      </c>
      <c r="H1637" s="41">
        <v>-0.13189607452768159</v>
      </c>
      <c r="I1637" s="40">
        <v>70.914782608695646</v>
      </c>
      <c r="J1637" s="41">
        <v>0.26698378302355757</v>
      </c>
      <c r="K1637" s="9" t="s">
        <v>2396</v>
      </c>
    </row>
    <row r="1638" spans="1:11" x14ac:dyDescent="0.2">
      <c r="A1638" s="9" t="s">
        <v>44</v>
      </c>
      <c r="B1638" s="9" t="s">
        <v>1675</v>
      </c>
      <c r="C1638" s="9"/>
      <c r="D1638" s="9" t="s">
        <v>76</v>
      </c>
      <c r="E1638" s="38">
        <v>2800</v>
      </c>
      <c r="F1638" s="39">
        <v>2394686.65</v>
      </c>
      <c r="G1638" s="40">
        <v>855.24523214285716</v>
      </c>
      <c r="H1638" s="41">
        <v>5.4425519953961707E-2</v>
      </c>
      <c r="I1638" s="40">
        <v>71.030441785714288</v>
      </c>
      <c r="J1638" s="41">
        <v>8.3052718818138499E-2</v>
      </c>
      <c r="K1638" s="9" t="s">
        <v>2397</v>
      </c>
    </row>
    <row r="1639" spans="1:11" x14ac:dyDescent="0.2">
      <c r="A1639" s="9" t="s">
        <v>44</v>
      </c>
      <c r="B1639" s="9" t="s">
        <v>2398</v>
      </c>
      <c r="C1639" s="9"/>
      <c r="D1639" s="9" t="s">
        <v>80</v>
      </c>
      <c r="E1639" s="38">
        <v>288</v>
      </c>
      <c r="F1639" s="39">
        <v>532660.25</v>
      </c>
      <c r="G1639" s="40">
        <v>1849.5147569444439</v>
      </c>
      <c r="H1639" s="41">
        <v>1.9760360448149831E-2</v>
      </c>
      <c r="I1639" s="40">
        <v>244.31812500000001</v>
      </c>
      <c r="J1639" s="41">
        <v>0.13209849993499609</v>
      </c>
      <c r="K1639" s="9" t="s">
        <v>2399</v>
      </c>
    </row>
    <row r="1640" spans="1:11" x14ac:dyDescent="0.2">
      <c r="A1640" s="9" t="s">
        <v>44</v>
      </c>
      <c r="B1640" s="9" t="s">
        <v>2400</v>
      </c>
      <c r="C1640" s="9"/>
      <c r="D1640" s="9" t="s">
        <v>81</v>
      </c>
      <c r="E1640" s="38">
        <v>10466</v>
      </c>
      <c r="F1640" s="39">
        <v>6148365.9300000006</v>
      </c>
      <c r="G1640" s="40">
        <v>587.46091438945166</v>
      </c>
      <c r="H1640" s="41">
        <v>5.3373656502980038E-2</v>
      </c>
      <c r="I1640" s="40">
        <v>14.839218249570029</v>
      </c>
      <c r="J1640" s="41">
        <v>2.525992433895358E-2</v>
      </c>
      <c r="K1640" s="9" t="s">
        <v>2401</v>
      </c>
    </row>
    <row r="1641" spans="1:11" x14ac:dyDescent="0.2">
      <c r="A1641" s="9" t="s">
        <v>44</v>
      </c>
      <c r="B1641" s="9" t="s">
        <v>2402</v>
      </c>
      <c r="C1641" s="9"/>
      <c r="D1641" s="9" t="s">
        <v>81</v>
      </c>
      <c r="E1641" s="38">
        <v>7000</v>
      </c>
      <c r="F1641" s="39">
        <v>0</v>
      </c>
      <c r="G1641" s="40"/>
      <c r="H1641" s="41"/>
      <c r="I1641" s="40">
        <v>30.836794285714291</v>
      </c>
      <c r="J1641" s="41"/>
      <c r="K1641" s="9" t="s">
        <v>2403</v>
      </c>
    </row>
    <row r="1642" spans="1:11" x14ac:dyDescent="0.2">
      <c r="A1642" s="9" t="s">
        <v>44</v>
      </c>
      <c r="B1642" s="9" t="s">
        <v>603</v>
      </c>
      <c r="C1642" s="9"/>
      <c r="D1642" s="9" t="s">
        <v>81</v>
      </c>
      <c r="E1642" s="38">
        <v>6676</v>
      </c>
      <c r="F1642" s="39">
        <v>3528080.67</v>
      </c>
      <c r="G1642" s="40">
        <v>528.47223936488911</v>
      </c>
      <c r="H1642" s="41">
        <v>-5.2537763079916609E-2</v>
      </c>
      <c r="I1642" s="40">
        <v>33.016497843019771</v>
      </c>
      <c r="J1642" s="41">
        <v>6.2475368399101817E-2</v>
      </c>
      <c r="K1642" s="9" t="s">
        <v>2404</v>
      </c>
    </row>
    <row r="1643" spans="1:11" x14ac:dyDescent="0.2">
      <c r="A1643" s="9" t="s">
        <v>44</v>
      </c>
      <c r="B1643" s="9" t="s">
        <v>317</v>
      </c>
      <c r="C1643" s="9"/>
      <c r="D1643" s="9" t="s">
        <v>76</v>
      </c>
      <c r="E1643" s="38">
        <v>3504</v>
      </c>
      <c r="F1643" s="39">
        <v>1678275.98</v>
      </c>
      <c r="G1643" s="40">
        <v>478.9600399543379</v>
      </c>
      <c r="H1643" s="41">
        <v>0.33848203692398671</v>
      </c>
      <c r="I1643" s="40">
        <v>32.477168835616439</v>
      </c>
      <c r="J1643" s="41">
        <v>6.7807679402049237E-2</v>
      </c>
      <c r="K1643" s="9" t="s">
        <v>2405</v>
      </c>
    </row>
    <row r="1644" spans="1:11" x14ac:dyDescent="0.2">
      <c r="A1644" s="9" t="s">
        <v>44</v>
      </c>
      <c r="B1644" s="9" t="s">
        <v>2406</v>
      </c>
      <c r="C1644" s="9"/>
      <c r="D1644" s="9" t="s">
        <v>76</v>
      </c>
      <c r="E1644" s="38">
        <v>1080</v>
      </c>
      <c r="F1644" s="39">
        <v>961043.9</v>
      </c>
      <c r="G1644" s="40">
        <v>889.85546296296297</v>
      </c>
      <c r="H1644" s="41">
        <v>0.32695755441709978</v>
      </c>
      <c r="I1644" s="40">
        <v>77.424563888888898</v>
      </c>
      <c r="J1644" s="41">
        <v>8.7008022214177735E-2</v>
      </c>
      <c r="K1644" s="9" t="s">
        <v>2407</v>
      </c>
    </row>
    <row r="1645" spans="1:11" x14ac:dyDescent="0.2">
      <c r="A1645" s="9" t="s">
        <v>44</v>
      </c>
      <c r="B1645" s="9" t="s">
        <v>1517</v>
      </c>
      <c r="C1645" s="9"/>
      <c r="D1645" s="9" t="s">
        <v>76</v>
      </c>
      <c r="E1645" s="38">
        <v>8395</v>
      </c>
      <c r="F1645" s="39">
        <v>3285388.38</v>
      </c>
      <c r="G1645" s="40">
        <v>391.35061107802272</v>
      </c>
      <c r="H1645" s="41">
        <v>7.0999292588350152E-2</v>
      </c>
      <c r="I1645" s="40">
        <v>37.970515187611667</v>
      </c>
      <c r="J1645" s="41">
        <v>9.7024290017121179E-2</v>
      </c>
      <c r="K1645" s="9" t="s">
        <v>2408</v>
      </c>
    </row>
    <row r="1646" spans="1:11" x14ac:dyDescent="0.2">
      <c r="A1646" s="9" t="s">
        <v>44</v>
      </c>
      <c r="B1646" s="9" t="s">
        <v>2409</v>
      </c>
      <c r="C1646" s="9"/>
      <c r="D1646" s="9" t="s">
        <v>81</v>
      </c>
      <c r="E1646" s="38">
        <v>593</v>
      </c>
      <c r="F1646" s="39">
        <v>949638</v>
      </c>
      <c r="G1646" s="40">
        <v>1601.4131534569981</v>
      </c>
      <c r="H1646" s="41">
        <v>0.15406434113049061</v>
      </c>
      <c r="I1646" s="40">
        <v>283.17046138279932</v>
      </c>
      <c r="J1646" s="41">
        <v>0.17682536250655509</v>
      </c>
      <c r="K1646" s="9" t="s">
        <v>2410</v>
      </c>
    </row>
    <row r="1647" spans="1:11" x14ac:dyDescent="0.2">
      <c r="A1647" s="9" t="s">
        <v>44</v>
      </c>
      <c r="B1647" s="9" t="s">
        <v>321</v>
      </c>
      <c r="C1647" s="9"/>
      <c r="D1647" s="9" t="s">
        <v>78</v>
      </c>
      <c r="E1647" s="38">
        <v>1357</v>
      </c>
      <c r="F1647" s="39">
        <v>1965063.62</v>
      </c>
      <c r="G1647" s="40">
        <v>1448.09404568902</v>
      </c>
      <c r="H1647" s="41">
        <v>1.1706600642583441E-2</v>
      </c>
      <c r="I1647" s="40">
        <v>134.54</v>
      </c>
      <c r="J1647" s="41">
        <v>9.2908330367441214E-2</v>
      </c>
      <c r="K1647" s="9" t="s">
        <v>2411</v>
      </c>
    </row>
    <row r="1648" spans="1:11" x14ac:dyDescent="0.2">
      <c r="A1648" s="9" t="s">
        <v>44</v>
      </c>
      <c r="B1648" s="9" t="s">
        <v>2242</v>
      </c>
      <c r="C1648" s="9"/>
      <c r="D1648" s="9" t="s">
        <v>80</v>
      </c>
      <c r="E1648" s="38">
        <v>600</v>
      </c>
      <c r="F1648" s="39">
        <v>240472.82</v>
      </c>
      <c r="G1648" s="40">
        <v>400.78803333333332</v>
      </c>
      <c r="H1648" s="41">
        <v>0.1967431172525764</v>
      </c>
      <c r="I1648" s="40">
        <v>60.117666</v>
      </c>
      <c r="J1648" s="41">
        <v>0.14999865514946761</v>
      </c>
      <c r="K1648" s="9" t="s">
        <v>2412</v>
      </c>
    </row>
    <row r="1649" spans="1:11" x14ac:dyDescent="0.2">
      <c r="A1649" s="9" t="s">
        <v>44</v>
      </c>
      <c r="B1649" s="9" t="s">
        <v>2413</v>
      </c>
      <c r="C1649" s="9"/>
      <c r="D1649" s="9" t="s">
        <v>79</v>
      </c>
      <c r="E1649" s="38">
        <v>2600</v>
      </c>
      <c r="F1649" s="39">
        <v>309732.83</v>
      </c>
      <c r="G1649" s="40">
        <v>119.12801153846149</v>
      </c>
      <c r="H1649" s="41">
        <v>0.26823453849386081</v>
      </c>
      <c r="I1649" s="40">
        <v>32.692307538461527</v>
      </c>
      <c r="J1649" s="41">
        <v>0.27443006154691452</v>
      </c>
      <c r="K1649" s="9" t="s">
        <v>2414</v>
      </c>
    </row>
    <row r="1650" spans="1:11" x14ac:dyDescent="0.2">
      <c r="A1650" s="9" t="s">
        <v>44</v>
      </c>
      <c r="B1650" s="9" t="s">
        <v>2415</v>
      </c>
      <c r="C1650" s="9"/>
      <c r="D1650" s="9" t="s">
        <v>81</v>
      </c>
      <c r="E1650" s="38">
        <v>2629</v>
      </c>
      <c r="F1650" s="39">
        <v>564527.65</v>
      </c>
      <c r="G1650" s="40">
        <v>214.730943324458</v>
      </c>
      <c r="H1650" s="41">
        <v>5.4588683855589182E-2</v>
      </c>
      <c r="I1650" s="40">
        <v>22.41868391023203</v>
      </c>
      <c r="J1650" s="41">
        <v>0.1044036018430629</v>
      </c>
      <c r="K1650" s="9" t="s">
        <v>2416</v>
      </c>
    </row>
    <row r="1651" spans="1:11" x14ac:dyDescent="0.2">
      <c r="A1651" s="9" t="s">
        <v>44</v>
      </c>
      <c r="B1651" s="9" t="s">
        <v>715</v>
      </c>
      <c r="C1651" s="9"/>
      <c r="D1651" s="9" t="s">
        <v>76</v>
      </c>
      <c r="E1651" s="38">
        <v>5026</v>
      </c>
      <c r="F1651" s="39">
        <v>1973621.17</v>
      </c>
      <c r="G1651" s="40">
        <v>392.68228611221639</v>
      </c>
      <c r="H1651" s="41">
        <v>-9.5378186482797597E-3</v>
      </c>
      <c r="I1651" s="40">
        <v>61.833450059689611</v>
      </c>
      <c r="J1651" s="41">
        <v>0.15746432229443499</v>
      </c>
      <c r="K1651" s="9" t="s">
        <v>2417</v>
      </c>
    </row>
    <row r="1652" spans="1:11" x14ac:dyDescent="0.2">
      <c r="A1652" s="9" t="s">
        <v>44</v>
      </c>
      <c r="B1652" s="9" t="s">
        <v>2418</v>
      </c>
      <c r="C1652" s="9"/>
      <c r="D1652" s="9" t="s">
        <v>83</v>
      </c>
      <c r="E1652" s="38">
        <v>2479</v>
      </c>
      <c r="F1652" s="39">
        <v>0</v>
      </c>
      <c r="G1652" s="40"/>
      <c r="H1652" s="41"/>
      <c r="I1652" s="40">
        <v>96.43536813231141</v>
      </c>
      <c r="J1652" s="41"/>
      <c r="K1652" s="9" t="s">
        <v>2419</v>
      </c>
    </row>
    <row r="1653" spans="1:11" x14ac:dyDescent="0.2">
      <c r="A1653" s="9" t="s">
        <v>44</v>
      </c>
      <c r="B1653" s="9" t="s">
        <v>2420</v>
      </c>
      <c r="C1653" s="9"/>
      <c r="D1653" s="9" t="s">
        <v>81</v>
      </c>
      <c r="E1653" s="38">
        <v>951</v>
      </c>
      <c r="F1653" s="39">
        <v>459569.33999999991</v>
      </c>
      <c r="G1653" s="40">
        <v>483.24851735015761</v>
      </c>
      <c r="H1653" s="41">
        <v>0.11425389711811811</v>
      </c>
      <c r="I1653" s="40">
        <v>78.768454258675078</v>
      </c>
      <c r="J1653" s="41">
        <v>0.16299781878399461</v>
      </c>
      <c r="K1653" s="9" t="s">
        <v>2421</v>
      </c>
    </row>
    <row r="1654" spans="1:11" x14ac:dyDescent="0.2">
      <c r="A1654" s="9" t="s">
        <v>44</v>
      </c>
      <c r="B1654" s="9" t="s">
        <v>331</v>
      </c>
      <c r="C1654" s="9"/>
      <c r="D1654" s="9" t="s">
        <v>81</v>
      </c>
      <c r="E1654" s="38">
        <v>833</v>
      </c>
      <c r="F1654" s="39">
        <v>997150.12000000011</v>
      </c>
      <c r="G1654" s="40">
        <v>1197.0589675870351</v>
      </c>
      <c r="H1654" s="41">
        <v>3.9944464306804581E-2</v>
      </c>
      <c r="I1654" s="40">
        <v>179.29171620648259</v>
      </c>
      <c r="J1654" s="41">
        <v>0.14977684563684349</v>
      </c>
      <c r="K1654" s="9" t="s">
        <v>2422</v>
      </c>
    </row>
    <row r="1655" spans="1:11" x14ac:dyDescent="0.2">
      <c r="A1655" s="9" t="s">
        <v>44</v>
      </c>
      <c r="B1655" s="9" t="s">
        <v>520</v>
      </c>
      <c r="C1655" s="9"/>
      <c r="D1655" s="9" t="s">
        <v>77</v>
      </c>
      <c r="E1655" s="38">
        <v>4635</v>
      </c>
      <c r="F1655" s="39">
        <v>1754473.45</v>
      </c>
      <c r="G1655" s="40">
        <v>378.5271736785329</v>
      </c>
      <c r="H1655" s="41">
        <v>-6.4860902177011237E-2</v>
      </c>
      <c r="I1655" s="40">
        <v>62.18657346278318</v>
      </c>
      <c r="J1655" s="41">
        <v>0.1642856254108605</v>
      </c>
      <c r="K1655" s="9" t="s">
        <v>2423</v>
      </c>
    </row>
    <row r="1656" spans="1:11" x14ac:dyDescent="0.2">
      <c r="A1656" s="9" t="s">
        <v>44</v>
      </c>
      <c r="B1656" s="9" t="s">
        <v>2248</v>
      </c>
      <c r="C1656" s="9"/>
      <c r="D1656" s="9" t="s">
        <v>76</v>
      </c>
      <c r="E1656" s="38">
        <v>8208</v>
      </c>
      <c r="F1656" s="39">
        <v>1229722.8500000001</v>
      </c>
      <c r="G1656" s="40">
        <v>149.82003533138399</v>
      </c>
      <c r="H1656" s="41">
        <v>9.1488069033096489E-2</v>
      </c>
      <c r="I1656" s="40">
        <v>19.677468347953219</v>
      </c>
      <c r="J1656" s="41">
        <v>0.1313407002236317</v>
      </c>
      <c r="K1656" s="9" t="s">
        <v>2424</v>
      </c>
    </row>
    <row r="1657" spans="1:11" x14ac:dyDescent="0.2">
      <c r="A1657" s="9" t="s">
        <v>44</v>
      </c>
      <c r="B1657" s="9" t="s">
        <v>946</v>
      </c>
      <c r="C1657" s="9"/>
      <c r="D1657" s="9" t="s">
        <v>78</v>
      </c>
      <c r="E1657" s="38">
        <v>1674</v>
      </c>
      <c r="F1657" s="39">
        <v>2388847.59</v>
      </c>
      <c r="G1657" s="40">
        <v>1427.0296236559141</v>
      </c>
      <c r="H1657" s="41">
        <v>-8.6673759358019173E-2</v>
      </c>
      <c r="I1657" s="40">
        <v>118.79779139784949</v>
      </c>
      <c r="J1657" s="41">
        <v>8.3248300826089972E-2</v>
      </c>
      <c r="K1657" s="9" t="s">
        <v>2425</v>
      </c>
    </row>
    <row r="1658" spans="1:11" x14ac:dyDescent="0.2">
      <c r="A1658" s="9" t="s">
        <v>44</v>
      </c>
      <c r="B1658" s="9" t="s">
        <v>2426</v>
      </c>
      <c r="C1658" s="9"/>
      <c r="D1658" s="9" t="s">
        <v>80</v>
      </c>
      <c r="E1658" s="38">
        <v>1790</v>
      </c>
      <c r="F1658" s="39">
        <v>295346.62</v>
      </c>
      <c r="G1658" s="40">
        <v>164.99811173184361</v>
      </c>
      <c r="H1658" s="41">
        <v>2.9233282425347319E-2</v>
      </c>
      <c r="I1658" s="40">
        <v>59.070000000000007</v>
      </c>
      <c r="J1658" s="41">
        <v>0.35800409701658348</v>
      </c>
      <c r="K1658" s="9" t="s">
        <v>2427</v>
      </c>
    </row>
    <row r="1659" spans="1:11" x14ac:dyDescent="0.2">
      <c r="A1659" s="9" t="s">
        <v>44</v>
      </c>
      <c r="B1659" s="9" t="s">
        <v>1693</v>
      </c>
      <c r="C1659" s="9"/>
      <c r="D1659" s="9" t="s">
        <v>76</v>
      </c>
      <c r="E1659" s="38">
        <v>6500</v>
      </c>
      <c r="F1659" s="39">
        <v>583217.68000000005</v>
      </c>
      <c r="G1659" s="40">
        <v>89.725796923076928</v>
      </c>
      <c r="H1659" s="41">
        <v>0.69310489419053889</v>
      </c>
      <c r="I1659" s="40">
        <v>8.9725796923076935</v>
      </c>
      <c r="J1659" s="41">
        <v>0.1</v>
      </c>
      <c r="K1659" s="9" t="s">
        <v>2428</v>
      </c>
    </row>
    <row r="1660" spans="1:11" x14ac:dyDescent="0.2">
      <c r="A1660" s="9" t="s">
        <v>44</v>
      </c>
      <c r="B1660" s="9" t="s">
        <v>950</v>
      </c>
      <c r="C1660" s="9"/>
      <c r="D1660" s="9" t="s">
        <v>80</v>
      </c>
      <c r="E1660" s="38">
        <v>629</v>
      </c>
      <c r="F1660" s="39">
        <v>1423579.72</v>
      </c>
      <c r="G1660" s="40">
        <v>2263.2427980922098</v>
      </c>
      <c r="H1660" s="41">
        <v>1.7389402207603561E-2</v>
      </c>
      <c r="I1660" s="40">
        <v>286.07885310015888</v>
      </c>
      <c r="J1660" s="41">
        <v>0.1264021930573723</v>
      </c>
      <c r="K1660" s="9" t="s">
        <v>2429</v>
      </c>
    </row>
    <row r="1661" spans="1:11" x14ac:dyDescent="0.2">
      <c r="A1661" s="9" t="s">
        <v>44</v>
      </c>
      <c r="B1661" s="9" t="s">
        <v>339</v>
      </c>
      <c r="C1661" s="9"/>
      <c r="D1661" s="9" t="s">
        <v>80</v>
      </c>
      <c r="E1661" s="38">
        <v>728</v>
      </c>
      <c r="F1661" s="39">
        <v>665290.82999999996</v>
      </c>
      <c r="G1661" s="40">
        <v>913.86103021978022</v>
      </c>
      <c r="H1661" s="41">
        <v>3.0856039891718971E-2</v>
      </c>
      <c r="I1661" s="40">
        <v>137.08000000000001</v>
      </c>
      <c r="J1661" s="41">
        <v>0.15000092515930219</v>
      </c>
      <c r="K1661" s="9" t="s">
        <v>2430</v>
      </c>
    </row>
    <row r="1662" spans="1:11" x14ac:dyDescent="0.2">
      <c r="A1662" s="9" t="s">
        <v>44</v>
      </c>
      <c r="B1662" s="9" t="s">
        <v>343</v>
      </c>
      <c r="C1662" s="9"/>
      <c r="D1662" s="9" t="s">
        <v>79</v>
      </c>
      <c r="E1662" s="38">
        <v>5707</v>
      </c>
      <c r="F1662" s="39">
        <v>6861949.7599999998</v>
      </c>
      <c r="G1662" s="40">
        <v>1202.3742351498161</v>
      </c>
      <c r="H1662" s="41">
        <v>-7.1929024670322412E-3</v>
      </c>
      <c r="I1662" s="40">
        <v>40</v>
      </c>
      <c r="J1662" s="41">
        <v>3.3267512585227671E-2</v>
      </c>
      <c r="K1662" s="9" t="s">
        <v>2431</v>
      </c>
    </row>
    <row r="1663" spans="1:11" x14ac:dyDescent="0.2">
      <c r="A1663" s="9" t="s">
        <v>44</v>
      </c>
      <c r="B1663" s="9" t="s">
        <v>351</v>
      </c>
      <c r="C1663" s="9"/>
      <c r="D1663" s="9" t="s">
        <v>85</v>
      </c>
      <c r="E1663" s="38">
        <v>2785</v>
      </c>
      <c r="F1663" s="39">
        <v>2370985.02</v>
      </c>
      <c r="G1663" s="40">
        <v>851.34112028725326</v>
      </c>
      <c r="H1663" s="41">
        <v>-0.1664010647576194</v>
      </c>
      <c r="I1663" s="40">
        <v>98.203778671454202</v>
      </c>
      <c r="J1663" s="41">
        <v>0.1153518564195736</v>
      </c>
      <c r="K1663" s="9" t="s">
        <v>2432</v>
      </c>
    </row>
    <row r="1664" spans="1:11" x14ac:dyDescent="0.2">
      <c r="A1664" s="9" t="s">
        <v>44</v>
      </c>
      <c r="B1664" s="9" t="s">
        <v>2433</v>
      </c>
      <c r="C1664" s="9"/>
      <c r="D1664" s="9" t="s">
        <v>85</v>
      </c>
      <c r="E1664" s="38">
        <v>4000</v>
      </c>
      <c r="F1664" s="39">
        <v>0</v>
      </c>
      <c r="G1664" s="40"/>
      <c r="H1664" s="41"/>
      <c r="I1664" s="40">
        <v>34.597600200000002</v>
      </c>
      <c r="J1664" s="41"/>
      <c r="K1664" s="9" t="s">
        <v>2434</v>
      </c>
    </row>
    <row r="1665" spans="1:11" x14ac:dyDescent="0.2">
      <c r="A1665" s="9" t="s">
        <v>44</v>
      </c>
      <c r="B1665" s="9" t="s">
        <v>353</v>
      </c>
      <c r="C1665" s="9"/>
      <c r="D1665" s="9" t="s">
        <v>76</v>
      </c>
      <c r="E1665" s="38">
        <v>2235</v>
      </c>
      <c r="F1665" s="39">
        <v>863233.32000000007</v>
      </c>
      <c r="G1665" s="40">
        <v>386.23414765100682</v>
      </c>
      <c r="H1665" s="41">
        <v>8.7394810803618633E-3</v>
      </c>
      <c r="I1665" s="40">
        <v>67.404455838926182</v>
      </c>
      <c r="J1665" s="41">
        <v>0.17451708050379711</v>
      </c>
      <c r="K1665" s="9" t="s">
        <v>2435</v>
      </c>
    </row>
    <row r="1666" spans="1:11" x14ac:dyDescent="0.2">
      <c r="A1666" s="9" t="s">
        <v>44</v>
      </c>
      <c r="B1666" s="9" t="s">
        <v>355</v>
      </c>
      <c r="C1666" s="9"/>
      <c r="D1666" s="9" t="s">
        <v>82</v>
      </c>
      <c r="E1666" s="38">
        <v>2356</v>
      </c>
      <c r="F1666" s="39">
        <v>1557423.75</v>
      </c>
      <c r="G1666" s="40">
        <v>661.04573429541608</v>
      </c>
      <c r="H1666" s="41">
        <v>5.1626682110276489E-2</v>
      </c>
      <c r="I1666" s="40">
        <v>92.746540747028874</v>
      </c>
      <c r="J1666" s="41">
        <v>0.14030275960540611</v>
      </c>
      <c r="K1666" s="9" t="s">
        <v>2436</v>
      </c>
    </row>
    <row r="1667" spans="1:11" x14ac:dyDescent="0.2">
      <c r="A1667" s="9" t="s">
        <v>44</v>
      </c>
      <c r="B1667" s="9" t="s">
        <v>357</v>
      </c>
      <c r="C1667" s="9"/>
      <c r="D1667" s="9" t="s">
        <v>76</v>
      </c>
      <c r="E1667" s="38">
        <v>445</v>
      </c>
      <c r="F1667" s="39">
        <v>529388.53</v>
      </c>
      <c r="G1667" s="40">
        <v>1189.6371460674161</v>
      </c>
      <c r="H1667" s="41">
        <v>2.5452320663989999E-2</v>
      </c>
      <c r="I1667" s="40">
        <v>102.9213492134831</v>
      </c>
      <c r="J1667" s="41">
        <v>8.6514908813759145E-2</v>
      </c>
      <c r="K1667" s="9" t="s">
        <v>2437</v>
      </c>
    </row>
    <row r="1668" spans="1:11" x14ac:dyDescent="0.2">
      <c r="A1668" s="9" t="s">
        <v>44</v>
      </c>
      <c r="B1668" s="9" t="s">
        <v>545</v>
      </c>
      <c r="C1668" s="9"/>
      <c r="D1668" s="9" t="s">
        <v>76</v>
      </c>
      <c r="E1668" s="38">
        <v>7314</v>
      </c>
      <c r="F1668" s="39">
        <v>2038963.21</v>
      </c>
      <c r="G1668" s="40">
        <v>278.77539103089958</v>
      </c>
      <c r="H1668" s="41">
        <v>-7.4423355456101452E-3</v>
      </c>
      <c r="I1668" s="40">
        <v>50.073617719442169</v>
      </c>
      <c r="J1668" s="41">
        <v>0.1796199353690153</v>
      </c>
      <c r="K1668" s="9" t="s">
        <v>2438</v>
      </c>
    </row>
    <row r="1669" spans="1:11" x14ac:dyDescent="0.2">
      <c r="A1669" s="9" t="s">
        <v>44</v>
      </c>
      <c r="B1669" s="9" t="s">
        <v>365</v>
      </c>
      <c r="C1669" s="9"/>
      <c r="D1669" s="9" t="s">
        <v>81</v>
      </c>
      <c r="E1669" s="38">
        <v>7982</v>
      </c>
      <c r="F1669" s="39">
        <v>8408762.5700000003</v>
      </c>
      <c r="G1669" s="40">
        <v>1053.465618892508</v>
      </c>
      <c r="H1669" s="41">
        <v>1.292275980982137E-2</v>
      </c>
      <c r="I1669" s="40">
        <v>57.016326190177899</v>
      </c>
      <c r="J1669" s="41">
        <v>5.4122626469877838E-2</v>
      </c>
      <c r="K1669" s="9" t="s">
        <v>2439</v>
      </c>
    </row>
    <row r="1670" spans="1:11" x14ac:dyDescent="0.2">
      <c r="A1670" s="9" t="s">
        <v>44</v>
      </c>
      <c r="B1670" s="9" t="s">
        <v>550</v>
      </c>
      <c r="C1670" s="9"/>
      <c r="D1670" s="9" t="s">
        <v>76</v>
      </c>
      <c r="E1670" s="38">
        <v>4207</v>
      </c>
      <c r="F1670" s="39">
        <v>1262014.06</v>
      </c>
      <c r="G1670" s="40">
        <v>299.97957214166871</v>
      </c>
      <c r="H1670" s="41">
        <v>2.3767769484008321E-2</v>
      </c>
      <c r="I1670" s="40">
        <v>45.004328595198473</v>
      </c>
      <c r="J1670" s="41">
        <v>0.1500246442579253</v>
      </c>
      <c r="K1670" s="9" t="s">
        <v>2440</v>
      </c>
    </row>
    <row r="1671" spans="1:11" x14ac:dyDescent="0.2">
      <c r="A1671" s="9" t="s">
        <v>44</v>
      </c>
      <c r="B1671" s="9" t="s">
        <v>2441</v>
      </c>
      <c r="C1671" s="9"/>
      <c r="D1671" s="9" t="s">
        <v>82</v>
      </c>
      <c r="E1671" s="38">
        <v>2621</v>
      </c>
      <c r="F1671" s="39">
        <v>461570.10999999993</v>
      </c>
      <c r="G1671" s="40">
        <v>176.10458222052651</v>
      </c>
      <c r="H1671" s="41">
        <v>1.069343037877527E-2</v>
      </c>
      <c r="I1671" s="40">
        <v>30.50850011446013</v>
      </c>
      <c r="J1671" s="41">
        <v>0.1732408079890615</v>
      </c>
      <c r="K1671" s="9" t="s">
        <v>2442</v>
      </c>
    </row>
    <row r="1672" spans="1:11" x14ac:dyDescent="0.2">
      <c r="A1672" s="9" t="s">
        <v>44</v>
      </c>
      <c r="B1672" s="9" t="s">
        <v>2443</v>
      </c>
      <c r="C1672" s="9"/>
      <c r="D1672" s="9" t="s">
        <v>80</v>
      </c>
      <c r="E1672" s="38">
        <v>204</v>
      </c>
      <c r="F1672" s="39">
        <v>573013.27</v>
      </c>
      <c r="G1672" s="40">
        <v>2808.888578431372</v>
      </c>
      <c r="H1672" s="41">
        <v>3.0919028457060169E-2</v>
      </c>
      <c r="I1672" s="40">
        <v>828.3058921568628</v>
      </c>
      <c r="J1672" s="41">
        <v>0.29488741508551802</v>
      </c>
      <c r="K1672" s="9" t="s">
        <v>2444</v>
      </c>
    </row>
    <row r="1673" spans="1:11" x14ac:dyDescent="0.2">
      <c r="A1673" s="9" t="s">
        <v>44</v>
      </c>
      <c r="B1673" s="9" t="s">
        <v>371</v>
      </c>
      <c r="C1673" s="9"/>
      <c r="D1673" s="9" t="s">
        <v>76</v>
      </c>
      <c r="E1673" s="38">
        <v>3779</v>
      </c>
      <c r="F1673" s="39">
        <v>545136.34000000008</v>
      </c>
      <c r="G1673" s="40">
        <v>144.254125430008</v>
      </c>
      <c r="H1673" s="41">
        <v>-0.184430943395052</v>
      </c>
      <c r="I1673" s="40">
        <v>46.934673088118551</v>
      </c>
      <c r="J1673" s="41">
        <v>0.32536104564226992</v>
      </c>
      <c r="K1673" s="9" t="s">
        <v>2445</v>
      </c>
    </row>
    <row r="1674" spans="1:11" x14ac:dyDescent="0.2">
      <c r="A1674" s="9" t="s">
        <v>44</v>
      </c>
      <c r="B1674" s="9" t="s">
        <v>1050</v>
      </c>
      <c r="C1674" s="9"/>
      <c r="D1674" s="9" t="s">
        <v>77</v>
      </c>
      <c r="E1674" s="38">
        <v>2831</v>
      </c>
      <c r="F1674" s="39">
        <v>2164144</v>
      </c>
      <c r="G1674" s="40">
        <v>764.44507241257509</v>
      </c>
      <c r="H1674" s="41">
        <v>-4.6281361770237853E-2</v>
      </c>
      <c r="I1674" s="40">
        <v>62.5741648887319</v>
      </c>
      <c r="J1674" s="41">
        <v>8.1855671711309419E-2</v>
      </c>
      <c r="K1674" s="9" t="s">
        <v>2446</v>
      </c>
    </row>
    <row r="1675" spans="1:11" x14ac:dyDescent="0.2">
      <c r="A1675" s="9" t="s">
        <v>44</v>
      </c>
      <c r="B1675" s="9" t="s">
        <v>384</v>
      </c>
      <c r="C1675" s="9"/>
      <c r="D1675" s="9" t="s">
        <v>77</v>
      </c>
      <c r="E1675" s="38">
        <v>3686</v>
      </c>
      <c r="F1675" s="39">
        <v>810104.67000000016</v>
      </c>
      <c r="G1675" s="40">
        <v>219.77880358111781</v>
      </c>
      <c r="H1675" s="41">
        <v>-7.7169298928953994E-2</v>
      </c>
      <c r="I1675" s="40">
        <v>62.537468692349428</v>
      </c>
      <c r="J1675" s="41">
        <v>0.28454731608941342</v>
      </c>
      <c r="K1675" s="9" t="s">
        <v>2447</v>
      </c>
    </row>
    <row r="1676" spans="1:11" x14ac:dyDescent="0.2">
      <c r="A1676" s="9" t="s">
        <v>44</v>
      </c>
      <c r="B1676" s="9" t="s">
        <v>568</v>
      </c>
      <c r="C1676" s="9"/>
      <c r="D1676" s="9" t="s">
        <v>76</v>
      </c>
      <c r="E1676" s="38">
        <v>2226</v>
      </c>
      <c r="F1676" s="39">
        <v>511407.65</v>
      </c>
      <c r="G1676" s="40">
        <v>229.74287960467211</v>
      </c>
      <c r="H1676" s="41">
        <v>3.2859632698877463E-2</v>
      </c>
      <c r="I1676" s="40">
        <v>61.608897574123993</v>
      </c>
      <c r="J1676" s="41">
        <v>0.26816455717860299</v>
      </c>
      <c r="K1676" s="9" t="s">
        <v>2448</v>
      </c>
    </row>
    <row r="1677" spans="1:11" x14ac:dyDescent="0.2">
      <c r="A1677" s="9" t="s">
        <v>44</v>
      </c>
      <c r="B1677" s="9" t="s">
        <v>388</v>
      </c>
      <c r="C1677" s="9"/>
      <c r="D1677" s="9" t="s">
        <v>76</v>
      </c>
      <c r="E1677" s="38">
        <v>11253</v>
      </c>
      <c r="F1677" s="39">
        <v>3954343.05</v>
      </c>
      <c r="G1677" s="40">
        <v>351.40345241269</v>
      </c>
      <c r="H1677" s="41">
        <v>-7.3177555354127562E-3</v>
      </c>
      <c r="I1677" s="40">
        <v>62.732748600373228</v>
      </c>
      <c r="J1677" s="41">
        <v>0.1785205813137532</v>
      </c>
      <c r="K1677" s="9" t="s">
        <v>2449</v>
      </c>
    </row>
    <row r="1678" spans="1:11" x14ac:dyDescent="0.2">
      <c r="A1678" s="9" t="s">
        <v>44</v>
      </c>
      <c r="B1678" s="9" t="s">
        <v>392</v>
      </c>
      <c r="C1678" s="9"/>
      <c r="D1678" s="9" t="s">
        <v>76</v>
      </c>
      <c r="E1678" s="38">
        <v>3931</v>
      </c>
      <c r="F1678" s="39">
        <v>1336448.82</v>
      </c>
      <c r="G1678" s="40">
        <v>339.97680488425328</v>
      </c>
      <c r="H1678" s="41">
        <v>0.29785896927289329</v>
      </c>
      <c r="I1678" s="40">
        <v>36.537224523022132</v>
      </c>
      <c r="J1678" s="41">
        <v>0.10746975675432149</v>
      </c>
      <c r="K1678" s="9" t="s">
        <v>2450</v>
      </c>
    </row>
    <row r="1679" spans="1:11" x14ac:dyDescent="0.2">
      <c r="A1679" s="9" t="s">
        <v>44</v>
      </c>
      <c r="B1679" s="9" t="s">
        <v>396</v>
      </c>
      <c r="C1679" s="9"/>
      <c r="D1679" s="9" t="s">
        <v>78</v>
      </c>
      <c r="E1679" s="38">
        <v>1878</v>
      </c>
      <c r="F1679" s="39">
        <v>1621381.95</v>
      </c>
      <c r="G1679" s="40">
        <v>863.35567092651763</v>
      </c>
      <c r="H1679" s="41">
        <v>0.18094916666662439</v>
      </c>
      <c r="I1679" s="40">
        <v>84.798677635782767</v>
      </c>
      <c r="J1679" s="41">
        <v>9.8219865220529931E-2</v>
      </c>
      <c r="K1679" s="9" t="s">
        <v>2451</v>
      </c>
    </row>
    <row r="1680" spans="1:11" x14ac:dyDescent="0.2">
      <c r="A1680" s="9" t="s">
        <v>44</v>
      </c>
      <c r="B1680" s="9" t="s">
        <v>398</v>
      </c>
      <c r="C1680" s="9"/>
      <c r="D1680" s="9" t="s">
        <v>76</v>
      </c>
      <c r="E1680" s="38">
        <v>3053</v>
      </c>
      <c r="F1680" s="39">
        <v>1034623.13</v>
      </c>
      <c r="G1680" s="40">
        <v>338.88736652472983</v>
      </c>
      <c r="H1680" s="41">
        <v>4.9040726123551738E-2</v>
      </c>
      <c r="I1680" s="40">
        <v>61.020291516541107</v>
      </c>
      <c r="J1680" s="41">
        <v>0.1800606854787791</v>
      </c>
      <c r="K1680" s="9" t="s">
        <v>2452</v>
      </c>
    </row>
    <row r="1681" spans="1:11" x14ac:dyDescent="0.2">
      <c r="A1681" s="9" t="s">
        <v>58</v>
      </c>
      <c r="B1681" s="9" t="s">
        <v>2453</v>
      </c>
      <c r="C1681" s="9" t="s">
        <v>77</v>
      </c>
      <c r="D1681" s="9" t="s">
        <v>76</v>
      </c>
      <c r="E1681" s="38">
        <v>908</v>
      </c>
      <c r="F1681" s="39">
        <v>176296</v>
      </c>
      <c r="G1681" s="40">
        <v>194.15859030837001</v>
      </c>
      <c r="H1681" s="41">
        <v>0.12008405840249529</v>
      </c>
      <c r="I1681" s="40">
        <v>61.184801762114539</v>
      </c>
      <c r="J1681" s="41">
        <v>0.31512796660162462</v>
      </c>
      <c r="K1681" s="9" t="s">
        <v>2454</v>
      </c>
    </row>
    <row r="1682" spans="1:11" x14ac:dyDescent="0.2">
      <c r="A1682" s="9" t="s">
        <v>58</v>
      </c>
      <c r="B1682" s="9" t="s">
        <v>166</v>
      </c>
      <c r="C1682" s="9"/>
      <c r="D1682" s="9" t="s">
        <v>76</v>
      </c>
      <c r="E1682" s="38">
        <v>3403</v>
      </c>
      <c r="F1682" s="39">
        <v>1091636</v>
      </c>
      <c r="G1682" s="40">
        <v>320.78636497208339</v>
      </c>
      <c r="H1682" s="41">
        <v>-9.261744618337435E-2</v>
      </c>
      <c r="I1682" s="40">
        <v>44.595777255362918</v>
      </c>
      <c r="J1682" s="41">
        <v>0.13902017705535549</v>
      </c>
      <c r="K1682" s="9" t="s">
        <v>2455</v>
      </c>
    </row>
    <row r="1683" spans="1:11" x14ac:dyDescent="0.2">
      <c r="A1683" s="9" t="s">
        <v>58</v>
      </c>
      <c r="B1683" s="9" t="s">
        <v>168</v>
      </c>
      <c r="C1683" s="9"/>
      <c r="D1683" s="9" t="s">
        <v>77</v>
      </c>
      <c r="E1683" s="38">
        <v>1549</v>
      </c>
      <c r="F1683" s="39">
        <v>699167</v>
      </c>
      <c r="G1683" s="40">
        <v>451.36668818592642</v>
      </c>
      <c r="H1683" s="41">
        <v>-0.16250833787934371</v>
      </c>
      <c r="I1683" s="40">
        <v>94.364389905874759</v>
      </c>
      <c r="J1683" s="41">
        <v>0.20906370003761621</v>
      </c>
      <c r="K1683" s="9" t="s">
        <v>2456</v>
      </c>
    </row>
    <row r="1684" spans="1:11" x14ac:dyDescent="0.2">
      <c r="A1684" s="9" t="s">
        <v>58</v>
      </c>
      <c r="B1684" s="9" t="s">
        <v>2457</v>
      </c>
      <c r="C1684" s="9"/>
      <c r="D1684" s="9" t="s">
        <v>78</v>
      </c>
      <c r="E1684" s="38">
        <v>1174</v>
      </c>
      <c r="F1684" s="39">
        <v>1202500</v>
      </c>
      <c r="G1684" s="40">
        <v>1024.2759795570701</v>
      </c>
      <c r="H1684" s="41">
        <v>-8.1273053456736605E-2</v>
      </c>
      <c r="I1684" s="40">
        <v>130.0358006720613</v>
      </c>
      <c r="J1684" s="41">
        <v>0.12695387109272349</v>
      </c>
      <c r="K1684" s="9" t="s">
        <v>2458</v>
      </c>
    </row>
    <row r="1685" spans="1:11" x14ac:dyDescent="0.2">
      <c r="A1685" s="9" t="s">
        <v>58</v>
      </c>
      <c r="B1685" s="9" t="s">
        <v>403</v>
      </c>
      <c r="C1685" s="9"/>
      <c r="D1685" s="9" t="s">
        <v>86</v>
      </c>
      <c r="E1685" s="38">
        <v>70000</v>
      </c>
      <c r="F1685" s="39">
        <v>11978316.73</v>
      </c>
      <c r="G1685" s="40">
        <v>171.11881042857141</v>
      </c>
      <c r="H1685" s="41">
        <v>2.72025446988086E-2</v>
      </c>
      <c r="I1685" s="40">
        <v>37.727828942857137</v>
      </c>
      <c r="J1685" s="41">
        <v>0.22047739140055281</v>
      </c>
      <c r="K1685" s="9" t="s">
        <v>2459</v>
      </c>
    </row>
    <row r="1686" spans="1:11" x14ac:dyDescent="0.2">
      <c r="A1686" s="9" t="s">
        <v>58</v>
      </c>
      <c r="B1686" s="9" t="s">
        <v>169</v>
      </c>
      <c r="C1686" s="9"/>
      <c r="D1686" s="9" t="s">
        <v>76</v>
      </c>
      <c r="E1686" s="38">
        <v>4545</v>
      </c>
      <c r="F1686" s="39">
        <v>1798077</v>
      </c>
      <c r="G1686" s="40">
        <v>395.61650165016499</v>
      </c>
      <c r="H1686" s="41">
        <v>-0.2168036356596213</v>
      </c>
      <c r="I1686" s="40">
        <v>15.12343225445545</v>
      </c>
      <c r="J1686" s="41">
        <v>3.8227506161582631E-2</v>
      </c>
      <c r="K1686" s="9" t="s">
        <v>2460</v>
      </c>
    </row>
    <row r="1687" spans="1:11" x14ac:dyDescent="0.2">
      <c r="A1687" s="9" t="s">
        <v>58</v>
      </c>
      <c r="B1687" s="9" t="s">
        <v>2461</v>
      </c>
      <c r="C1687" s="9"/>
      <c r="D1687" s="9" t="s">
        <v>81</v>
      </c>
      <c r="E1687" s="38">
        <v>750</v>
      </c>
      <c r="F1687" s="39">
        <v>496249</v>
      </c>
      <c r="G1687" s="40">
        <v>661.66533333333336</v>
      </c>
      <c r="H1687" s="41"/>
      <c r="I1687" s="40">
        <v>148.7248266666667</v>
      </c>
      <c r="J1687" s="41">
        <v>0.22477349072743719</v>
      </c>
      <c r="K1687" s="9" t="s">
        <v>2462</v>
      </c>
    </row>
    <row r="1688" spans="1:11" x14ac:dyDescent="0.2">
      <c r="A1688" s="9" t="s">
        <v>58</v>
      </c>
      <c r="B1688" s="9" t="s">
        <v>171</v>
      </c>
      <c r="C1688" s="9"/>
      <c r="D1688" s="9" t="s">
        <v>84</v>
      </c>
      <c r="E1688" s="38">
        <v>1612</v>
      </c>
      <c r="F1688" s="39">
        <v>0</v>
      </c>
      <c r="G1688" s="40"/>
      <c r="H1688" s="41"/>
      <c r="I1688" s="40">
        <v>38.050272938957818</v>
      </c>
      <c r="J1688" s="41"/>
      <c r="K1688" s="9" t="s">
        <v>2463</v>
      </c>
    </row>
    <row r="1689" spans="1:11" x14ac:dyDescent="0.2">
      <c r="A1689" s="9" t="s">
        <v>58</v>
      </c>
      <c r="B1689" s="9" t="s">
        <v>173</v>
      </c>
      <c r="C1689" s="9"/>
      <c r="D1689" s="9" t="s">
        <v>80</v>
      </c>
      <c r="E1689" s="38">
        <v>607</v>
      </c>
      <c r="F1689" s="39">
        <v>776103</v>
      </c>
      <c r="G1689" s="40">
        <v>1278.5881383855019</v>
      </c>
      <c r="H1689" s="41">
        <v>0.44679284679747749</v>
      </c>
      <c r="I1689" s="40">
        <v>179.52232284711701</v>
      </c>
      <c r="J1689" s="41">
        <v>0.14040668566955669</v>
      </c>
      <c r="K1689" s="9" t="s">
        <v>2464</v>
      </c>
    </row>
    <row r="1690" spans="1:11" x14ac:dyDescent="0.2">
      <c r="A1690" s="9" t="s">
        <v>58</v>
      </c>
      <c r="B1690" s="9" t="s">
        <v>2465</v>
      </c>
      <c r="C1690" s="9"/>
      <c r="D1690" s="9" t="s">
        <v>81</v>
      </c>
      <c r="E1690" s="38">
        <v>5149</v>
      </c>
      <c r="F1690" s="39">
        <v>8286242</v>
      </c>
      <c r="G1690" s="40">
        <v>1609.291512915129</v>
      </c>
      <c r="H1690" s="41"/>
      <c r="I1690" s="40">
        <v>91.278483172247036</v>
      </c>
      <c r="J1690" s="41">
        <v>5.6719669767537562E-2</v>
      </c>
      <c r="K1690" s="9" t="s">
        <v>2466</v>
      </c>
    </row>
    <row r="1691" spans="1:11" x14ac:dyDescent="0.2">
      <c r="A1691" s="9" t="s">
        <v>58</v>
      </c>
      <c r="B1691" s="9" t="s">
        <v>177</v>
      </c>
      <c r="C1691" s="9"/>
      <c r="D1691" s="9" t="s">
        <v>85</v>
      </c>
      <c r="E1691" s="38">
        <v>25000</v>
      </c>
      <c r="F1691" s="39">
        <v>6210723</v>
      </c>
      <c r="G1691" s="40">
        <v>248.42892000000001</v>
      </c>
      <c r="H1691" s="41">
        <v>0.16815056932040151</v>
      </c>
      <c r="I1691" s="40">
        <v>25</v>
      </c>
      <c r="J1691" s="41">
        <v>0.1006324062432023</v>
      </c>
      <c r="K1691" s="9" t="s">
        <v>2467</v>
      </c>
    </row>
    <row r="1692" spans="1:11" x14ac:dyDescent="0.2">
      <c r="A1692" s="9" t="s">
        <v>58</v>
      </c>
      <c r="B1692" s="9" t="s">
        <v>179</v>
      </c>
      <c r="C1692" s="9"/>
      <c r="D1692" s="9" t="s">
        <v>79</v>
      </c>
      <c r="E1692" s="38">
        <v>6403</v>
      </c>
      <c r="F1692" s="39">
        <v>4747614</v>
      </c>
      <c r="G1692" s="40">
        <v>741.46712478525694</v>
      </c>
      <c r="H1692" s="41">
        <v>0.1468266340651552</v>
      </c>
      <c r="I1692" s="40">
        <v>99.043365609870378</v>
      </c>
      <c r="J1692" s="41">
        <v>0.13357755495707949</v>
      </c>
      <c r="K1692" s="9" t="s">
        <v>2468</v>
      </c>
    </row>
    <row r="1693" spans="1:11" x14ac:dyDescent="0.2">
      <c r="A1693" s="9" t="s">
        <v>58</v>
      </c>
      <c r="B1693" s="9" t="s">
        <v>2469</v>
      </c>
      <c r="C1693" s="9"/>
      <c r="D1693" s="9" t="s">
        <v>78</v>
      </c>
      <c r="E1693" s="38">
        <v>706</v>
      </c>
      <c r="F1693" s="39">
        <v>259957</v>
      </c>
      <c r="G1693" s="40">
        <v>368.21104815864021</v>
      </c>
      <c r="H1693" s="41">
        <v>-0.21487672945208469</v>
      </c>
      <c r="I1693" s="40">
        <v>168.94287527053831</v>
      </c>
      <c r="J1693" s="41">
        <v>0.45882076628442398</v>
      </c>
      <c r="K1693" s="9" t="s">
        <v>2470</v>
      </c>
    </row>
    <row r="1694" spans="1:11" x14ac:dyDescent="0.2">
      <c r="A1694" s="9" t="s">
        <v>58</v>
      </c>
      <c r="B1694" s="9" t="s">
        <v>187</v>
      </c>
      <c r="C1694" s="9"/>
      <c r="D1694" s="9" t="s">
        <v>76</v>
      </c>
      <c r="E1694" s="38">
        <v>2054</v>
      </c>
      <c r="F1694" s="39">
        <v>1522078</v>
      </c>
      <c r="G1694" s="40">
        <v>741.031158714703</v>
      </c>
      <c r="H1694" s="41">
        <v>0.12503075197488961</v>
      </c>
      <c r="I1694" s="40">
        <v>99.303159688412848</v>
      </c>
      <c r="J1694" s="41">
        <v>0.1340067263307137</v>
      </c>
      <c r="K1694" s="9" t="s">
        <v>2471</v>
      </c>
    </row>
    <row r="1695" spans="1:11" x14ac:dyDescent="0.2">
      <c r="A1695" s="9" t="s">
        <v>58</v>
      </c>
      <c r="B1695" s="9" t="s">
        <v>420</v>
      </c>
      <c r="C1695" s="9"/>
      <c r="D1695" s="9" t="s">
        <v>78</v>
      </c>
      <c r="E1695" s="38">
        <v>909</v>
      </c>
      <c r="F1695" s="39">
        <v>598492</v>
      </c>
      <c r="G1695" s="40">
        <v>658.40704070407037</v>
      </c>
      <c r="H1695" s="41">
        <v>-0.19133205550830421</v>
      </c>
      <c r="I1695" s="40">
        <v>118.46677664466451</v>
      </c>
      <c r="J1695" s="41">
        <v>0.17992938914805881</v>
      </c>
      <c r="K1695" s="9" t="s">
        <v>2472</v>
      </c>
    </row>
    <row r="1696" spans="1:11" x14ac:dyDescent="0.2">
      <c r="A1696" s="9" t="s">
        <v>58</v>
      </c>
      <c r="B1696" s="9" t="s">
        <v>2473</v>
      </c>
      <c r="C1696" s="9"/>
      <c r="D1696" s="9" t="s">
        <v>83</v>
      </c>
      <c r="E1696" s="38">
        <v>648</v>
      </c>
      <c r="F1696" s="39">
        <v>191284</v>
      </c>
      <c r="G1696" s="40">
        <v>295.19135802469128</v>
      </c>
      <c r="H1696" s="41">
        <v>-0.19509492825310051</v>
      </c>
      <c r="I1696" s="40">
        <v>114.9986728395062</v>
      </c>
      <c r="J1696" s="41">
        <v>0.38957330461512729</v>
      </c>
      <c r="K1696" s="9" t="s">
        <v>2474</v>
      </c>
    </row>
    <row r="1697" spans="1:11" x14ac:dyDescent="0.2">
      <c r="A1697" s="9" t="s">
        <v>58</v>
      </c>
      <c r="B1697" s="9" t="s">
        <v>2475</v>
      </c>
      <c r="C1697" s="9"/>
      <c r="D1697" s="9" t="s">
        <v>81</v>
      </c>
      <c r="E1697" s="38">
        <v>7800</v>
      </c>
      <c r="F1697" s="39">
        <v>5301469</v>
      </c>
      <c r="G1697" s="40">
        <v>679.67551282051284</v>
      </c>
      <c r="H1697" s="41">
        <v>-0.11627439844547401</v>
      </c>
      <c r="I1697" s="40">
        <v>42.796753846153848</v>
      </c>
      <c r="J1697" s="41">
        <v>6.2966449487868364E-2</v>
      </c>
      <c r="K1697" s="9" t="s">
        <v>2476</v>
      </c>
    </row>
    <row r="1698" spans="1:11" x14ac:dyDescent="0.2">
      <c r="A1698" s="9" t="s">
        <v>58</v>
      </c>
      <c r="B1698" s="9" t="s">
        <v>193</v>
      </c>
      <c r="C1698" s="9"/>
      <c r="D1698" s="9" t="s">
        <v>82</v>
      </c>
      <c r="E1698" s="38">
        <v>3438</v>
      </c>
      <c r="F1698" s="39">
        <v>1389903</v>
      </c>
      <c r="G1698" s="40">
        <v>404.2766143106457</v>
      </c>
      <c r="H1698" s="41">
        <v>0.52559778300024751</v>
      </c>
      <c r="I1698" s="40">
        <v>74.141297265852245</v>
      </c>
      <c r="J1698" s="41">
        <v>0.18339249573531391</v>
      </c>
      <c r="K1698" s="9" t="s">
        <v>2477</v>
      </c>
    </row>
    <row r="1699" spans="1:11" x14ac:dyDescent="0.2">
      <c r="A1699" s="9" t="s">
        <v>58</v>
      </c>
      <c r="B1699" s="9" t="s">
        <v>2478</v>
      </c>
      <c r="C1699" s="9"/>
      <c r="D1699" s="9" t="s">
        <v>85</v>
      </c>
      <c r="E1699" s="38">
        <v>13545</v>
      </c>
      <c r="F1699" s="39">
        <v>0</v>
      </c>
      <c r="G1699" s="40"/>
      <c r="H1699" s="41"/>
      <c r="I1699" s="40">
        <v>21.159984999999999</v>
      </c>
      <c r="J1699" s="41"/>
      <c r="K1699" s="9" t="s">
        <v>2479</v>
      </c>
    </row>
    <row r="1700" spans="1:11" x14ac:dyDescent="0.2">
      <c r="A1700" s="9" t="s">
        <v>58</v>
      </c>
      <c r="B1700" s="9" t="s">
        <v>197</v>
      </c>
      <c r="C1700" s="9"/>
      <c r="D1700" s="9" t="s">
        <v>76</v>
      </c>
      <c r="E1700" s="38">
        <v>3200</v>
      </c>
      <c r="F1700" s="39">
        <v>0</v>
      </c>
      <c r="G1700" s="40"/>
      <c r="H1700" s="41"/>
      <c r="I1700" s="40">
        <v>43.057499999999997</v>
      </c>
      <c r="J1700" s="41"/>
      <c r="K1700" s="9" t="s">
        <v>2480</v>
      </c>
    </row>
    <row r="1701" spans="1:11" x14ac:dyDescent="0.2">
      <c r="A1701" s="9" t="s">
        <v>58</v>
      </c>
      <c r="B1701" s="9" t="s">
        <v>200</v>
      </c>
      <c r="C1701" s="9"/>
      <c r="D1701" s="9" t="s">
        <v>77</v>
      </c>
      <c r="E1701" s="38">
        <v>4097</v>
      </c>
      <c r="F1701" s="39">
        <v>1983954</v>
      </c>
      <c r="G1701" s="40">
        <v>484.245545521113</v>
      </c>
      <c r="H1701" s="41">
        <v>1.012666744023575E-2</v>
      </c>
      <c r="I1701" s="40">
        <v>64.832950921332682</v>
      </c>
      <c r="J1701" s="41">
        <v>0.13388445494436871</v>
      </c>
      <c r="K1701" s="9" t="s">
        <v>2481</v>
      </c>
    </row>
    <row r="1702" spans="1:11" x14ac:dyDescent="0.2">
      <c r="A1702" s="9" t="s">
        <v>58</v>
      </c>
      <c r="B1702" s="9" t="s">
        <v>202</v>
      </c>
      <c r="C1702" s="9"/>
      <c r="D1702" s="9" t="s">
        <v>81</v>
      </c>
      <c r="E1702" s="38">
        <v>687</v>
      </c>
      <c r="F1702" s="39">
        <v>1212303</v>
      </c>
      <c r="G1702" s="40">
        <v>1764.633187772926</v>
      </c>
      <c r="H1702" s="41">
        <v>-9.2225069608448201E-2</v>
      </c>
      <c r="I1702" s="40">
        <v>302.49761202765649</v>
      </c>
      <c r="J1702" s="41">
        <v>0.1714223749862864</v>
      </c>
      <c r="K1702" s="9" t="s">
        <v>2482</v>
      </c>
    </row>
    <row r="1703" spans="1:11" x14ac:dyDescent="0.2">
      <c r="A1703" s="9" t="s">
        <v>58</v>
      </c>
      <c r="B1703" s="9" t="s">
        <v>877</v>
      </c>
      <c r="C1703" s="9"/>
      <c r="D1703" s="9" t="s">
        <v>76</v>
      </c>
      <c r="E1703" s="38">
        <v>5500</v>
      </c>
      <c r="F1703" s="39">
        <v>1082961</v>
      </c>
      <c r="G1703" s="40">
        <v>196.90199999999999</v>
      </c>
      <c r="H1703" s="41">
        <v>1.0998372654767649E-2</v>
      </c>
      <c r="I1703" s="40">
        <v>18.806705363636361</v>
      </c>
      <c r="J1703" s="41">
        <v>9.5513023553018078E-2</v>
      </c>
      <c r="K1703" s="9" t="s">
        <v>2483</v>
      </c>
    </row>
    <row r="1704" spans="1:11" x14ac:dyDescent="0.2">
      <c r="A1704" s="9" t="s">
        <v>58</v>
      </c>
      <c r="B1704" s="9" t="s">
        <v>206</v>
      </c>
      <c r="C1704" s="9"/>
      <c r="D1704" s="9" t="s">
        <v>80</v>
      </c>
      <c r="E1704" s="38">
        <v>773</v>
      </c>
      <c r="F1704" s="39">
        <v>1109731</v>
      </c>
      <c r="G1704" s="40">
        <v>1435.6157826649419</v>
      </c>
      <c r="H1704" s="41">
        <v>0.18449441603921821</v>
      </c>
      <c r="I1704" s="40">
        <v>247.0646829650712</v>
      </c>
      <c r="J1704" s="41">
        <v>0.1720966612016786</v>
      </c>
      <c r="K1704" s="9" t="s">
        <v>2484</v>
      </c>
    </row>
    <row r="1705" spans="1:11" x14ac:dyDescent="0.2">
      <c r="A1705" s="9" t="s">
        <v>58</v>
      </c>
      <c r="B1705" s="9" t="s">
        <v>208</v>
      </c>
      <c r="C1705" s="9"/>
      <c r="D1705" s="9" t="s">
        <v>78</v>
      </c>
      <c r="E1705" s="38">
        <v>1517</v>
      </c>
      <c r="F1705" s="39">
        <v>857807</v>
      </c>
      <c r="G1705" s="40">
        <v>565.46275543836521</v>
      </c>
      <c r="H1705" s="41">
        <v>6.4199685504141679E-2</v>
      </c>
      <c r="I1705" s="40">
        <v>112.2871126842452</v>
      </c>
      <c r="J1705" s="41">
        <v>0.19857561192902359</v>
      </c>
      <c r="K1705" s="9" t="s">
        <v>2485</v>
      </c>
    </row>
    <row r="1706" spans="1:11" x14ac:dyDescent="0.2">
      <c r="A1706" s="9" t="s">
        <v>58</v>
      </c>
      <c r="B1706" s="9" t="s">
        <v>1227</v>
      </c>
      <c r="C1706" s="9"/>
      <c r="D1706" s="9" t="s">
        <v>82</v>
      </c>
      <c r="E1706" s="38">
        <v>1524</v>
      </c>
      <c r="F1706" s="39">
        <v>343800</v>
      </c>
      <c r="G1706" s="40">
        <v>225.5905511811024</v>
      </c>
      <c r="H1706" s="41">
        <v>0.50359827073078467</v>
      </c>
      <c r="I1706" s="40">
        <v>35.882178477690289</v>
      </c>
      <c r="J1706" s="41">
        <v>0.15905887143688191</v>
      </c>
      <c r="K1706" s="9" t="s">
        <v>2486</v>
      </c>
    </row>
    <row r="1707" spans="1:11" x14ac:dyDescent="0.2">
      <c r="A1707" s="9" t="s">
        <v>58</v>
      </c>
      <c r="B1707" s="9" t="s">
        <v>884</v>
      </c>
      <c r="C1707" s="9"/>
      <c r="D1707" s="9" t="s">
        <v>76</v>
      </c>
      <c r="E1707" s="38">
        <v>3127</v>
      </c>
      <c r="F1707" s="39">
        <v>743873</v>
      </c>
      <c r="G1707" s="40">
        <v>237.8871122481612</v>
      </c>
      <c r="H1707" s="41">
        <v>9.4009044500671431E-3</v>
      </c>
      <c r="I1707" s="40">
        <v>27.434377938791179</v>
      </c>
      <c r="J1707" s="41">
        <v>0.1153251963905129</v>
      </c>
      <c r="K1707" s="9" t="s">
        <v>2487</v>
      </c>
    </row>
    <row r="1708" spans="1:11" x14ac:dyDescent="0.2">
      <c r="A1708" s="9" t="s">
        <v>58</v>
      </c>
      <c r="B1708" s="9" t="s">
        <v>1613</v>
      </c>
      <c r="C1708" s="9"/>
      <c r="D1708" s="9" t="s">
        <v>76</v>
      </c>
      <c r="E1708" s="38">
        <v>3185</v>
      </c>
      <c r="F1708" s="39">
        <v>1059266</v>
      </c>
      <c r="G1708" s="40">
        <v>332.57959183673472</v>
      </c>
      <c r="H1708" s="41">
        <v>0.35586995590394782</v>
      </c>
      <c r="I1708" s="40">
        <v>51.890489739403449</v>
      </c>
      <c r="J1708" s="41">
        <v>0.15602427513013731</v>
      </c>
      <c r="K1708" s="9" t="s">
        <v>2488</v>
      </c>
    </row>
    <row r="1709" spans="1:11" x14ac:dyDescent="0.2">
      <c r="A1709" s="9" t="s">
        <v>58</v>
      </c>
      <c r="B1709" s="9" t="s">
        <v>2489</v>
      </c>
      <c r="C1709" s="9"/>
      <c r="D1709" s="9" t="s">
        <v>78</v>
      </c>
      <c r="E1709" s="38">
        <v>1844</v>
      </c>
      <c r="F1709" s="39">
        <v>1781872</v>
      </c>
      <c r="G1709" s="40">
        <v>966.30802603036875</v>
      </c>
      <c r="H1709" s="41">
        <v>0.46370979334908857</v>
      </c>
      <c r="I1709" s="40">
        <v>172.33437634490241</v>
      </c>
      <c r="J1709" s="41">
        <v>0.17834310768674741</v>
      </c>
      <c r="K1709" s="9" t="s">
        <v>2490</v>
      </c>
    </row>
    <row r="1710" spans="1:11" x14ac:dyDescent="0.2">
      <c r="A1710" s="9" t="s">
        <v>58</v>
      </c>
      <c r="B1710" s="9" t="s">
        <v>2491</v>
      </c>
      <c r="C1710" s="9"/>
      <c r="D1710" s="9" t="s">
        <v>76</v>
      </c>
      <c r="E1710" s="38">
        <v>1098</v>
      </c>
      <c r="F1710" s="39">
        <v>132973</v>
      </c>
      <c r="G1710" s="40">
        <v>121.1047358834244</v>
      </c>
      <c r="H1710" s="41">
        <v>-5.4945133045258131E-2</v>
      </c>
      <c r="I1710" s="40">
        <v>32.325682393442619</v>
      </c>
      <c r="J1710" s="41">
        <v>0.26692335487655389</v>
      </c>
      <c r="K1710" s="9" t="s">
        <v>2492</v>
      </c>
    </row>
    <row r="1711" spans="1:11" x14ac:dyDescent="0.2">
      <c r="A1711" s="9" t="s">
        <v>58</v>
      </c>
      <c r="B1711" s="9" t="s">
        <v>2493</v>
      </c>
      <c r="C1711" s="9"/>
      <c r="D1711" s="9" t="s">
        <v>78</v>
      </c>
      <c r="E1711" s="38">
        <v>1750</v>
      </c>
      <c r="F1711" s="39">
        <v>1359483</v>
      </c>
      <c r="G1711" s="40">
        <v>776.84742857142862</v>
      </c>
      <c r="H1711" s="41"/>
      <c r="I1711" s="40">
        <v>128.29669137142861</v>
      </c>
      <c r="J1711" s="41">
        <v>0.16515043579066449</v>
      </c>
      <c r="K1711" s="9" t="s">
        <v>2494</v>
      </c>
    </row>
    <row r="1712" spans="1:11" x14ac:dyDescent="0.2">
      <c r="A1712" s="9" t="s">
        <v>58</v>
      </c>
      <c r="B1712" s="9" t="s">
        <v>445</v>
      </c>
      <c r="C1712" s="9"/>
      <c r="D1712" s="9" t="s">
        <v>82</v>
      </c>
      <c r="E1712" s="38">
        <v>2886</v>
      </c>
      <c r="F1712" s="39">
        <v>996537</v>
      </c>
      <c r="G1712" s="40">
        <v>345.30041580041581</v>
      </c>
      <c r="H1712" s="41">
        <v>4.1122454867450219E-2</v>
      </c>
      <c r="I1712" s="40">
        <v>85.395166277962588</v>
      </c>
      <c r="J1712" s="41">
        <v>0.24730687358141251</v>
      </c>
      <c r="K1712" s="9" t="s">
        <v>2495</v>
      </c>
    </row>
    <row r="1713" spans="1:11" x14ac:dyDescent="0.2">
      <c r="A1713" s="9" t="s">
        <v>58</v>
      </c>
      <c r="B1713" s="9" t="s">
        <v>2496</v>
      </c>
      <c r="C1713" s="9"/>
      <c r="D1713" s="9" t="s">
        <v>80</v>
      </c>
      <c r="E1713" s="38">
        <v>898</v>
      </c>
      <c r="F1713" s="39">
        <v>481768</v>
      </c>
      <c r="G1713" s="40">
        <v>536.48997772828511</v>
      </c>
      <c r="H1713" s="41">
        <v>1.2711499447920219E-2</v>
      </c>
      <c r="I1713" s="40">
        <v>155.4190868131403</v>
      </c>
      <c r="J1713" s="41">
        <v>0.28969616072092791</v>
      </c>
      <c r="K1713" s="9" t="s">
        <v>2497</v>
      </c>
    </row>
    <row r="1714" spans="1:11" x14ac:dyDescent="0.2">
      <c r="A1714" s="9" t="s">
        <v>58</v>
      </c>
      <c r="B1714" s="9" t="s">
        <v>2498</v>
      </c>
      <c r="C1714" s="9"/>
      <c r="D1714" s="9" t="s">
        <v>83</v>
      </c>
      <c r="E1714" s="38">
        <v>1000</v>
      </c>
      <c r="F1714" s="39">
        <v>334820</v>
      </c>
      <c r="G1714" s="40">
        <v>334.82</v>
      </c>
      <c r="H1714" s="41">
        <v>0.37678358485135077</v>
      </c>
      <c r="I1714" s="40">
        <v>152.70314999999999</v>
      </c>
      <c r="J1714" s="41">
        <v>0.45607535392151011</v>
      </c>
      <c r="K1714" s="9" t="s">
        <v>2499</v>
      </c>
    </row>
    <row r="1715" spans="1:11" x14ac:dyDescent="0.2">
      <c r="A1715" s="9" t="s">
        <v>58</v>
      </c>
      <c r="B1715" s="9" t="s">
        <v>231</v>
      </c>
      <c r="C1715" s="9"/>
      <c r="D1715" s="9" t="s">
        <v>76</v>
      </c>
      <c r="E1715" s="38">
        <v>7033</v>
      </c>
      <c r="F1715" s="39">
        <v>1228220</v>
      </c>
      <c r="G1715" s="40">
        <v>174.63671264040951</v>
      </c>
      <c r="H1715" s="41">
        <v>-0.29307796577282219</v>
      </c>
      <c r="I1715" s="40">
        <v>24.171761504976541</v>
      </c>
      <c r="J1715" s="41">
        <v>0.13841168411563079</v>
      </c>
      <c r="K1715" s="9" t="s">
        <v>2500</v>
      </c>
    </row>
    <row r="1716" spans="1:11" x14ac:dyDescent="0.2">
      <c r="A1716" s="9" t="s">
        <v>58</v>
      </c>
      <c r="B1716" s="9" t="s">
        <v>2501</v>
      </c>
      <c r="C1716" s="9"/>
      <c r="D1716" s="9" t="s">
        <v>76</v>
      </c>
      <c r="E1716" s="38">
        <v>2257</v>
      </c>
      <c r="F1716" s="39">
        <v>1347144</v>
      </c>
      <c r="G1716" s="40">
        <v>596.87372618520158</v>
      </c>
      <c r="H1716" s="41">
        <v>0.39396108925741852</v>
      </c>
      <c r="I1716" s="40">
        <v>64.770044293752775</v>
      </c>
      <c r="J1716" s="41">
        <v>0.1085154890427452</v>
      </c>
      <c r="K1716" s="9" t="s">
        <v>2502</v>
      </c>
    </row>
    <row r="1717" spans="1:11" x14ac:dyDescent="0.2">
      <c r="A1717" s="9" t="s">
        <v>58</v>
      </c>
      <c r="B1717" s="9" t="s">
        <v>893</v>
      </c>
      <c r="C1717" s="9"/>
      <c r="D1717" s="9" t="s">
        <v>78</v>
      </c>
      <c r="E1717" s="38">
        <v>824</v>
      </c>
      <c r="F1717" s="39">
        <v>338021</v>
      </c>
      <c r="G1717" s="40">
        <v>410.21966019417482</v>
      </c>
      <c r="H1717" s="41">
        <v>-0.1543566489906498</v>
      </c>
      <c r="I1717" s="40">
        <v>150.32433244077669</v>
      </c>
      <c r="J1717" s="41">
        <v>0.36644838613932268</v>
      </c>
      <c r="K1717" s="9" t="s">
        <v>2503</v>
      </c>
    </row>
    <row r="1718" spans="1:11" x14ac:dyDescent="0.2">
      <c r="A1718" s="9" t="s">
        <v>58</v>
      </c>
      <c r="B1718" s="9" t="s">
        <v>1477</v>
      </c>
      <c r="C1718" s="9"/>
      <c r="D1718" s="9" t="s">
        <v>85</v>
      </c>
      <c r="E1718" s="38">
        <v>11169</v>
      </c>
      <c r="F1718" s="39">
        <v>0</v>
      </c>
      <c r="G1718" s="40"/>
      <c r="H1718" s="41"/>
      <c r="I1718" s="40">
        <v>32</v>
      </c>
      <c r="J1718" s="41"/>
      <c r="K1718" s="9" t="s">
        <v>2504</v>
      </c>
    </row>
    <row r="1719" spans="1:11" x14ac:dyDescent="0.2">
      <c r="A1719" s="9" t="s">
        <v>58</v>
      </c>
      <c r="B1719" s="9" t="s">
        <v>456</v>
      </c>
      <c r="C1719" s="9"/>
      <c r="D1719" s="9" t="s">
        <v>76</v>
      </c>
      <c r="E1719" s="38">
        <v>1232</v>
      </c>
      <c r="F1719" s="39">
        <v>527047</v>
      </c>
      <c r="G1719" s="40">
        <v>427.79788961038957</v>
      </c>
      <c r="H1719" s="41">
        <v>0.15531179018778399</v>
      </c>
      <c r="I1719" s="40">
        <v>47.284358766233773</v>
      </c>
      <c r="J1719" s="41">
        <v>0.11052966813206409</v>
      </c>
      <c r="K1719" s="9" t="s">
        <v>2505</v>
      </c>
    </row>
    <row r="1720" spans="1:11" x14ac:dyDescent="0.2">
      <c r="A1720" s="9" t="s">
        <v>58</v>
      </c>
      <c r="B1720" s="9" t="s">
        <v>242</v>
      </c>
      <c r="C1720" s="9"/>
      <c r="D1720" s="9" t="s">
        <v>82</v>
      </c>
      <c r="E1720" s="38">
        <v>4168</v>
      </c>
      <c r="F1720" s="39">
        <v>809556</v>
      </c>
      <c r="G1720" s="40">
        <v>194.23128598848371</v>
      </c>
      <c r="H1720" s="41"/>
      <c r="I1720" s="40">
        <v>52.497847869289828</v>
      </c>
      <c r="J1720" s="41">
        <v>0.27028523032279428</v>
      </c>
      <c r="K1720" s="9" t="s">
        <v>2506</v>
      </c>
    </row>
    <row r="1721" spans="1:11" x14ac:dyDescent="0.2">
      <c r="A1721" s="9" t="s">
        <v>58</v>
      </c>
      <c r="B1721" s="9" t="s">
        <v>905</v>
      </c>
      <c r="C1721" s="9"/>
      <c r="D1721" s="9" t="s">
        <v>76</v>
      </c>
      <c r="E1721" s="38">
        <v>5710</v>
      </c>
      <c r="F1721" s="39">
        <v>0</v>
      </c>
      <c r="G1721" s="40"/>
      <c r="H1721" s="41"/>
      <c r="I1721" s="40">
        <v>38.619999999999997</v>
      </c>
      <c r="J1721" s="41"/>
      <c r="K1721" s="9" t="s">
        <v>2507</v>
      </c>
    </row>
    <row r="1722" spans="1:11" x14ac:dyDescent="0.2">
      <c r="A1722" s="9" t="s">
        <v>58</v>
      </c>
      <c r="B1722" s="9" t="s">
        <v>2508</v>
      </c>
      <c r="C1722" s="9"/>
      <c r="D1722" s="9" t="s">
        <v>85</v>
      </c>
      <c r="E1722" s="38">
        <v>14961</v>
      </c>
      <c r="F1722" s="39">
        <v>2254864</v>
      </c>
      <c r="G1722" s="40">
        <v>150.71612860102931</v>
      </c>
      <c r="H1722" s="41">
        <v>1.6425540260566859E-2</v>
      </c>
      <c r="I1722" s="40">
        <v>27.06471754659448</v>
      </c>
      <c r="J1722" s="41">
        <v>0.17957412917790161</v>
      </c>
      <c r="K1722" s="9" t="s">
        <v>2509</v>
      </c>
    </row>
    <row r="1723" spans="1:11" x14ac:dyDescent="0.2">
      <c r="A1723" s="9" t="s">
        <v>58</v>
      </c>
      <c r="B1723" s="9" t="s">
        <v>245</v>
      </c>
      <c r="C1723" s="9"/>
      <c r="D1723" s="9" t="s">
        <v>79</v>
      </c>
      <c r="E1723" s="38">
        <v>1660</v>
      </c>
      <c r="F1723" s="39">
        <v>496713</v>
      </c>
      <c r="G1723" s="40">
        <v>299.2246987951807</v>
      </c>
      <c r="H1723" s="41">
        <v>-0.1557126637168319</v>
      </c>
      <c r="I1723" s="40">
        <v>42.556084337349397</v>
      </c>
      <c r="J1723" s="41">
        <v>0.14222116191845191</v>
      </c>
      <c r="K1723" s="9" t="s">
        <v>2510</v>
      </c>
    </row>
    <row r="1724" spans="1:11" x14ac:dyDescent="0.2">
      <c r="A1724" s="9" t="s">
        <v>58</v>
      </c>
      <c r="B1724" s="9" t="s">
        <v>2511</v>
      </c>
      <c r="C1724" s="9"/>
      <c r="D1724" s="9" t="s">
        <v>80</v>
      </c>
      <c r="E1724" s="38">
        <v>440</v>
      </c>
      <c r="F1724" s="39">
        <v>798294</v>
      </c>
      <c r="G1724" s="40">
        <v>1814.304545454545</v>
      </c>
      <c r="H1724" s="41">
        <v>-0.25203527481749782</v>
      </c>
      <c r="I1724" s="40">
        <v>259.63954436363639</v>
      </c>
      <c r="J1724" s="41">
        <v>0.1431069249173863</v>
      </c>
      <c r="K1724" s="9" t="s">
        <v>2512</v>
      </c>
    </row>
    <row r="1725" spans="1:11" x14ac:dyDescent="0.2">
      <c r="A1725" s="9" t="s">
        <v>58</v>
      </c>
      <c r="B1725" s="9" t="s">
        <v>247</v>
      </c>
      <c r="C1725" s="9"/>
      <c r="D1725" s="9" t="s">
        <v>76</v>
      </c>
      <c r="E1725" s="38">
        <v>20799</v>
      </c>
      <c r="F1725" s="39">
        <v>4929042</v>
      </c>
      <c r="G1725" s="40">
        <v>236.98456656570031</v>
      </c>
      <c r="H1725" s="41">
        <v>-0.1149339318893111</v>
      </c>
      <c r="I1725" s="40">
        <v>34.184335759772097</v>
      </c>
      <c r="J1725" s="41">
        <v>0.14424709699521729</v>
      </c>
      <c r="K1725" s="9" t="s">
        <v>2513</v>
      </c>
    </row>
    <row r="1726" spans="1:11" x14ac:dyDescent="0.2">
      <c r="A1726" s="9" t="s">
        <v>58</v>
      </c>
      <c r="B1726" s="9" t="s">
        <v>467</v>
      </c>
      <c r="C1726" s="9"/>
      <c r="D1726" s="9" t="s">
        <v>78</v>
      </c>
      <c r="E1726" s="38">
        <v>2017</v>
      </c>
      <c r="F1726" s="39">
        <v>3866499</v>
      </c>
      <c r="G1726" s="40">
        <v>1916.9553792761531</v>
      </c>
      <c r="H1726" s="41">
        <v>0.12619373544909759</v>
      </c>
      <c r="I1726" s="40">
        <v>197.55545838720869</v>
      </c>
      <c r="J1726" s="41">
        <v>0.1030568893376152</v>
      </c>
      <c r="K1726" s="9" t="s">
        <v>2514</v>
      </c>
    </row>
    <row r="1727" spans="1:11" x14ac:dyDescent="0.2">
      <c r="A1727" s="9" t="s">
        <v>58</v>
      </c>
      <c r="B1727" s="9" t="s">
        <v>140</v>
      </c>
      <c r="C1727" s="9"/>
      <c r="D1727" s="9" t="s">
        <v>83</v>
      </c>
      <c r="E1727" s="38">
        <v>6147</v>
      </c>
      <c r="F1727" s="39">
        <v>2682695</v>
      </c>
      <c r="G1727" s="40">
        <v>436.42345859768989</v>
      </c>
      <c r="H1727" s="41">
        <v>-0.23035955074166861</v>
      </c>
      <c r="I1727" s="40">
        <v>76.016380320709288</v>
      </c>
      <c r="J1727" s="41">
        <v>0.17418032606442399</v>
      </c>
      <c r="K1727" s="9" t="s">
        <v>2515</v>
      </c>
    </row>
    <row r="1728" spans="1:11" x14ac:dyDescent="0.2">
      <c r="A1728" s="9" t="s">
        <v>58</v>
      </c>
      <c r="B1728" s="9" t="s">
        <v>689</v>
      </c>
      <c r="C1728" s="9"/>
      <c r="D1728" s="9" t="s">
        <v>80</v>
      </c>
      <c r="E1728" s="38">
        <v>679</v>
      </c>
      <c r="F1728" s="39">
        <v>331880</v>
      </c>
      <c r="G1728" s="40">
        <v>488.77761413843888</v>
      </c>
      <c r="H1728" s="41">
        <v>3.8787059294871792E-2</v>
      </c>
      <c r="I1728" s="40">
        <v>129.66776132754049</v>
      </c>
      <c r="J1728" s="41">
        <v>0.26528989376099787</v>
      </c>
      <c r="K1728" s="9" t="s">
        <v>2516</v>
      </c>
    </row>
    <row r="1729" spans="1:11" x14ac:dyDescent="0.2">
      <c r="A1729" s="9" t="s">
        <v>58</v>
      </c>
      <c r="B1729" s="9" t="s">
        <v>256</v>
      </c>
      <c r="C1729" s="9"/>
      <c r="D1729" s="9" t="s">
        <v>76</v>
      </c>
      <c r="E1729" s="38">
        <v>5384</v>
      </c>
      <c r="F1729" s="39">
        <v>2589390</v>
      </c>
      <c r="G1729" s="40">
        <v>480.94167904903418</v>
      </c>
      <c r="H1729" s="41">
        <v>0.46832897602824902</v>
      </c>
      <c r="I1729" s="40">
        <v>79.000007429420506</v>
      </c>
      <c r="J1729" s="41">
        <v>0.1642610962427444</v>
      </c>
      <c r="K1729" s="9" t="s">
        <v>2517</v>
      </c>
    </row>
    <row r="1730" spans="1:11" x14ac:dyDescent="0.2">
      <c r="A1730" s="9" t="s">
        <v>58</v>
      </c>
      <c r="B1730" s="9" t="s">
        <v>2518</v>
      </c>
      <c r="C1730" s="9"/>
      <c r="D1730" s="9" t="s">
        <v>79</v>
      </c>
      <c r="E1730" s="38">
        <v>693</v>
      </c>
      <c r="F1730" s="39">
        <v>224024</v>
      </c>
      <c r="G1730" s="40">
        <v>323.26695526695528</v>
      </c>
      <c r="H1730" s="41">
        <v>-0.167262035305794</v>
      </c>
      <c r="I1730" s="40">
        <v>228.9037508989899</v>
      </c>
      <c r="J1730" s="41">
        <v>0.70809511201032027</v>
      </c>
      <c r="K1730" s="9" t="s">
        <v>2519</v>
      </c>
    </row>
    <row r="1731" spans="1:11" x14ac:dyDescent="0.2">
      <c r="A1731" s="9" t="s">
        <v>58</v>
      </c>
      <c r="B1731" s="9" t="s">
        <v>1251</v>
      </c>
      <c r="C1731" s="9"/>
      <c r="D1731" s="9" t="s">
        <v>77</v>
      </c>
      <c r="E1731" s="38">
        <v>5598</v>
      </c>
      <c r="F1731" s="39">
        <v>3459736</v>
      </c>
      <c r="G1731" s="40">
        <v>618.0307252590211</v>
      </c>
      <c r="H1731" s="41">
        <v>0.25346553510331438</v>
      </c>
      <c r="I1731" s="40">
        <v>88.915309020828857</v>
      </c>
      <c r="J1731" s="41">
        <v>0.14386875180609149</v>
      </c>
      <c r="K1731" s="9" t="s">
        <v>2520</v>
      </c>
    </row>
    <row r="1732" spans="1:11" x14ac:dyDescent="0.2">
      <c r="A1732" s="9" t="s">
        <v>58</v>
      </c>
      <c r="B1732" s="9" t="s">
        <v>258</v>
      </c>
      <c r="C1732" s="9"/>
      <c r="D1732" s="9" t="s">
        <v>78</v>
      </c>
      <c r="E1732" s="38">
        <v>1313</v>
      </c>
      <c r="F1732" s="39">
        <v>358590</v>
      </c>
      <c r="G1732" s="40">
        <v>273.10738766184312</v>
      </c>
      <c r="H1732" s="41">
        <v>-0.29363093614022989</v>
      </c>
      <c r="I1732" s="40">
        <v>56.415559763518672</v>
      </c>
      <c r="J1732" s="41">
        <v>0.2065691457360774</v>
      </c>
      <c r="K1732" s="9" t="s">
        <v>2521</v>
      </c>
    </row>
    <row r="1733" spans="1:11" x14ac:dyDescent="0.2">
      <c r="A1733" s="9" t="s">
        <v>58</v>
      </c>
      <c r="B1733" s="9" t="s">
        <v>2522</v>
      </c>
      <c r="C1733" s="9"/>
      <c r="D1733" s="9" t="s">
        <v>78</v>
      </c>
      <c r="E1733" s="38">
        <v>1922</v>
      </c>
      <c r="F1733" s="39">
        <v>271326</v>
      </c>
      <c r="G1733" s="40">
        <v>141.1685744016649</v>
      </c>
      <c r="H1733" s="41"/>
      <c r="I1733" s="40">
        <v>64.31190945504683</v>
      </c>
      <c r="J1733" s="41">
        <v>0.45556817250318798</v>
      </c>
      <c r="K1733" s="9" t="s">
        <v>2523</v>
      </c>
    </row>
    <row r="1734" spans="1:11" x14ac:dyDescent="0.2">
      <c r="A1734" s="9" t="s">
        <v>58</v>
      </c>
      <c r="B1734" s="9" t="s">
        <v>473</v>
      </c>
      <c r="C1734" s="9"/>
      <c r="D1734" s="9" t="s">
        <v>86</v>
      </c>
      <c r="E1734" s="38">
        <v>0</v>
      </c>
      <c r="F1734" s="39">
        <v>14700000</v>
      </c>
      <c r="G1734" s="40"/>
      <c r="H1734" s="41">
        <v>-0.26500000000000001</v>
      </c>
      <c r="I1734" s="40"/>
      <c r="J1734" s="41">
        <v>7.884097941213605E-3</v>
      </c>
      <c r="K1734" s="9" t="s">
        <v>2524</v>
      </c>
    </row>
    <row r="1735" spans="1:11" x14ac:dyDescent="0.2">
      <c r="A1735" s="9" t="s">
        <v>58</v>
      </c>
      <c r="B1735" s="9" t="s">
        <v>479</v>
      </c>
      <c r="C1735" s="9"/>
      <c r="D1735" s="9" t="s">
        <v>77</v>
      </c>
      <c r="E1735" s="38">
        <v>8621</v>
      </c>
      <c r="F1735" s="39">
        <v>0</v>
      </c>
      <c r="G1735" s="40"/>
      <c r="H1735" s="41"/>
      <c r="I1735" s="40">
        <v>61.515435544298811</v>
      </c>
      <c r="J1735" s="41"/>
      <c r="K1735" s="9" t="s">
        <v>2525</v>
      </c>
    </row>
    <row r="1736" spans="1:11" x14ac:dyDescent="0.2">
      <c r="A1736" s="9" t="s">
        <v>58</v>
      </c>
      <c r="B1736" s="9" t="s">
        <v>267</v>
      </c>
      <c r="C1736" s="9"/>
      <c r="D1736" s="9" t="s">
        <v>77</v>
      </c>
      <c r="E1736" s="38">
        <v>1600</v>
      </c>
      <c r="F1736" s="39">
        <v>1639667</v>
      </c>
      <c r="G1736" s="40">
        <v>1024.7918749999999</v>
      </c>
      <c r="H1736" s="41">
        <v>0.44892330336807978</v>
      </c>
      <c r="I1736" s="40">
        <v>164.64670624999999</v>
      </c>
      <c r="J1736" s="41">
        <v>0.16066355546583541</v>
      </c>
      <c r="K1736" s="9" t="s">
        <v>2526</v>
      </c>
    </row>
    <row r="1737" spans="1:11" x14ac:dyDescent="0.2">
      <c r="A1737" s="9" t="s">
        <v>58</v>
      </c>
      <c r="B1737" s="9" t="s">
        <v>271</v>
      </c>
      <c r="C1737" s="9"/>
      <c r="D1737" s="9" t="s">
        <v>78</v>
      </c>
      <c r="E1737" s="38">
        <v>1408</v>
      </c>
      <c r="F1737" s="39">
        <v>1651423</v>
      </c>
      <c r="G1737" s="40">
        <v>1172.885653409091</v>
      </c>
      <c r="H1737" s="41">
        <v>0.31687698607306758</v>
      </c>
      <c r="I1737" s="40">
        <v>158.83807528409091</v>
      </c>
      <c r="J1737" s="41">
        <v>0.13542503041316489</v>
      </c>
      <c r="K1737" s="9" t="s">
        <v>2527</v>
      </c>
    </row>
    <row r="1738" spans="1:11" x14ac:dyDescent="0.2">
      <c r="A1738" s="9" t="s">
        <v>58</v>
      </c>
      <c r="B1738" s="9" t="s">
        <v>2528</v>
      </c>
      <c r="C1738" s="9"/>
      <c r="D1738" s="9" t="s">
        <v>78</v>
      </c>
      <c r="E1738" s="38">
        <v>997</v>
      </c>
      <c r="F1738" s="39">
        <v>2262816</v>
      </c>
      <c r="G1738" s="40">
        <v>2269.6248746238721</v>
      </c>
      <c r="H1738" s="41">
        <v>0.1818409469142715</v>
      </c>
      <c r="I1738" s="40">
        <v>303.51510514142433</v>
      </c>
      <c r="J1738" s="41">
        <v>0.13372919398925939</v>
      </c>
      <c r="K1738" s="9" t="s">
        <v>2529</v>
      </c>
    </row>
    <row r="1739" spans="1:11" x14ac:dyDescent="0.2">
      <c r="A1739" s="9" t="s">
        <v>58</v>
      </c>
      <c r="B1739" s="9" t="s">
        <v>2530</v>
      </c>
      <c r="C1739" s="9"/>
      <c r="D1739" s="9" t="s">
        <v>76</v>
      </c>
      <c r="E1739" s="38">
        <v>3500</v>
      </c>
      <c r="F1739" s="39">
        <v>889360</v>
      </c>
      <c r="G1739" s="40">
        <v>254.10285714285709</v>
      </c>
      <c r="H1739" s="41">
        <v>0.1323454891305732</v>
      </c>
      <c r="I1739" s="40">
        <v>45.743914214285716</v>
      </c>
      <c r="J1739" s="41">
        <v>0.18002125095574351</v>
      </c>
      <c r="K1739" s="9" t="s">
        <v>2531</v>
      </c>
    </row>
    <row r="1740" spans="1:11" x14ac:dyDescent="0.2">
      <c r="A1740" s="9" t="s">
        <v>58</v>
      </c>
      <c r="B1740" s="9" t="s">
        <v>275</v>
      </c>
      <c r="C1740" s="9"/>
      <c r="D1740" s="9" t="s">
        <v>83</v>
      </c>
      <c r="E1740" s="38">
        <v>3234</v>
      </c>
      <c r="F1740" s="39">
        <v>3256072</v>
      </c>
      <c r="G1740" s="40">
        <v>1006.82498453927</v>
      </c>
      <c r="H1740" s="41">
        <v>-3.1415872871123157E-2</v>
      </c>
      <c r="I1740" s="40">
        <v>147.42903525046381</v>
      </c>
      <c r="J1740" s="41">
        <v>0.1464296551181915</v>
      </c>
      <c r="K1740" s="9" t="s">
        <v>2532</v>
      </c>
    </row>
    <row r="1741" spans="1:11" x14ac:dyDescent="0.2">
      <c r="A1741" s="9" t="s">
        <v>58</v>
      </c>
      <c r="B1741" s="9" t="s">
        <v>277</v>
      </c>
      <c r="C1741" s="9"/>
      <c r="D1741" s="9" t="s">
        <v>76</v>
      </c>
      <c r="E1741" s="38">
        <v>1026</v>
      </c>
      <c r="F1741" s="39">
        <v>1204801</v>
      </c>
      <c r="G1741" s="40">
        <v>1174.269980506823</v>
      </c>
      <c r="H1741" s="41">
        <v>0.78750688322365814</v>
      </c>
      <c r="I1741" s="40">
        <v>143.12297776627679</v>
      </c>
      <c r="J1741" s="41">
        <v>0.1218825143639489</v>
      </c>
      <c r="K1741" s="9" t="s">
        <v>2533</v>
      </c>
    </row>
    <row r="1742" spans="1:11" x14ac:dyDescent="0.2">
      <c r="A1742" s="9" t="s">
        <v>58</v>
      </c>
      <c r="B1742" s="9" t="s">
        <v>277</v>
      </c>
      <c r="C1742" s="9"/>
      <c r="D1742" s="9" t="s">
        <v>76</v>
      </c>
      <c r="E1742" s="38">
        <v>500</v>
      </c>
      <c r="F1742" s="39">
        <v>1026929</v>
      </c>
      <c r="G1742" s="40">
        <v>2053.8580000000002</v>
      </c>
      <c r="H1742" s="41"/>
      <c r="I1742" s="40">
        <v>246.51361059999999</v>
      </c>
      <c r="J1742" s="41">
        <v>0.1200246611985834</v>
      </c>
      <c r="K1742" s="9" t="s">
        <v>2533</v>
      </c>
    </row>
    <row r="1743" spans="1:11" x14ac:dyDescent="0.2">
      <c r="A1743" s="9" t="s">
        <v>58</v>
      </c>
      <c r="B1743" s="9" t="s">
        <v>2534</v>
      </c>
      <c r="C1743" s="9"/>
      <c r="D1743" s="9" t="s">
        <v>80</v>
      </c>
      <c r="E1743" s="38">
        <v>1492</v>
      </c>
      <c r="F1743" s="39">
        <v>709450</v>
      </c>
      <c r="G1743" s="40">
        <v>475.50268096514748</v>
      </c>
      <c r="H1743" s="41"/>
      <c r="I1743" s="40">
        <v>68.008615581769433</v>
      </c>
      <c r="J1743" s="41">
        <v>0.1430246732652054</v>
      </c>
      <c r="K1743" s="9" t="s">
        <v>2535</v>
      </c>
    </row>
    <row r="1744" spans="1:11" x14ac:dyDescent="0.2">
      <c r="A1744" s="9" t="s">
        <v>58</v>
      </c>
      <c r="B1744" s="9" t="s">
        <v>2536</v>
      </c>
      <c r="C1744" s="9"/>
      <c r="D1744" s="9" t="s">
        <v>76</v>
      </c>
      <c r="E1744" s="38">
        <v>2541</v>
      </c>
      <c r="F1744" s="39">
        <v>0</v>
      </c>
      <c r="G1744" s="40"/>
      <c r="H1744" s="41"/>
      <c r="I1744" s="40">
        <v>56.775785123966941</v>
      </c>
      <c r="J1744" s="41"/>
      <c r="K1744" s="9" t="s">
        <v>2537</v>
      </c>
    </row>
    <row r="1745" spans="1:11" x14ac:dyDescent="0.2">
      <c r="A1745" s="9" t="s">
        <v>58</v>
      </c>
      <c r="B1745" s="9" t="s">
        <v>283</v>
      </c>
      <c r="C1745" s="9"/>
      <c r="D1745" s="9" t="s">
        <v>78</v>
      </c>
      <c r="E1745" s="38">
        <v>628</v>
      </c>
      <c r="F1745" s="39">
        <v>587146</v>
      </c>
      <c r="G1745" s="40">
        <v>934.94585987261144</v>
      </c>
      <c r="H1745" s="41"/>
      <c r="I1745" s="40">
        <v>148.79450603184711</v>
      </c>
      <c r="J1745" s="41">
        <v>0.15914772439563579</v>
      </c>
      <c r="K1745" s="9" t="s">
        <v>2538</v>
      </c>
    </row>
    <row r="1746" spans="1:11" x14ac:dyDescent="0.2">
      <c r="A1746" s="9" t="s">
        <v>58</v>
      </c>
      <c r="B1746" s="9" t="s">
        <v>2539</v>
      </c>
      <c r="C1746" s="9"/>
      <c r="D1746" s="9" t="s">
        <v>76</v>
      </c>
      <c r="E1746" s="38">
        <v>4205</v>
      </c>
      <c r="F1746" s="39">
        <v>56617</v>
      </c>
      <c r="G1746" s="40">
        <v>13.46420927467301</v>
      </c>
      <c r="H1746" s="41"/>
      <c r="I1746" s="40">
        <v>24.613555286920331</v>
      </c>
      <c r="J1746" s="41">
        <v>1.828072839986223E-2</v>
      </c>
      <c r="K1746" s="9" t="s">
        <v>2540</v>
      </c>
    </row>
    <row r="1747" spans="1:11" x14ac:dyDescent="0.2">
      <c r="A1747" s="9" t="s">
        <v>58</v>
      </c>
      <c r="B1747" s="9" t="s">
        <v>289</v>
      </c>
      <c r="C1747" s="9"/>
      <c r="D1747" s="9" t="s">
        <v>79</v>
      </c>
      <c r="E1747" s="38">
        <v>1129</v>
      </c>
      <c r="F1747" s="39">
        <v>1456301</v>
      </c>
      <c r="G1747" s="40">
        <v>1289.9034543844109</v>
      </c>
      <c r="H1747" s="41">
        <v>-3.8728952226432793E-2</v>
      </c>
      <c r="I1747" s="40">
        <v>191.42107088751109</v>
      </c>
      <c r="J1747" s="41">
        <v>0.14839953349753929</v>
      </c>
      <c r="K1747" s="9" t="s">
        <v>2541</v>
      </c>
    </row>
    <row r="1748" spans="1:11" x14ac:dyDescent="0.2">
      <c r="A1748" s="9" t="s">
        <v>58</v>
      </c>
      <c r="B1748" s="9" t="s">
        <v>502</v>
      </c>
      <c r="C1748" s="9"/>
      <c r="D1748" s="9" t="s">
        <v>86</v>
      </c>
      <c r="E1748" s="38">
        <v>0</v>
      </c>
      <c r="F1748" s="39">
        <v>46500000</v>
      </c>
      <c r="G1748" s="40"/>
      <c r="H1748" s="41">
        <v>0.38805970149253732</v>
      </c>
      <c r="I1748" s="40"/>
      <c r="J1748" s="41">
        <v>1.523070967741935E-3</v>
      </c>
      <c r="K1748" s="9" t="s">
        <v>2542</v>
      </c>
    </row>
    <row r="1749" spans="1:11" x14ac:dyDescent="0.2">
      <c r="A1749" s="9" t="s">
        <v>58</v>
      </c>
      <c r="B1749" s="9" t="s">
        <v>2543</v>
      </c>
      <c r="C1749" s="9"/>
      <c r="D1749" s="9" t="s">
        <v>80</v>
      </c>
      <c r="E1749" s="38">
        <v>628</v>
      </c>
      <c r="F1749" s="39">
        <v>0</v>
      </c>
      <c r="G1749" s="40"/>
      <c r="H1749" s="41"/>
      <c r="I1749" s="40">
        <v>209.32589142038219</v>
      </c>
      <c r="J1749" s="41"/>
      <c r="K1749" s="9" t="s">
        <v>2544</v>
      </c>
    </row>
    <row r="1750" spans="1:11" x14ac:dyDescent="0.2">
      <c r="A1750" s="9" t="s">
        <v>58</v>
      </c>
      <c r="B1750" s="9" t="s">
        <v>2545</v>
      </c>
      <c r="C1750" s="9"/>
      <c r="D1750" s="9" t="s">
        <v>81</v>
      </c>
      <c r="E1750" s="38">
        <v>3231</v>
      </c>
      <c r="F1750" s="39">
        <v>1107464</v>
      </c>
      <c r="G1750" s="40">
        <v>342.76199319096253</v>
      </c>
      <c r="H1750" s="41">
        <v>-0.29442246945853767</v>
      </c>
      <c r="I1750" s="40">
        <v>41.741380377592073</v>
      </c>
      <c r="J1750" s="41">
        <v>0.1217794889946761</v>
      </c>
      <c r="K1750" s="9" t="s">
        <v>2546</v>
      </c>
    </row>
    <row r="1751" spans="1:11" x14ac:dyDescent="0.2">
      <c r="A1751" s="9" t="s">
        <v>58</v>
      </c>
      <c r="B1751" s="9" t="s">
        <v>301</v>
      </c>
      <c r="C1751" s="9"/>
      <c r="D1751" s="9" t="s">
        <v>82</v>
      </c>
      <c r="E1751" s="38">
        <v>1350</v>
      </c>
      <c r="F1751" s="39">
        <v>718233</v>
      </c>
      <c r="G1751" s="40">
        <v>532.0244444444445</v>
      </c>
      <c r="H1751" s="41">
        <v>1.0663194784184111E-2</v>
      </c>
      <c r="I1751" s="40">
        <v>98.258296251851846</v>
      </c>
      <c r="J1751" s="41">
        <v>0.1846875595245554</v>
      </c>
      <c r="K1751" s="9" t="s">
        <v>2547</v>
      </c>
    </row>
    <row r="1752" spans="1:11" x14ac:dyDescent="0.2">
      <c r="A1752" s="9" t="s">
        <v>58</v>
      </c>
      <c r="B1752" s="9" t="s">
        <v>2548</v>
      </c>
      <c r="C1752" s="9"/>
      <c r="D1752" s="9" t="s">
        <v>83</v>
      </c>
      <c r="E1752" s="38">
        <v>774</v>
      </c>
      <c r="F1752" s="39">
        <v>472203</v>
      </c>
      <c r="G1752" s="40">
        <v>610.08139534883719</v>
      </c>
      <c r="H1752" s="41">
        <v>6.0657283930018957E-2</v>
      </c>
      <c r="I1752" s="40">
        <v>67.927209284496129</v>
      </c>
      <c r="J1752" s="41">
        <v>0.1113412239782466</v>
      </c>
      <c r="K1752" s="9" t="s">
        <v>2549</v>
      </c>
    </row>
    <row r="1753" spans="1:11" x14ac:dyDescent="0.2">
      <c r="A1753" s="9" t="s">
        <v>58</v>
      </c>
      <c r="B1753" s="9" t="s">
        <v>708</v>
      </c>
      <c r="C1753" s="9"/>
      <c r="D1753" s="9" t="s">
        <v>80</v>
      </c>
      <c r="E1753" s="38">
        <v>882</v>
      </c>
      <c r="F1753" s="39">
        <v>319549</v>
      </c>
      <c r="G1753" s="40">
        <v>362.30045351473922</v>
      </c>
      <c r="H1753" s="41">
        <v>-0.2153936057632104</v>
      </c>
      <c r="I1753" s="40">
        <v>129.26557820408161</v>
      </c>
      <c r="J1753" s="41">
        <v>0.35679110238492379</v>
      </c>
      <c r="K1753" s="9" t="s">
        <v>2550</v>
      </c>
    </row>
    <row r="1754" spans="1:11" x14ac:dyDescent="0.2">
      <c r="A1754" s="9" t="s">
        <v>58</v>
      </c>
      <c r="B1754" s="9" t="s">
        <v>2551</v>
      </c>
      <c r="C1754" s="9"/>
      <c r="D1754" s="9" t="s">
        <v>77</v>
      </c>
      <c r="E1754" s="38">
        <v>2006</v>
      </c>
      <c r="F1754" s="39">
        <v>493917</v>
      </c>
      <c r="G1754" s="40">
        <v>246.21984047856429</v>
      </c>
      <c r="H1754" s="41">
        <v>-0.48434074309171932</v>
      </c>
      <c r="I1754" s="40">
        <v>34.640084674875368</v>
      </c>
      <c r="J1754" s="41">
        <v>0.14068762536580029</v>
      </c>
      <c r="K1754" s="9" t="s">
        <v>2552</v>
      </c>
    </row>
    <row r="1755" spans="1:11" x14ac:dyDescent="0.2">
      <c r="A1755" s="9" t="s">
        <v>58</v>
      </c>
      <c r="B1755" s="9" t="s">
        <v>1149</v>
      </c>
      <c r="C1755" s="9"/>
      <c r="D1755" s="9" t="s">
        <v>76</v>
      </c>
      <c r="E1755" s="38">
        <v>14504</v>
      </c>
      <c r="F1755" s="39">
        <v>5628525</v>
      </c>
      <c r="G1755" s="40">
        <v>388.06708494208488</v>
      </c>
      <c r="H1755" s="41">
        <v>0.84134788723091902</v>
      </c>
      <c r="I1755" s="40">
        <v>33.886525711969107</v>
      </c>
      <c r="J1755" s="41">
        <v>8.732130867792183E-2</v>
      </c>
      <c r="K1755" s="9" t="s">
        <v>2553</v>
      </c>
    </row>
    <row r="1756" spans="1:11" x14ac:dyDescent="0.2">
      <c r="A1756" s="9" t="s">
        <v>58</v>
      </c>
      <c r="B1756" s="9" t="s">
        <v>603</v>
      </c>
      <c r="C1756" s="9"/>
      <c r="D1756" s="9" t="s">
        <v>81</v>
      </c>
      <c r="E1756" s="38">
        <v>8861</v>
      </c>
      <c r="F1756" s="39">
        <v>4913544</v>
      </c>
      <c r="G1756" s="40">
        <v>554.51348606252111</v>
      </c>
      <c r="H1756" s="41">
        <v>0.15384144733588029</v>
      </c>
      <c r="I1756" s="40">
        <v>26.565969958108571</v>
      </c>
      <c r="J1756" s="41">
        <v>4.7908609304974183E-2</v>
      </c>
      <c r="K1756" s="9" t="s">
        <v>2554</v>
      </c>
    </row>
    <row r="1757" spans="1:11" x14ac:dyDescent="0.2">
      <c r="A1757" s="9" t="s">
        <v>58</v>
      </c>
      <c r="B1757" s="9" t="s">
        <v>317</v>
      </c>
      <c r="C1757" s="9"/>
      <c r="D1757" s="9" t="s">
        <v>76</v>
      </c>
      <c r="E1757" s="38">
        <v>5332</v>
      </c>
      <c r="F1757" s="39">
        <v>1828530</v>
      </c>
      <c r="G1757" s="40">
        <v>342.93510877719427</v>
      </c>
      <c r="H1757" s="41">
        <v>-0.15476172206303351</v>
      </c>
      <c r="I1757" s="40">
        <v>64.400376956789202</v>
      </c>
      <c r="J1757" s="41">
        <v>0.187791728838794</v>
      </c>
      <c r="K1757" s="9" t="s">
        <v>2555</v>
      </c>
    </row>
    <row r="1758" spans="1:11" x14ac:dyDescent="0.2">
      <c r="A1758" s="9" t="s">
        <v>58</v>
      </c>
      <c r="B1758" s="9" t="s">
        <v>319</v>
      </c>
      <c r="C1758" s="9"/>
      <c r="D1758" s="9" t="s">
        <v>81</v>
      </c>
      <c r="E1758" s="38">
        <v>896</v>
      </c>
      <c r="F1758" s="39">
        <v>1776454</v>
      </c>
      <c r="G1758" s="40">
        <v>1982.6495535714289</v>
      </c>
      <c r="H1758" s="41">
        <v>0.127546121718179</v>
      </c>
      <c r="I1758" s="40">
        <v>370.3376109642856</v>
      </c>
      <c r="J1758" s="41">
        <v>0.18678924386671419</v>
      </c>
      <c r="K1758" s="9" t="s">
        <v>2556</v>
      </c>
    </row>
    <row r="1759" spans="1:11" x14ac:dyDescent="0.2">
      <c r="A1759" s="9" t="s">
        <v>58</v>
      </c>
      <c r="B1759" s="9" t="s">
        <v>321</v>
      </c>
      <c r="C1759" s="9"/>
      <c r="D1759" s="9" t="s">
        <v>78</v>
      </c>
      <c r="E1759" s="38">
        <v>590</v>
      </c>
      <c r="F1759" s="39">
        <v>2102216</v>
      </c>
      <c r="G1759" s="40">
        <v>3563.077966101695</v>
      </c>
      <c r="H1759" s="41">
        <v>0.86828105587026116</v>
      </c>
      <c r="I1759" s="40">
        <v>253.70915189830509</v>
      </c>
      <c r="J1759" s="41">
        <v>7.1205052011781844E-2</v>
      </c>
      <c r="K1759" s="9" t="s">
        <v>2557</v>
      </c>
    </row>
    <row r="1760" spans="1:11" x14ac:dyDescent="0.2">
      <c r="A1760" s="9" t="s">
        <v>58</v>
      </c>
      <c r="B1760" s="9" t="s">
        <v>2558</v>
      </c>
      <c r="C1760" s="9"/>
      <c r="D1760" s="9" t="s">
        <v>81</v>
      </c>
      <c r="E1760" s="38">
        <v>3193</v>
      </c>
      <c r="F1760" s="39">
        <v>3618338</v>
      </c>
      <c r="G1760" s="40">
        <v>1133.209520826809</v>
      </c>
      <c r="H1760" s="41">
        <v>0.429800492785406</v>
      </c>
      <c r="I1760" s="40">
        <v>81.895089211149397</v>
      </c>
      <c r="J1760" s="41">
        <v>7.2268267876356498E-2</v>
      </c>
      <c r="K1760" s="9" t="s">
        <v>2559</v>
      </c>
    </row>
    <row r="1761" spans="1:11" x14ac:dyDescent="0.2">
      <c r="A1761" s="9" t="s">
        <v>58</v>
      </c>
      <c r="B1761" s="9" t="s">
        <v>2560</v>
      </c>
      <c r="C1761" s="9"/>
      <c r="D1761" s="9" t="s">
        <v>79</v>
      </c>
      <c r="E1761" s="38">
        <v>2887</v>
      </c>
      <c r="F1761" s="39">
        <v>577252</v>
      </c>
      <c r="G1761" s="40">
        <v>199.94873571181159</v>
      </c>
      <c r="H1761" s="41">
        <v>-0.18647116881427911</v>
      </c>
      <c r="I1761" s="40">
        <v>42.053176238136473</v>
      </c>
      <c r="J1761" s="41">
        <v>0.2103197906624836</v>
      </c>
      <c r="K1761" s="9" t="s">
        <v>2561</v>
      </c>
    </row>
    <row r="1762" spans="1:11" x14ac:dyDescent="0.2">
      <c r="A1762" s="9" t="s">
        <v>58</v>
      </c>
      <c r="B1762" s="9" t="s">
        <v>2562</v>
      </c>
      <c r="C1762" s="9"/>
      <c r="D1762" s="9" t="s">
        <v>76</v>
      </c>
      <c r="E1762" s="38">
        <v>9000</v>
      </c>
      <c r="F1762" s="39">
        <v>983096</v>
      </c>
      <c r="G1762" s="40">
        <v>109.23288888888889</v>
      </c>
      <c r="H1762" s="41"/>
      <c r="I1762" s="40">
        <v>22.466666666666669</v>
      </c>
      <c r="J1762" s="41">
        <v>0.20567675995019821</v>
      </c>
      <c r="K1762" s="9" t="s">
        <v>2563</v>
      </c>
    </row>
    <row r="1763" spans="1:11" x14ac:dyDescent="0.2">
      <c r="A1763" s="9" t="s">
        <v>58</v>
      </c>
      <c r="B1763" s="9" t="s">
        <v>2562</v>
      </c>
      <c r="C1763" s="9"/>
      <c r="D1763" s="9" t="s">
        <v>76</v>
      </c>
      <c r="E1763" s="38">
        <v>5113</v>
      </c>
      <c r="F1763" s="39">
        <v>983096</v>
      </c>
      <c r="G1763" s="40">
        <v>192.27381185214159</v>
      </c>
      <c r="H1763" s="41"/>
      <c r="I1763" s="40">
        <v>24.297373306219441</v>
      </c>
      <c r="J1763" s="41">
        <v>0.1263686046069763</v>
      </c>
      <c r="K1763" s="9" t="s">
        <v>2563</v>
      </c>
    </row>
    <row r="1764" spans="1:11" x14ac:dyDescent="0.2">
      <c r="A1764" s="9" t="s">
        <v>58</v>
      </c>
      <c r="B1764" s="9" t="s">
        <v>2564</v>
      </c>
      <c r="C1764" s="9"/>
      <c r="D1764" s="9" t="s">
        <v>83</v>
      </c>
      <c r="E1764" s="38">
        <v>1663</v>
      </c>
      <c r="F1764" s="39">
        <v>873117</v>
      </c>
      <c r="G1764" s="40">
        <v>525.02525556223691</v>
      </c>
      <c r="H1764" s="41">
        <v>-0.15907123050977731</v>
      </c>
      <c r="I1764" s="40">
        <v>135.89345158731209</v>
      </c>
      <c r="J1764" s="41">
        <v>0.25883221835069059</v>
      </c>
      <c r="K1764" s="9" t="s">
        <v>2565</v>
      </c>
    </row>
    <row r="1765" spans="1:11" x14ac:dyDescent="0.2">
      <c r="A1765" s="9" t="s">
        <v>58</v>
      </c>
      <c r="B1765" s="9" t="s">
        <v>944</v>
      </c>
      <c r="C1765" s="9"/>
      <c r="D1765" s="9" t="s">
        <v>81</v>
      </c>
      <c r="E1765" s="38">
        <v>5307</v>
      </c>
      <c r="F1765" s="39">
        <v>3520539</v>
      </c>
      <c r="G1765" s="40">
        <v>663.37648388920297</v>
      </c>
      <c r="H1765" s="41">
        <v>0.15103722933665939</v>
      </c>
      <c r="I1765" s="40">
        <v>72.533354016016588</v>
      </c>
      <c r="J1765" s="41">
        <v>0.1093396521847933</v>
      </c>
      <c r="K1765" s="9" t="s">
        <v>2566</v>
      </c>
    </row>
    <row r="1766" spans="1:11" x14ac:dyDescent="0.2">
      <c r="A1766" s="9" t="s">
        <v>58</v>
      </c>
      <c r="B1766" s="9" t="s">
        <v>2567</v>
      </c>
      <c r="C1766" s="9"/>
      <c r="D1766" s="9" t="s">
        <v>78</v>
      </c>
      <c r="E1766" s="38">
        <v>7498</v>
      </c>
      <c r="F1766" s="39">
        <v>3993060</v>
      </c>
      <c r="G1766" s="40">
        <v>532.55001333688983</v>
      </c>
      <c r="H1766" s="41">
        <v>-0.18677032508366759</v>
      </c>
      <c r="I1766" s="40">
        <v>57.469250388023468</v>
      </c>
      <c r="J1766" s="41">
        <v>0.1079133394963762</v>
      </c>
      <c r="K1766" s="9" t="s">
        <v>2568</v>
      </c>
    </row>
    <row r="1767" spans="1:11" x14ac:dyDescent="0.2">
      <c r="A1767" s="9" t="s">
        <v>58</v>
      </c>
      <c r="B1767" s="9" t="s">
        <v>2258</v>
      </c>
      <c r="C1767" s="9"/>
      <c r="D1767" s="9" t="s">
        <v>80</v>
      </c>
      <c r="E1767" s="38">
        <v>658</v>
      </c>
      <c r="F1767" s="39">
        <v>0</v>
      </c>
      <c r="G1767" s="40"/>
      <c r="H1767" s="41"/>
      <c r="I1767" s="40">
        <v>195.2326287841945</v>
      </c>
      <c r="J1767" s="41"/>
      <c r="K1767" s="9" t="s">
        <v>2569</v>
      </c>
    </row>
    <row r="1768" spans="1:11" x14ac:dyDescent="0.2">
      <c r="A1768" s="9" t="s">
        <v>58</v>
      </c>
      <c r="B1768" s="9" t="s">
        <v>2570</v>
      </c>
      <c r="C1768" s="9"/>
      <c r="D1768" s="9" t="s">
        <v>82</v>
      </c>
      <c r="E1768" s="38">
        <v>1392</v>
      </c>
      <c r="F1768" s="39">
        <v>1086443</v>
      </c>
      <c r="G1768" s="40">
        <v>780.49066091954023</v>
      </c>
      <c r="H1768" s="41">
        <v>1.500260912980257E-2</v>
      </c>
      <c r="I1768" s="40">
        <v>120.6146048805747</v>
      </c>
      <c r="J1768" s="41">
        <v>0.15453689700588069</v>
      </c>
      <c r="K1768" s="9" t="s">
        <v>2571</v>
      </c>
    </row>
    <row r="1769" spans="1:11" x14ac:dyDescent="0.2">
      <c r="A1769" s="9" t="s">
        <v>58</v>
      </c>
      <c r="B1769" s="9" t="s">
        <v>339</v>
      </c>
      <c r="C1769" s="9"/>
      <c r="D1769" s="9" t="s">
        <v>80</v>
      </c>
      <c r="E1769" s="38">
        <v>582</v>
      </c>
      <c r="F1769" s="39">
        <v>943743</v>
      </c>
      <c r="G1769" s="40">
        <v>1621.551546391752</v>
      </c>
      <c r="H1769" s="41"/>
      <c r="I1769" s="40">
        <v>290.6878177766323</v>
      </c>
      <c r="J1769" s="41">
        <v>0.17926523422796251</v>
      </c>
      <c r="K1769" s="9" t="s">
        <v>2572</v>
      </c>
    </row>
    <row r="1770" spans="1:11" x14ac:dyDescent="0.2">
      <c r="A1770" s="9" t="s">
        <v>58</v>
      </c>
      <c r="B1770" s="9" t="s">
        <v>341</v>
      </c>
      <c r="C1770" s="9"/>
      <c r="D1770" s="9" t="s">
        <v>80</v>
      </c>
      <c r="E1770" s="38">
        <v>992</v>
      </c>
      <c r="F1770" s="39">
        <v>1441007</v>
      </c>
      <c r="G1770" s="40">
        <v>1452.6280241935481</v>
      </c>
      <c r="H1770" s="41">
        <v>5.6918999705619103E-2</v>
      </c>
      <c r="I1770" s="40">
        <v>129.33127006774191</v>
      </c>
      <c r="J1770" s="41">
        <v>8.9032613934005883E-2</v>
      </c>
      <c r="K1770" s="9" t="s">
        <v>2573</v>
      </c>
    </row>
    <row r="1771" spans="1:11" x14ac:dyDescent="0.2">
      <c r="A1771" s="9" t="s">
        <v>58</v>
      </c>
      <c r="B1771" s="9" t="s">
        <v>343</v>
      </c>
      <c r="C1771" s="9"/>
      <c r="D1771" s="9" t="s">
        <v>79</v>
      </c>
      <c r="E1771" s="38">
        <v>5500</v>
      </c>
      <c r="F1771" s="39">
        <v>7657927</v>
      </c>
      <c r="G1771" s="40">
        <v>1392.3503636363639</v>
      </c>
      <c r="H1771" s="41">
        <v>0.20411223941899109</v>
      </c>
      <c r="I1771" s="40">
        <v>115.7149018181818</v>
      </c>
      <c r="J1771" s="41">
        <v>8.3107603402330685E-2</v>
      </c>
      <c r="K1771" s="9" t="s">
        <v>2574</v>
      </c>
    </row>
    <row r="1772" spans="1:11" x14ac:dyDescent="0.2">
      <c r="A1772" s="9" t="s">
        <v>58</v>
      </c>
      <c r="B1772" s="9" t="s">
        <v>725</v>
      </c>
      <c r="C1772" s="9"/>
      <c r="D1772" s="9" t="s">
        <v>77</v>
      </c>
      <c r="E1772" s="38">
        <v>4550</v>
      </c>
      <c r="F1772" s="39">
        <v>2019146</v>
      </c>
      <c r="G1772" s="40">
        <v>443.76835164835171</v>
      </c>
      <c r="H1772" s="41">
        <v>0.99603467301434268</v>
      </c>
      <c r="I1772" s="40">
        <v>85.469344967032967</v>
      </c>
      <c r="J1772" s="41">
        <v>0.19259900948222661</v>
      </c>
      <c r="K1772" s="9" t="s">
        <v>2575</v>
      </c>
    </row>
    <row r="1773" spans="1:11" x14ac:dyDescent="0.2">
      <c r="A1773" s="9" t="s">
        <v>58</v>
      </c>
      <c r="B1773" s="9" t="s">
        <v>727</v>
      </c>
      <c r="C1773" s="9"/>
      <c r="D1773" s="9" t="s">
        <v>77</v>
      </c>
      <c r="E1773" s="38">
        <v>4701</v>
      </c>
      <c r="F1773" s="39">
        <v>4383601</v>
      </c>
      <c r="G1773" s="40">
        <v>932.48266326313546</v>
      </c>
      <c r="H1773" s="41">
        <v>0.71768237538224267</v>
      </c>
      <c r="I1773" s="40">
        <v>113.18371411080621</v>
      </c>
      <c r="J1773" s="41">
        <v>0.1213788937530811</v>
      </c>
      <c r="K1773" s="9" t="s">
        <v>2576</v>
      </c>
    </row>
    <row r="1774" spans="1:11" x14ac:dyDescent="0.2">
      <c r="A1774" s="9" t="s">
        <v>58</v>
      </c>
      <c r="B1774" s="9" t="s">
        <v>2577</v>
      </c>
      <c r="C1774" s="9"/>
      <c r="D1774" s="9" t="s">
        <v>81</v>
      </c>
      <c r="E1774" s="38">
        <v>2026</v>
      </c>
      <c r="F1774" s="39">
        <v>319241</v>
      </c>
      <c r="G1774" s="40">
        <v>157.57206317867721</v>
      </c>
      <c r="H1774" s="41"/>
      <c r="I1774" s="40">
        <v>67.107729421520233</v>
      </c>
      <c r="J1774" s="41">
        <v>0.42588596016175873</v>
      </c>
      <c r="K1774" s="9" t="s">
        <v>2578</v>
      </c>
    </row>
    <row r="1775" spans="1:11" x14ac:dyDescent="0.2">
      <c r="A1775" s="9" t="s">
        <v>58</v>
      </c>
      <c r="B1775" s="9" t="s">
        <v>530</v>
      </c>
      <c r="C1775" s="9"/>
      <c r="D1775" s="9" t="s">
        <v>77</v>
      </c>
      <c r="E1775" s="38">
        <v>2644</v>
      </c>
      <c r="F1775" s="39">
        <v>887927</v>
      </c>
      <c r="G1775" s="40">
        <v>335.82715582450828</v>
      </c>
      <c r="H1775" s="41">
        <v>-2.083019782091227E-2</v>
      </c>
      <c r="I1775" s="40">
        <v>54.56653548078669</v>
      </c>
      <c r="J1775" s="41">
        <v>0.16248398777286871</v>
      </c>
      <c r="K1775" s="9" t="s">
        <v>2579</v>
      </c>
    </row>
    <row r="1776" spans="1:11" x14ac:dyDescent="0.2">
      <c r="A1776" s="9" t="s">
        <v>58</v>
      </c>
      <c r="B1776" s="9" t="s">
        <v>355</v>
      </c>
      <c r="C1776" s="9"/>
      <c r="D1776" s="9" t="s">
        <v>82</v>
      </c>
      <c r="E1776" s="38">
        <v>2200</v>
      </c>
      <c r="F1776" s="39">
        <v>1428294</v>
      </c>
      <c r="G1776" s="40">
        <v>649.22454545454548</v>
      </c>
      <c r="H1776" s="41">
        <v>0.33839304189370539</v>
      </c>
      <c r="I1776" s="40">
        <v>112.5113636363636</v>
      </c>
      <c r="J1776" s="41">
        <v>0.1733011550843174</v>
      </c>
      <c r="K1776" s="9" t="s">
        <v>2580</v>
      </c>
    </row>
    <row r="1777" spans="1:11" x14ac:dyDescent="0.2">
      <c r="A1777" s="9" t="s">
        <v>58</v>
      </c>
      <c r="B1777" s="9" t="s">
        <v>2581</v>
      </c>
      <c r="C1777" s="9"/>
      <c r="D1777" s="9" t="s">
        <v>76</v>
      </c>
      <c r="E1777" s="38">
        <v>2191</v>
      </c>
      <c r="F1777" s="39">
        <v>528803</v>
      </c>
      <c r="G1777" s="40">
        <v>241.35235052487451</v>
      </c>
      <c r="H1777" s="41">
        <v>0.1210055922768071</v>
      </c>
      <c r="I1777" s="40">
        <v>42.697380181926057</v>
      </c>
      <c r="J1777" s="41">
        <v>0.1769089055444088</v>
      </c>
      <c r="K1777" s="9" t="s">
        <v>2582</v>
      </c>
    </row>
    <row r="1778" spans="1:11" x14ac:dyDescent="0.2">
      <c r="A1778" s="9" t="s">
        <v>58</v>
      </c>
      <c r="B1778" s="9" t="s">
        <v>2583</v>
      </c>
      <c r="C1778" s="9"/>
      <c r="D1778" s="9" t="s">
        <v>76</v>
      </c>
      <c r="E1778" s="38">
        <v>2182</v>
      </c>
      <c r="F1778" s="39">
        <v>0</v>
      </c>
      <c r="G1778" s="40"/>
      <c r="H1778" s="41"/>
      <c r="I1778" s="40">
        <v>73.841608615948672</v>
      </c>
      <c r="J1778" s="41"/>
      <c r="K1778" s="9" t="s">
        <v>2584</v>
      </c>
    </row>
    <row r="1779" spans="1:11" x14ac:dyDescent="0.2">
      <c r="A1779" s="9" t="s">
        <v>58</v>
      </c>
      <c r="B1779" s="9" t="s">
        <v>2585</v>
      </c>
      <c r="C1779" s="9"/>
      <c r="D1779" s="9" t="s">
        <v>76</v>
      </c>
      <c r="E1779" s="38">
        <v>3900</v>
      </c>
      <c r="F1779" s="39">
        <v>668104</v>
      </c>
      <c r="G1779" s="40">
        <v>171.30871794871791</v>
      </c>
      <c r="H1779" s="41"/>
      <c r="I1779" s="40">
        <v>42.093243566666672</v>
      </c>
      <c r="J1779" s="41">
        <v>0.24571571179037999</v>
      </c>
      <c r="K1779" s="9" t="s">
        <v>2586</v>
      </c>
    </row>
    <row r="1780" spans="1:11" x14ac:dyDescent="0.2">
      <c r="A1780" s="9" t="s">
        <v>58</v>
      </c>
      <c r="B1780" s="9" t="s">
        <v>357</v>
      </c>
      <c r="C1780" s="9"/>
      <c r="D1780" s="9" t="s">
        <v>76</v>
      </c>
      <c r="E1780" s="38">
        <v>1140</v>
      </c>
      <c r="F1780" s="39">
        <v>589211</v>
      </c>
      <c r="G1780" s="40">
        <v>516.85175438596491</v>
      </c>
      <c r="H1780" s="41">
        <v>-0.11606445156033619</v>
      </c>
      <c r="I1780" s="40">
        <v>123.07641962105259</v>
      </c>
      <c r="J1780" s="41">
        <v>0.2381271197720341</v>
      </c>
      <c r="K1780" s="9" t="s">
        <v>2587</v>
      </c>
    </row>
    <row r="1781" spans="1:11" x14ac:dyDescent="0.2">
      <c r="A1781" s="9" t="s">
        <v>58</v>
      </c>
      <c r="B1781" s="9" t="s">
        <v>357</v>
      </c>
      <c r="C1781" s="9"/>
      <c r="D1781" s="9" t="s">
        <v>76</v>
      </c>
      <c r="E1781" s="38">
        <v>586</v>
      </c>
      <c r="F1781" s="39">
        <v>589211</v>
      </c>
      <c r="G1781" s="40">
        <v>1005.4795221843</v>
      </c>
      <c r="H1781" s="41">
        <v>-0.11606445156033619</v>
      </c>
      <c r="I1781" s="40">
        <v>186.72520453583621</v>
      </c>
      <c r="J1781" s="41">
        <v>0.18570761553670931</v>
      </c>
      <c r="K1781" s="9" t="s">
        <v>2587</v>
      </c>
    </row>
    <row r="1782" spans="1:11" x14ac:dyDescent="0.2">
      <c r="A1782" s="9" t="s">
        <v>58</v>
      </c>
      <c r="B1782" s="9" t="s">
        <v>1038</v>
      </c>
      <c r="C1782" s="9"/>
      <c r="D1782" s="9" t="s">
        <v>80</v>
      </c>
      <c r="E1782" s="38">
        <v>603</v>
      </c>
      <c r="F1782" s="39">
        <v>282634</v>
      </c>
      <c r="G1782" s="40">
        <v>468.71310116086238</v>
      </c>
      <c r="H1782" s="41">
        <v>1.1176702085792989E-2</v>
      </c>
      <c r="I1782" s="40">
        <v>129.23814230182421</v>
      </c>
      <c r="J1782" s="41">
        <v>0.27572974167297643</v>
      </c>
      <c r="K1782" s="9" t="s">
        <v>2588</v>
      </c>
    </row>
    <row r="1783" spans="1:11" x14ac:dyDescent="0.2">
      <c r="A1783" s="9" t="s">
        <v>58</v>
      </c>
      <c r="B1783" s="9" t="s">
        <v>2281</v>
      </c>
      <c r="C1783" s="9"/>
      <c r="D1783" s="9" t="s">
        <v>81</v>
      </c>
      <c r="E1783" s="38">
        <v>7801</v>
      </c>
      <c r="F1783" s="39">
        <v>3507398</v>
      </c>
      <c r="G1783" s="40">
        <v>449.60876810665297</v>
      </c>
      <c r="H1783" s="41">
        <v>-0.16759193422372931</v>
      </c>
      <c r="I1783" s="40">
        <v>44.450657607998977</v>
      </c>
      <c r="J1783" s="41">
        <v>9.8865192943600924E-2</v>
      </c>
      <c r="K1783" s="9" t="s">
        <v>2589</v>
      </c>
    </row>
    <row r="1784" spans="1:11" x14ac:dyDescent="0.2">
      <c r="A1784" s="9" t="s">
        <v>58</v>
      </c>
      <c r="B1784" s="9" t="s">
        <v>365</v>
      </c>
      <c r="C1784" s="9"/>
      <c r="D1784" s="9" t="s">
        <v>81</v>
      </c>
      <c r="E1784" s="38">
        <v>10047</v>
      </c>
      <c r="F1784" s="39">
        <v>13032632</v>
      </c>
      <c r="G1784" s="40">
        <v>1297.1665173683691</v>
      </c>
      <c r="H1784" s="41">
        <v>0.2185330080989086</v>
      </c>
      <c r="I1784" s="40">
        <v>76.099215686274505</v>
      </c>
      <c r="J1784" s="41">
        <v>5.8665726155699011E-2</v>
      </c>
      <c r="K1784" s="9" t="s">
        <v>2590</v>
      </c>
    </row>
    <row r="1785" spans="1:11" x14ac:dyDescent="0.2">
      <c r="A1785" s="9" t="s">
        <v>58</v>
      </c>
      <c r="B1785" s="9" t="s">
        <v>550</v>
      </c>
      <c r="C1785" s="9"/>
      <c r="D1785" s="9" t="s">
        <v>76</v>
      </c>
      <c r="E1785" s="38">
        <v>4125</v>
      </c>
      <c r="F1785" s="39">
        <v>1105386</v>
      </c>
      <c r="G1785" s="40">
        <v>267.97236363636358</v>
      </c>
      <c r="H1785" s="41">
        <v>-0.28966797089922902</v>
      </c>
      <c r="I1785" s="40">
        <v>48.591013287878788</v>
      </c>
      <c r="J1785" s="41">
        <v>0.18132844980169821</v>
      </c>
      <c r="K1785" s="9" t="s">
        <v>2591</v>
      </c>
    </row>
    <row r="1786" spans="1:11" x14ac:dyDescent="0.2">
      <c r="A1786" s="9" t="s">
        <v>58</v>
      </c>
      <c r="B1786" s="9" t="s">
        <v>2592</v>
      </c>
      <c r="C1786" s="9"/>
      <c r="D1786" s="9" t="s">
        <v>84</v>
      </c>
      <c r="E1786" s="38">
        <v>1200</v>
      </c>
      <c r="F1786" s="39">
        <v>167084</v>
      </c>
      <c r="G1786" s="40">
        <v>139.23666666666671</v>
      </c>
      <c r="H1786" s="41">
        <v>-0.54579336104322584</v>
      </c>
      <c r="I1786" s="40">
        <v>91.455333333333328</v>
      </c>
      <c r="J1786" s="41">
        <v>0.65683368844413581</v>
      </c>
      <c r="K1786" s="9" t="s">
        <v>2593</v>
      </c>
    </row>
    <row r="1787" spans="1:11" x14ac:dyDescent="0.2">
      <c r="A1787" s="9" t="s">
        <v>58</v>
      </c>
      <c r="B1787" s="9" t="s">
        <v>367</v>
      </c>
      <c r="C1787" s="9"/>
      <c r="D1787" s="9" t="s">
        <v>76</v>
      </c>
      <c r="E1787" s="38">
        <v>8505</v>
      </c>
      <c r="F1787" s="39">
        <v>3827865</v>
      </c>
      <c r="G1787" s="40">
        <v>450.07231040564369</v>
      </c>
      <c r="H1787" s="41">
        <v>-0.1654364177684059</v>
      </c>
      <c r="I1787" s="40">
        <v>86.134871252204576</v>
      </c>
      <c r="J1787" s="41">
        <v>0.19138007218122899</v>
      </c>
      <c r="K1787" s="9" t="s">
        <v>2594</v>
      </c>
    </row>
    <row r="1788" spans="1:11" x14ac:dyDescent="0.2">
      <c r="A1788" s="9" t="s">
        <v>58</v>
      </c>
      <c r="B1788" s="9" t="s">
        <v>2595</v>
      </c>
      <c r="C1788" s="9"/>
      <c r="D1788" s="9" t="s">
        <v>78</v>
      </c>
      <c r="E1788" s="38">
        <v>134</v>
      </c>
      <c r="F1788" s="39">
        <v>128753</v>
      </c>
      <c r="G1788" s="40">
        <v>960.8432835820895</v>
      </c>
      <c r="H1788" s="41">
        <v>2.4664406555149052E-2</v>
      </c>
      <c r="I1788" s="40">
        <v>279.10850665671637</v>
      </c>
      <c r="J1788" s="41">
        <v>0.29048286169642651</v>
      </c>
      <c r="K1788" s="9" t="s">
        <v>2596</v>
      </c>
    </row>
    <row r="1789" spans="1:11" x14ac:dyDescent="0.2">
      <c r="A1789" s="9" t="s">
        <v>58</v>
      </c>
      <c r="B1789" s="9" t="s">
        <v>369</v>
      </c>
      <c r="C1789" s="9"/>
      <c r="D1789" s="9" t="s">
        <v>84</v>
      </c>
      <c r="E1789" s="38">
        <v>1315</v>
      </c>
      <c r="F1789" s="39">
        <v>1345889</v>
      </c>
      <c r="G1789" s="40">
        <v>1023.489733840304</v>
      </c>
      <c r="H1789" s="41">
        <v>-0.50054262207009348</v>
      </c>
      <c r="I1789" s="40">
        <v>126.5967148258555</v>
      </c>
      <c r="J1789" s="41">
        <v>0.1236912405079468</v>
      </c>
      <c r="K1789" s="9" t="s">
        <v>2597</v>
      </c>
    </row>
    <row r="1790" spans="1:11" x14ac:dyDescent="0.2">
      <c r="A1790" s="9" t="s">
        <v>58</v>
      </c>
      <c r="B1790" s="9" t="s">
        <v>2598</v>
      </c>
      <c r="C1790" s="9"/>
      <c r="D1790" s="9" t="s">
        <v>82</v>
      </c>
      <c r="E1790" s="38">
        <v>976</v>
      </c>
      <c r="F1790" s="39">
        <v>183092</v>
      </c>
      <c r="G1790" s="40">
        <v>187.59426229508199</v>
      </c>
      <c r="H1790" s="41">
        <v>-0.17925514620767261</v>
      </c>
      <c r="I1790" s="40">
        <v>87.748196135990625</v>
      </c>
      <c r="J1790" s="41">
        <v>0.46775522376033279</v>
      </c>
      <c r="K1790" s="9" t="s">
        <v>2599</v>
      </c>
    </row>
    <row r="1791" spans="1:11" x14ac:dyDescent="0.2">
      <c r="A1791" s="9" t="s">
        <v>58</v>
      </c>
      <c r="B1791" s="9" t="s">
        <v>371</v>
      </c>
      <c r="C1791" s="9"/>
      <c r="D1791" s="9" t="s">
        <v>76</v>
      </c>
      <c r="E1791" s="38">
        <v>2280</v>
      </c>
      <c r="F1791" s="39">
        <v>906406</v>
      </c>
      <c r="G1791" s="40">
        <v>397.54649122807018</v>
      </c>
      <c r="H1791" s="41">
        <v>-0.30004826422539782</v>
      </c>
      <c r="I1791" s="40">
        <v>105.38475</v>
      </c>
      <c r="J1791" s="41">
        <v>0.26508786349604918</v>
      </c>
      <c r="K1791" s="9" t="s">
        <v>2600</v>
      </c>
    </row>
    <row r="1792" spans="1:11" x14ac:dyDescent="0.2">
      <c r="A1792" s="9" t="s">
        <v>58</v>
      </c>
      <c r="B1792" s="9" t="s">
        <v>2601</v>
      </c>
      <c r="C1792" s="9"/>
      <c r="D1792" s="9" t="s">
        <v>80</v>
      </c>
      <c r="E1792" s="38">
        <v>677</v>
      </c>
      <c r="F1792" s="39">
        <v>0</v>
      </c>
      <c r="G1792" s="40"/>
      <c r="H1792" s="41"/>
      <c r="I1792" s="40">
        <v>113.67722294667649</v>
      </c>
      <c r="J1792" s="41"/>
      <c r="K1792" s="9" t="s">
        <v>2602</v>
      </c>
    </row>
    <row r="1793" spans="1:11" x14ac:dyDescent="0.2">
      <c r="A1793" s="9" t="s">
        <v>58</v>
      </c>
      <c r="B1793" s="9" t="s">
        <v>2603</v>
      </c>
      <c r="C1793" s="9"/>
      <c r="D1793" s="9" t="s">
        <v>80</v>
      </c>
      <c r="E1793" s="38">
        <v>451</v>
      </c>
      <c r="F1793" s="39">
        <v>730533</v>
      </c>
      <c r="G1793" s="40">
        <v>1619.8070953436811</v>
      </c>
      <c r="H1793" s="41"/>
      <c r="I1793" s="40">
        <v>256.05878017294901</v>
      </c>
      <c r="J1793" s="41">
        <v>0.1580797990754696</v>
      </c>
      <c r="K1793" s="9" t="s">
        <v>2604</v>
      </c>
    </row>
    <row r="1794" spans="1:11" x14ac:dyDescent="0.2">
      <c r="A1794" s="9" t="s">
        <v>58</v>
      </c>
      <c r="B1794" s="9" t="s">
        <v>2605</v>
      </c>
      <c r="C1794" s="9"/>
      <c r="D1794" s="9" t="s">
        <v>83</v>
      </c>
      <c r="E1794" s="38">
        <v>2523</v>
      </c>
      <c r="F1794" s="39">
        <v>425400</v>
      </c>
      <c r="G1794" s="40">
        <v>168.60879904875151</v>
      </c>
      <c r="H1794" s="41">
        <v>-0.51528603707024934</v>
      </c>
      <c r="I1794" s="40">
        <v>56.767915109710657</v>
      </c>
      <c r="J1794" s="41">
        <v>0.33668417917677479</v>
      </c>
      <c r="K1794" s="9" t="s">
        <v>2606</v>
      </c>
    </row>
    <row r="1795" spans="1:11" x14ac:dyDescent="0.2">
      <c r="A1795" s="9" t="s">
        <v>58</v>
      </c>
      <c r="B1795" s="9" t="s">
        <v>2607</v>
      </c>
      <c r="C1795" s="9"/>
      <c r="D1795" s="9" t="s">
        <v>83</v>
      </c>
      <c r="E1795" s="38">
        <v>2914</v>
      </c>
      <c r="F1795" s="39">
        <v>0</v>
      </c>
      <c r="G1795" s="40"/>
      <c r="H1795" s="41"/>
      <c r="I1795" s="40">
        <v>75</v>
      </c>
      <c r="J1795" s="41"/>
      <c r="K1795" s="9" t="s">
        <v>2608</v>
      </c>
    </row>
    <row r="1796" spans="1:11" x14ac:dyDescent="0.2">
      <c r="A1796" s="9" t="s">
        <v>58</v>
      </c>
      <c r="B1796" s="9" t="s">
        <v>2609</v>
      </c>
      <c r="C1796" s="9"/>
      <c r="D1796" s="9" t="s">
        <v>83</v>
      </c>
      <c r="E1796" s="38">
        <v>4544</v>
      </c>
      <c r="F1796" s="39">
        <v>0</v>
      </c>
      <c r="G1796" s="40"/>
      <c r="H1796" s="41"/>
      <c r="I1796" s="40">
        <v>75</v>
      </c>
      <c r="J1796" s="41"/>
      <c r="K1796" s="9" t="s">
        <v>2610</v>
      </c>
    </row>
    <row r="1797" spans="1:11" x14ac:dyDescent="0.2">
      <c r="A1797" s="9" t="s">
        <v>58</v>
      </c>
      <c r="B1797" s="9" t="s">
        <v>384</v>
      </c>
      <c r="C1797" s="9"/>
      <c r="D1797" s="9" t="s">
        <v>77</v>
      </c>
      <c r="E1797" s="38">
        <v>3503</v>
      </c>
      <c r="F1797" s="39">
        <v>3768920</v>
      </c>
      <c r="G1797" s="40">
        <v>1075.9120753639741</v>
      </c>
      <c r="H1797" s="41">
        <v>-0.2608745647605536</v>
      </c>
      <c r="I1797" s="40">
        <v>184.15027380245499</v>
      </c>
      <c r="J1797" s="41">
        <v>0.17115736315177821</v>
      </c>
      <c r="K1797" s="9" t="s">
        <v>2611</v>
      </c>
    </row>
    <row r="1798" spans="1:11" x14ac:dyDescent="0.2">
      <c r="A1798" s="9" t="s">
        <v>58</v>
      </c>
      <c r="B1798" s="9" t="s">
        <v>386</v>
      </c>
      <c r="C1798" s="9"/>
      <c r="D1798" s="9" t="s">
        <v>84</v>
      </c>
      <c r="E1798" s="38">
        <v>2621</v>
      </c>
      <c r="F1798" s="39">
        <v>0</v>
      </c>
      <c r="G1798" s="40"/>
      <c r="H1798" s="41"/>
      <c r="I1798" s="40">
        <v>54.929324640251821</v>
      </c>
      <c r="J1798" s="41"/>
      <c r="K1798" s="9" t="s">
        <v>2612</v>
      </c>
    </row>
    <row r="1799" spans="1:11" x14ac:dyDescent="0.2">
      <c r="A1799" s="9" t="s">
        <v>58</v>
      </c>
      <c r="B1799" s="9" t="s">
        <v>388</v>
      </c>
      <c r="C1799" s="9"/>
      <c r="D1799" s="9" t="s">
        <v>76</v>
      </c>
      <c r="E1799" s="38">
        <v>12000</v>
      </c>
      <c r="F1799" s="39">
        <v>6625913</v>
      </c>
      <c r="G1799" s="40">
        <v>552.15941666666663</v>
      </c>
      <c r="H1799" s="41">
        <v>-0.32152005668750799</v>
      </c>
      <c r="I1799" s="40">
        <v>87.245616666666663</v>
      </c>
      <c r="J1799" s="41">
        <v>0.1580080209323606</v>
      </c>
      <c r="K1799" s="9" t="s">
        <v>2613</v>
      </c>
    </row>
    <row r="1800" spans="1:11" x14ac:dyDescent="0.2">
      <c r="A1800" s="9" t="s">
        <v>58</v>
      </c>
      <c r="B1800" s="9" t="s">
        <v>2614</v>
      </c>
      <c r="C1800" s="9"/>
      <c r="D1800" s="9" t="s">
        <v>83</v>
      </c>
      <c r="E1800" s="38">
        <v>2525</v>
      </c>
      <c r="F1800" s="39">
        <v>493416</v>
      </c>
      <c r="G1800" s="40">
        <v>195.4122772277228</v>
      </c>
      <c r="H1800" s="41">
        <v>4.7855811221156667E-2</v>
      </c>
      <c r="I1800" s="40">
        <v>43.501726697029703</v>
      </c>
      <c r="J1800" s="41">
        <v>0.22261511566305109</v>
      </c>
      <c r="K1800" s="9" t="s">
        <v>2615</v>
      </c>
    </row>
    <row r="1801" spans="1:11" x14ac:dyDescent="0.2">
      <c r="A1801" s="9" t="s">
        <v>58</v>
      </c>
      <c r="B1801" s="9" t="s">
        <v>2616</v>
      </c>
      <c r="C1801" s="9"/>
      <c r="D1801" s="9" t="s">
        <v>76</v>
      </c>
      <c r="E1801" s="38">
        <v>2500</v>
      </c>
      <c r="F1801" s="39">
        <v>467841</v>
      </c>
      <c r="G1801" s="40">
        <v>187.13640000000001</v>
      </c>
      <c r="H1801" s="41">
        <v>2.8722667858979731E-2</v>
      </c>
      <c r="I1801" s="40">
        <v>69.192127999999997</v>
      </c>
      <c r="J1801" s="41">
        <v>0.36974168574366079</v>
      </c>
      <c r="K1801" s="9" t="s">
        <v>2617</v>
      </c>
    </row>
    <row r="1802" spans="1:11" x14ac:dyDescent="0.2">
      <c r="A1802" s="9" t="s">
        <v>58</v>
      </c>
      <c r="B1802" s="9" t="s">
        <v>741</v>
      </c>
      <c r="C1802" s="9"/>
      <c r="D1802" s="9" t="s">
        <v>80</v>
      </c>
      <c r="E1802" s="38">
        <v>471</v>
      </c>
      <c r="F1802" s="39">
        <v>805533</v>
      </c>
      <c r="G1802" s="40">
        <v>1710.2611464968149</v>
      </c>
      <c r="H1802" s="41">
        <v>0.31995826054947968</v>
      </c>
      <c r="I1802" s="40">
        <v>369.13475545010618</v>
      </c>
      <c r="J1802" s="41">
        <v>0.21583531626513131</v>
      </c>
      <c r="K1802" s="9" t="s">
        <v>2618</v>
      </c>
    </row>
    <row r="1803" spans="1:11" x14ac:dyDescent="0.2">
      <c r="A1803" s="9" t="s">
        <v>58</v>
      </c>
      <c r="B1803" s="9" t="s">
        <v>741</v>
      </c>
      <c r="C1803" s="9"/>
      <c r="D1803" s="9" t="s">
        <v>80</v>
      </c>
      <c r="E1803" s="38">
        <v>456</v>
      </c>
      <c r="F1803" s="39">
        <v>805533</v>
      </c>
      <c r="G1803" s="40">
        <v>1766.519736842105</v>
      </c>
      <c r="H1803" s="41">
        <v>0.31995826054947968</v>
      </c>
      <c r="I1803" s="40">
        <v>431.07951754385971</v>
      </c>
      <c r="J1803" s="41">
        <v>0.24402756932366521</v>
      </c>
      <c r="K1803" s="9" t="s">
        <v>2618</v>
      </c>
    </row>
    <row r="1804" spans="1:11" x14ac:dyDescent="0.2">
      <c r="A1804" s="9" t="s">
        <v>58</v>
      </c>
      <c r="B1804" s="9" t="s">
        <v>392</v>
      </c>
      <c r="C1804" s="9"/>
      <c r="D1804" s="9" t="s">
        <v>76</v>
      </c>
      <c r="E1804" s="38">
        <v>6176</v>
      </c>
      <c r="F1804" s="39">
        <v>1735755</v>
      </c>
      <c r="G1804" s="40">
        <v>281.04841321243521</v>
      </c>
      <c r="H1804" s="41"/>
      <c r="I1804" s="40">
        <v>45.276248319689117</v>
      </c>
      <c r="J1804" s="41">
        <v>0.16109768349934181</v>
      </c>
      <c r="K1804" s="9" t="s">
        <v>2619</v>
      </c>
    </row>
    <row r="1805" spans="1:11" x14ac:dyDescent="0.2">
      <c r="A1805" s="9" t="s">
        <v>58</v>
      </c>
      <c r="B1805" s="9" t="s">
        <v>2620</v>
      </c>
      <c r="C1805" s="9"/>
      <c r="D1805" s="9" t="s">
        <v>84</v>
      </c>
      <c r="E1805" s="38">
        <v>1277</v>
      </c>
      <c r="F1805" s="39">
        <v>227146</v>
      </c>
      <c r="G1805" s="40">
        <v>177.8747063429914</v>
      </c>
      <c r="H1805" s="41">
        <v>0.19474670993329729</v>
      </c>
      <c r="I1805" s="40">
        <v>85.427611494361784</v>
      </c>
      <c r="J1805" s="41">
        <v>0.48026846115846189</v>
      </c>
      <c r="K1805" s="9" t="s">
        <v>2621</v>
      </c>
    </row>
    <row r="1806" spans="1:11" x14ac:dyDescent="0.2">
      <c r="A1806" s="9" t="s">
        <v>58</v>
      </c>
      <c r="B1806" s="9" t="s">
        <v>2622</v>
      </c>
      <c r="C1806" s="9"/>
      <c r="D1806" s="9" t="s">
        <v>81</v>
      </c>
      <c r="E1806" s="38">
        <v>10001</v>
      </c>
      <c r="F1806" s="39">
        <v>11181292</v>
      </c>
      <c r="G1806" s="40">
        <v>1118.0173982601741</v>
      </c>
      <c r="H1806" s="41">
        <v>0.25308542092732561</v>
      </c>
      <c r="I1806" s="40">
        <v>65.374277499600055</v>
      </c>
      <c r="J1806" s="41">
        <v>5.8473399073514953E-2</v>
      </c>
      <c r="K1806" s="9" t="s">
        <v>2623</v>
      </c>
    </row>
    <row r="1807" spans="1:11" x14ac:dyDescent="0.2">
      <c r="A1807" s="9" t="s">
        <v>58</v>
      </c>
      <c r="B1807" s="9" t="s">
        <v>396</v>
      </c>
      <c r="C1807" s="9"/>
      <c r="D1807" s="9" t="s">
        <v>78</v>
      </c>
      <c r="E1807" s="38">
        <v>1285</v>
      </c>
      <c r="F1807" s="39">
        <v>1376223</v>
      </c>
      <c r="G1807" s="40">
        <v>1070.9906614785989</v>
      </c>
      <c r="H1807" s="41">
        <v>-7.6413282673057192E-2</v>
      </c>
      <c r="I1807" s="40">
        <v>167.155960307393</v>
      </c>
      <c r="J1807" s="41">
        <v>0.1560760203796914</v>
      </c>
      <c r="K1807" s="9" t="s">
        <v>2624</v>
      </c>
    </row>
    <row r="1808" spans="1:11" x14ac:dyDescent="0.2">
      <c r="A1808" s="9" t="s">
        <v>58</v>
      </c>
      <c r="B1808" s="9" t="s">
        <v>398</v>
      </c>
      <c r="C1808" s="9"/>
      <c r="D1808" s="9" t="s">
        <v>76</v>
      </c>
      <c r="E1808" s="38">
        <v>3000</v>
      </c>
      <c r="F1808" s="39">
        <v>2093756</v>
      </c>
      <c r="G1808" s="40">
        <v>697.9186666666667</v>
      </c>
      <c r="H1808" s="41">
        <v>-4.60707789625419E-2</v>
      </c>
      <c r="I1808" s="40">
        <v>114.21301</v>
      </c>
      <c r="J1808" s="41">
        <v>0.1636480229787998</v>
      </c>
      <c r="K1808" s="9" t="s">
        <v>2625</v>
      </c>
    </row>
    <row r="1809" spans="1:11" x14ac:dyDescent="0.2">
      <c r="A1809" s="9" t="s">
        <v>28</v>
      </c>
      <c r="B1809" s="9" t="s">
        <v>1574</v>
      </c>
      <c r="C1809" s="9"/>
      <c r="D1809" s="9" t="s">
        <v>77</v>
      </c>
      <c r="E1809" s="38">
        <v>4800</v>
      </c>
      <c r="F1809" s="39">
        <v>1015519.18</v>
      </c>
      <c r="G1809" s="40">
        <v>211.56649583333331</v>
      </c>
      <c r="H1809" s="41">
        <v>-0.4373584153215464</v>
      </c>
      <c r="I1809" s="40">
        <v>35.358227999999997</v>
      </c>
      <c r="J1809" s="41">
        <v>0.16712583843074241</v>
      </c>
      <c r="K1809" s="9" t="s">
        <v>2626</v>
      </c>
    </row>
    <row r="1810" spans="1:11" x14ac:dyDescent="0.2">
      <c r="A1810" s="9" t="s">
        <v>28</v>
      </c>
      <c r="B1810" s="9" t="s">
        <v>2627</v>
      </c>
      <c r="C1810" s="9"/>
      <c r="D1810" s="9" t="s">
        <v>81</v>
      </c>
      <c r="E1810" s="38">
        <v>1</v>
      </c>
      <c r="F1810" s="39">
        <v>0</v>
      </c>
      <c r="G1810" s="40"/>
      <c r="H1810" s="41"/>
      <c r="I1810" s="40">
        <v>5596.5504000000001</v>
      </c>
      <c r="J1810" s="41"/>
      <c r="K1810" s="9" t="s">
        <v>2628</v>
      </c>
    </row>
    <row r="1811" spans="1:11" x14ac:dyDescent="0.2">
      <c r="A1811" s="9" t="s">
        <v>28</v>
      </c>
      <c r="B1811" s="9" t="s">
        <v>1192</v>
      </c>
      <c r="C1811" s="9"/>
      <c r="D1811" s="9" t="s">
        <v>76</v>
      </c>
      <c r="E1811" s="38">
        <v>6929</v>
      </c>
      <c r="F1811" s="39">
        <v>764640</v>
      </c>
      <c r="G1811" s="40">
        <v>110.35358637610049</v>
      </c>
      <c r="H1811" s="41">
        <v>3.8629225329116113E-2</v>
      </c>
      <c r="I1811" s="40">
        <v>11.035358637610051</v>
      </c>
      <c r="J1811" s="41">
        <v>0.1</v>
      </c>
      <c r="K1811" s="9" t="s">
        <v>2629</v>
      </c>
    </row>
    <row r="1812" spans="1:11" x14ac:dyDescent="0.2">
      <c r="A1812" s="9" t="s">
        <v>28</v>
      </c>
      <c r="B1812" s="9" t="s">
        <v>164</v>
      </c>
      <c r="C1812" s="9"/>
      <c r="D1812" s="9" t="s">
        <v>76</v>
      </c>
      <c r="E1812" s="38">
        <v>4439</v>
      </c>
      <c r="F1812" s="39">
        <v>3263299.48</v>
      </c>
      <c r="G1812" s="40">
        <v>735.14293309303901</v>
      </c>
      <c r="H1812" s="41">
        <v>4.4629497542111797E-2</v>
      </c>
      <c r="I1812" s="40">
        <v>64.322497206578063</v>
      </c>
      <c r="J1812" s="41">
        <v>8.7496586461013381E-2</v>
      </c>
      <c r="K1812" s="9" t="s">
        <v>2630</v>
      </c>
    </row>
    <row r="1813" spans="1:11" x14ac:dyDescent="0.2">
      <c r="A1813" s="9" t="s">
        <v>28</v>
      </c>
      <c r="B1813" s="9" t="s">
        <v>166</v>
      </c>
      <c r="C1813" s="9"/>
      <c r="D1813" s="9" t="s">
        <v>76</v>
      </c>
      <c r="E1813" s="38">
        <v>4014</v>
      </c>
      <c r="F1813" s="39">
        <v>1695185.77</v>
      </c>
      <c r="G1813" s="40">
        <v>422.31832835077228</v>
      </c>
      <c r="H1813" s="41">
        <v>-5.7654049668974743E-2</v>
      </c>
      <c r="I1813" s="40">
        <v>36.899148480318892</v>
      </c>
      <c r="J1813" s="41">
        <v>8.7372832300261702E-2</v>
      </c>
      <c r="K1813" s="9" t="s">
        <v>2631</v>
      </c>
    </row>
    <row r="1814" spans="1:11" x14ac:dyDescent="0.2">
      <c r="A1814" s="9" t="s">
        <v>28</v>
      </c>
      <c r="B1814" s="9" t="s">
        <v>981</v>
      </c>
      <c r="C1814" s="9"/>
      <c r="D1814" s="9" t="s">
        <v>76</v>
      </c>
      <c r="E1814" s="38">
        <v>5843</v>
      </c>
      <c r="F1814" s="39">
        <v>2977894.65</v>
      </c>
      <c r="G1814" s="40">
        <v>509.65166010610989</v>
      </c>
      <c r="H1814" s="41">
        <v>0.119005398982301</v>
      </c>
      <c r="I1814" s="40">
        <v>50.965166010610979</v>
      </c>
      <c r="J1814" s="41">
        <v>9.9999999999999992E-2</v>
      </c>
      <c r="K1814" s="9" t="s">
        <v>2632</v>
      </c>
    </row>
    <row r="1815" spans="1:11" x14ac:dyDescent="0.2">
      <c r="A1815" s="9" t="s">
        <v>28</v>
      </c>
      <c r="B1815" s="9" t="s">
        <v>169</v>
      </c>
      <c r="C1815" s="9"/>
      <c r="D1815" s="9" t="s">
        <v>76</v>
      </c>
      <c r="E1815" s="38">
        <v>8813</v>
      </c>
      <c r="F1815" s="39">
        <v>5851318.0800000001</v>
      </c>
      <c r="G1815" s="40">
        <v>663.94168614546697</v>
      </c>
      <c r="H1815" s="41">
        <v>0.1042023018910373</v>
      </c>
      <c r="I1815" s="40">
        <v>89.093021672529204</v>
      </c>
      <c r="J1815" s="41">
        <v>0.13418802212851161</v>
      </c>
      <c r="K1815" s="9" t="s">
        <v>2633</v>
      </c>
    </row>
    <row r="1816" spans="1:11" x14ac:dyDescent="0.2">
      <c r="A1816" s="9" t="s">
        <v>28</v>
      </c>
      <c r="B1816" s="9" t="s">
        <v>406</v>
      </c>
      <c r="C1816" s="9"/>
      <c r="D1816" s="9" t="s">
        <v>76</v>
      </c>
      <c r="E1816" s="38">
        <v>5000</v>
      </c>
      <c r="F1816" s="39">
        <v>959083.86</v>
      </c>
      <c r="G1816" s="40">
        <v>191.81677199999999</v>
      </c>
      <c r="H1816" s="41">
        <v>0.10641643455413451</v>
      </c>
      <c r="I1816" s="40">
        <v>29.599999919999998</v>
      </c>
      <c r="J1816" s="41">
        <v>0.15431392996228721</v>
      </c>
      <c r="K1816" s="9" t="s">
        <v>2634</v>
      </c>
    </row>
    <row r="1817" spans="1:11" x14ac:dyDescent="0.2">
      <c r="A1817" s="9" t="s">
        <v>28</v>
      </c>
      <c r="B1817" s="9" t="s">
        <v>2635</v>
      </c>
      <c r="C1817" s="9"/>
      <c r="D1817" s="9" t="s">
        <v>79</v>
      </c>
      <c r="E1817" s="38">
        <v>1272</v>
      </c>
      <c r="F1817" s="39">
        <v>381810</v>
      </c>
      <c r="G1817" s="40">
        <v>300.16509433962273</v>
      </c>
      <c r="H1817" s="41">
        <v>0.22773855447994759</v>
      </c>
      <c r="I1817" s="40">
        <v>89.983949056603777</v>
      </c>
      <c r="J1817" s="41">
        <v>0.29978152274691611</v>
      </c>
      <c r="K1817" s="9" t="s">
        <v>2636</v>
      </c>
    </row>
    <row r="1818" spans="1:11" x14ac:dyDescent="0.2">
      <c r="A1818" s="9" t="s">
        <v>28</v>
      </c>
      <c r="B1818" s="9" t="s">
        <v>173</v>
      </c>
      <c r="C1818" s="9"/>
      <c r="D1818" s="9" t="s">
        <v>80</v>
      </c>
      <c r="E1818" s="38">
        <v>190</v>
      </c>
      <c r="F1818" s="39">
        <v>910231.91000000015</v>
      </c>
      <c r="G1818" s="40">
        <v>4790.6942631578959</v>
      </c>
      <c r="H1818" s="41">
        <v>0.1680921314270544</v>
      </c>
      <c r="I1818" s="40">
        <v>605.36080421052634</v>
      </c>
      <c r="J1818" s="41">
        <v>0.1263618112443454</v>
      </c>
      <c r="K1818" s="9" t="s">
        <v>2637</v>
      </c>
    </row>
    <row r="1819" spans="1:11" x14ac:dyDescent="0.2">
      <c r="A1819" s="9" t="s">
        <v>28</v>
      </c>
      <c r="B1819" s="9" t="s">
        <v>1443</v>
      </c>
      <c r="C1819" s="9"/>
      <c r="D1819" s="9" t="s">
        <v>78</v>
      </c>
      <c r="E1819" s="38">
        <v>160</v>
      </c>
      <c r="F1819" s="39">
        <v>323696.64000000001</v>
      </c>
      <c r="G1819" s="40">
        <v>2023.104</v>
      </c>
      <c r="H1819" s="41">
        <v>4.0571715580883082E-3</v>
      </c>
      <c r="I1819" s="40">
        <v>312.50000249999999</v>
      </c>
      <c r="J1819" s="41">
        <v>0.1544656144716238</v>
      </c>
      <c r="K1819" s="9" t="s">
        <v>2638</v>
      </c>
    </row>
    <row r="1820" spans="1:11" x14ac:dyDescent="0.2">
      <c r="A1820" s="9" t="s">
        <v>28</v>
      </c>
      <c r="B1820" s="9" t="s">
        <v>177</v>
      </c>
      <c r="C1820" s="9"/>
      <c r="D1820" s="9" t="s">
        <v>85</v>
      </c>
      <c r="E1820" s="38">
        <v>29742.5</v>
      </c>
      <c r="F1820" s="39">
        <v>0</v>
      </c>
      <c r="G1820" s="40"/>
      <c r="H1820" s="41">
        <v>4.0668711477227219E-2</v>
      </c>
      <c r="I1820" s="40">
        <v>21.854248983777421</v>
      </c>
      <c r="J1820" s="41"/>
      <c r="K1820" s="9" t="s">
        <v>2639</v>
      </c>
    </row>
    <row r="1821" spans="1:11" x14ac:dyDescent="0.2">
      <c r="A1821" s="9" t="s">
        <v>28</v>
      </c>
      <c r="B1821" s="9" t="s">
        <v>2640</v>
      </c>
      <c r="C1821" s="9"/>
      <c r="D1821" s="9" t="s">
        <v>80</v>
      </c>
      <c r="E1821" s="38">
        <v>467</v>
      </c>
      <c r="F1821" s="39">
        <v>223898.96</v>
      </c>
      <c r="G1821" s="40">
        <v>479.44102783725913</v>
      </c>
      <c r="H1821" s="41">
        <v>-8.6970340295576681E-2</v>
      </c>
      <c r="I1821" s="40">
        <v>114.0364860813704</v>
      </c>
      <c r="J1821" s="41">
        <v>0.23785299851325789</v>
      </c>
      <c r="K1821" s="9" t="s">
        <v>2641</v>
      </c>
    </row>
    <row r="1822" spans="1:11" x14ac:dyDescent="0.2">
      <c r="A1822" s="9" t="s">
        <v>28</v>
      </c>
      <c r="B1822" s="9" t="s">
        <v>586</v>
      </c>
      <c r="C1822" s="9"/>
      <c r="D1822" s="9" t="s">
        <v>83</v>
      </c>
      <c r="E1822" s="38">
        <v>1</v>
      </c>
      <c r="F1822" s="39">
        <v>0</v>
      </c>
      <c r="G1822" s="40"/>
      <c r="H1822" s="41"/>
      <c r="I1822" s="40">
        <v>5653.3008</v>
      </c>
      <c r="J1822" s="41"/>
      <c r="K1822" s="9" t="s">
        <v>2642</v>
      </c>
    </row>
    <row r="1823" spans="1:11" x14ac:dyDescent="0.2">
      <c r="A1823" s="9" t="s">
        <v>28</v>
      </c>
      <c r="B1823" s="9" t="s">
        <v>179</v>
      </c>
      <c r="C1823" s="9"/>
      <c r="D1823" s="9" t="s">
        <v>79</v>
      </c>
      <c r="E1823" s="38">
        <v>4893</v>
      </c>
      <c r="F1823" s="39">
        <v>4927719</v>
      </c>
      <c r="G1823" s="40">
        <v>1007.095646842428</v>
      </c>
      <c r="H1823" s="41">
        <v>3.3498398314419003E-2</v>
      </c>
      <c r="I1823" s="40">
        <v>84.684782342121395</v>
      </c>
      <c r="J1823" s="41">
        <v>8.4088122719659958E-2</v>
      </c>
      <c r="K1823" s="9" t="s">
        <v>2643</v>
      </c>
    </row>
    <row r="1824" spans="1:11" x14ac:dyDescent="0.2">
      <c r="A1824" s="9" t="s">
        <v>28</v>
      </c>
      <c r="B1824" s="9" t="s">
        <v>2644</v>
      </c>
      <c r="C1824" s="9"/>
      <c r="D1824" s="9" t="s">
        <v>79</v>
      </c>
      <c r="E1824" s="38">
        <v>1300</v>
      </c>
      <c r="F1824" s="39">
        <v>0</v>
      </c>
      <c r="G1824" s="40"/>
      <c r="H1824" s="41"/>
      <c r="I1824" s="40">
        <v>42.72</v>
      </c>
      <c r="J1824" s="41"/>
      <c r="K1824" s="9" t="s">
        <v>2645</v>
      </c>
    </row>
    <row r="1825" spans="1:11" x14ac:dyDescent="0.2">
      <c r="A1825" s="9" t="s">
        <v>28</v>
      </c>
      <c r="B1825" s="9" t="s">
        <v>1082</v>
      </c>
      <c r="C1825" s="9"/>
      <c r="D1825" s="9" t="s">
        <v>86</v>
      </c>
      <c r="E1825" s="38">
        <v>115000</v>
      </c>
      <c r="F1825" s="39">
        <v>0</v>
      </c>
      <c r="G1825" s="40"/>
      <c r="H1825" s="41">
        <v>-5.6353052939680563E-2</v>
      </c>
      <c r="I1825" s="40">
        <v>1.3630520608695651</v>
      </c>
      <c r="J1825" s="41"/>
      <c r="K1825" s="9" t="s">
        <v>2646</v>
      </c>
    </row>
    <row r="1826" spans="1:11" x14ac:dyDescent="0.2">
      <c r="A1826" s="9" t="s">
        <v>28</v>
      </c>
      <c r="B1826" s="9" t="s">
        <v>1082</v>
      </c>
      <c r="C1826" s="9"/>
      <c r="D1826" s="9" t="s">
        <v>86</v>
      </c>
      <c r="E1826" s="38">
        <v>130875</v>
      </c>
      <c r="F1826" s="39">
        <v>0</v>
      </c>
      <c r="G1826" s="40"/>
      <c r="H1826" s="41"/>
      <c r="I1826" s="40">
        <v>1.1000000000000001</v>
      </c>
      <c r="J1826" s="41"/>
      <c r="K1826" s="9" t="s">
        <v>2646</v>
      </c>
    </row>
    <row r="1827" spans="1:11" x14ac:dyDescent="0.2">
      <c r="A1827" s="9" t="s">
        <v>28</v>
      </c>
      <c r="B1827" s="9" t="s">
        <v>2647</v>
      </c>
      <c r="C1827" s="9"/>
      <c r="D1827" s="9" t="s">
        <v>81</v>
      </c>
      <c r="E1827" s="38">
        <v>475</v>
      </c>
      <c r="F1827" s="39">
        <v>0</v>
      </c>
      <c r="G1827" s="40"/>
      <c r="H1827" s="41">
        <v>0.25390237561264267</v>
      </c>
      <c r="I1827" s="40">
        <v>170.6042096842105</v>
      </c>
      <c r="J1827" s="41"/>
      <c r="K1827" s="9" t="s">
        <v>2648</v>
      </c>
    </row>
    <row r="1828" spans="1:11" x14ac:dyDescent="0.2">
      <c r="A1828" s="9" t="s">
        <v>28</v>
      </c>
      <c r="B1828" s="9" t="s">
        <v>187</v>
      </c>
      <c r="C1828" s="9"/>
      <c r="D1828" s="9" t="s">
        <v>76</v>
      </c>
      <c r="E1828" s="38">
        <v>2075</v>
      </c>
      <c r="F1828" s="39">
        <v>855696.25</v>
      </c>
      <c r="G1828" s="40">
        <v>412.38373493975911</v>
      </c>
      <c r="H1828" s="41">
        <v>7.4090697001570852E-2</v>
      </c>
      <c r="I1828" s="40">
        <v>50.353518072289162</v>
      </c>
      <c r="J1828" s="41">
        <v>0.12210355017916701</v>
      </c>
      <c r="K1828" s="9" t="s">
        <v>2649</v>
      </c>
    </row>
    <row r="1829" spans="1:11" x14ac:dyDescent="0.2">
      <c r="A1829" s="9" t="s">
        <v>28</v>
      </c>
      <c r="B1829" s="9" t="s">
        <v>191</v>
      </c>
      <c r="C1829" s="9"/>
      <c r="D1829" s="9" t="s">
        <v>76</v>
      </c>
      <c r="E1829" s="38">
        <v>5705</v>
      </c>
      <c r="F1829" s="39">
        <v>3058138.89</v>
      </c>
      <c r="G1829" s="40">
        <v>536.045379491674</v>
      </c>
      <c r="H1829" s="41">
        <v>-9.5158105311525229E-2</v>
      </c>
      <c r="I1829" s="40">
        <v>68.368050131463619</v>
      </c>
      <c r="J1829" s="41">
        <v>0.1275415342564771</v>
      </c>
      <c r="K1829" s="9" t="s">
        <v>2650</v>
      </c>
    </row>
    <row r="1830" spans="1:11" x14ac:dyDescent="0.2">
      <c r="A1830" s="9" t="s">
        <v>28</v>
      </c>
      <c r="B1830" s="9" t="s">
        <v>193</v>
      </c>
      <c r="C1830" s="9"/>
      <c r="D1830" s="9" t="s">
        <v>82</v>
      </c>
      <c r="E1830" s="38">
        <v>2515</v>
      </c>
      <c r="F1830" s="39">
        <v>1464128.4</v>
      </c>
      <c r="G1830" s="40">
        <v>582.15840954274347</v>
      </c>
      <c r="H1830" s="41">
        <v>5.4645413302092327E-2</v>
      </c>
      <c r="I1830" s="40">
        <v>99.567729622266398</v>
      </c>
      <c r="J1830" s="41">
        <v>0.17103202150849611</v>
      </c>
      <c r="K1830" s="9" t="s">
        <v>2651</v>
      </c>
    </row>
    <row r="1831" spans="1:11" x14ac:dyDescent="0.2">
      <c r="A1831" s="9" t="s">
        <v>28</v>
      </c>
      <c r="B1831" s="9" t="s">
        <v>2652</v>
      </c>
      <c r="C1831" s="9"/>
      <c r="D1831" s="9" t="s">
        <v>80</v>
      </c>
      <c r="E1831" s="38">
        <v>1120</v>
      </c>
      <c r="F1831" s="39">
        <v>0</v>
      </c>
      <c r="G1831" s="40"/>
      <c r="H1831" s="41">
        <v>-0.33211738091808179</v>
      </c>
      <c r="I1831" s="40">
        <v>86.319393214285725</v>
      </c>
      <c r="J1831" s="41"/>
      <c r="K1831" s="9" t="s">
        <v>2653</v>
      </c>
    </row>
    <row r="1832" spans="1:11" x14ac:dyDescent="0.2">
      <c r="A1832" s="9" t="s">
        <v>28</v>
      </c>
      <c r="B1832" s="9" t="s">
        <v>2654</v>
      </c>
      <c r="C1832" s="9"/>
      <c r="D1832" s="9" t="s">
        <v>84</v>
      </c>
      <c r="E1832" s="38">
        <v>150</v>
      </c>
      <c r="F1832" s="39">
        <v>150500</v>
      </c>
      <c r="G1832" s="40">
        <v>1003.333333333333</v>
      </c>
      <c r="H1832" s="41">
        <v>0.1397923875432526</v>
      </c>
      <c r="I1832" s="40">
        <v>520</v>
      </c>
      <c r="J1832" s="41">
        <v>0.51827242524916939</v>
      </c>
      <c r="K1832" s="9" t="s">
        <v>2655</v>
      </c>
    </row>
    <row r="1833" spans="1:11" x14ac:dyDescent="0.2">
      <c r="A1833" s="9" t="s">
        <v>28</v>
      </c>
      <c r="B1833" s="9" t="s">
        <v>1599</v>
      </c>
      <c r="C1833" s="9"/>
      <c r="D1833" s="9" t="s">
        <v>84</v>
      </c>
      <c r="E1833" s="38">
        <v>200</v>
      </c>
      <c r="F1833" s="39">
        <v>0</v>
      </c>
      <c r="G1833" s="40"/>
      <c r="H1833" s="41"/>
      <c r="I1833" s="40">
        <v>270</v>
      </c>
      <c r="J1833" s="41"/>
      <c r="K1833" s="9" t="s">
        <v>2656</v>
      </c>
    </row>
    <row r="1834" spans="1:11" x14ac:dyDescent="0.2">
      <c r="A1834" s="9" t="s">
        <v>28</v>
      </c>
      <c r="B1834" s="9" t="s">
        <v>2657</v>
      </c>
      <c r="C1834" s="9"/>
      <c r="D1834" s="9" t="s">
        <v>83</v>
      </c>
      <c r="E1834" s="38">
        <v>798</v>
      </c>
      <c r="F1834" s="39">
        <v>600859.22000000009</v>
      </c>
      <c r="G1834" s="40">
        <v>752.95641604010041</v>
      </c>
      <c r="H1834" s="41"/>
      <c r="I1834" s="40">
        <v>104.05</v>
      </c>
      <c r="J1834" s="41">
        <v>0.138188609305188</v>
      </c>
      <c r="K1834" s="9" t="s">
        <v>2658</v>
      </c>
    </row>
    <row r="1835" spans="1:11" x14ac:dyDescent="0.2">
      <c r="A1835" s="9" t="s">
        <v>28</v>
      </c>
      <c r="B1835" s="9" t="s">
        <v>200</v>
      </c>
      <c r="C1835" s="9"/>
      <c r="D1835" s="9" t="s">
        <v>77</v>
      </c>
      <c r="E1835" s="38">
        <v>6487</v>
      </c>
      <c r="F1835" s="39">
        <v>1716614.04</v>
      </c>
      <c r="G1835" s="40">
        <v>264.62371512255282</v>
      </c>
      <c r="H1835" s="41">
        <v>7.4228421129686389E-2</v>
      </c>
      <c r="I1835" s="40">
        <v>43.402273685833208</v>
      </c>
      <c r="J1835" s="41">
        <v>0.16401505687323861</v>
      </c>
      <c r="K1835" s="9" t="s">
        <v>2659</v>
      </c>
    </row>
    <row r="1836" spans="1:11" x14ac:dyDescent="0.2">
      <c r="A1836" s="9" t="s">
        <v>28</v>
      </c>
      <c r="B1836" s="9" t="s">
        <v>202</v>
      </c>
      <c r="C1836" s="9"/>
      <c r="D1836" s="9" t="s">
        <v>81</v>
      </c>
      <c r="E1836" s="38">
        <v>661</v>
      </c>
      <c r="F1836" s="39">
        <v>1577591.32</v>
      </c>
      <c r="G1836" s="40">
        <v>2386.6737065052948</v>
      </c>
      <c r="H1836" s="41">
        <v>-5.1341307696998852E-3</v>
      </c>
      <c r="I1836" s="40">
        <v>247.614043570348</v>
      </c>
      <c r="J1836" s="41">
        <v>0.1037485949149365</v>
      </c>
      <c r="K1836" s="9" t="s">
        <v>2660</v>
      </c>
    </row>
    <row r="1837" spans="1:11" x14ac:dyDescent="0.2">
      <c r="A1837" s="9" t="s">
        <v>28</v>
      </c>
      <c r="B1837" s="9" t="s">
        <v>877</v>
      </c>
      <c r="C1837" s="9"/>
      <c r="D1837" s="9" t="s">
        <v>76</v>
      </c>
      <c r="E1837" s="38">
        <v>5520</v>
      </c>
      <c r="F1837" s="39">
        <v>963660.85000000009</v>
      </c>
      <c r="G1837" s="40">
        <v>174.57624094202899</v>
      </c>
      <c r="H1837" s="41">
        <v>0.2075738805126319</v>
      </c>
      <c r="I1837" s="40">
        <v>17.457624094202899</v>
      </c>
      <c r="J1837" s="41">
        <v>0.1</v>
      </c>
      <c r="K1837" s="9" t="s">
        <v>2661</v>
      </c>
    </row>
    <row r="1838" spans="1:11" x14ac:dyDescent="0.2">
      <c r="A1838" s="9" t="s">
        <v>28</v>
      </c>
      <c r="B1838" s="9" t="s">
        <v>432</v>
      </c>
      <c r="C1838" s="9"/>
      <c r="D1838" s="9" t="s">
        <v>81</v>
      </c>
      <c r="E1838" s="38">
        <v>1434</v>
      </c>
      <c r="F1838" s="39">
        <v>2025426.41</v>
      </c>
      <c r="G1838" s="40">
        <v>1412.4312482566249</v>
      </c>
      <c r="H1838" s="41">
        <v>1.6652708552078101E-2</v>
      </c>
      <c r="I1838" s="40">
        <v>114.40036729428169</v>
      </c>
      <c r="J1838" s="41">
        <v>8.09953528254823E-2</v>
      </c>
      <c r="K1838" s="9" t="s">
        <v>2662</v>
      </c>
    </row>
    <row r="1839" spans="1:11" x14ac:dyDescent="0.2">
      <c r="A1839" s="9" t="s">
        <v>28</v>
      </c>
      <c r="B1839" s="9" t="s">
        <v>1458</v>
      </c>
      <c r="C1839" s="9"/>
      <c r="D1839" s="9" t="s">
        <v>80</v>
      </c>
      <c r="E1839" s="38">
        <v>791</v>
      </c>
      <c r="F1839" s="39">
        <v>1168744.5</v>
      </c>
      <c r="G1839" s="40">
        <v>1477.553097345133</v>
      </c>
      <c r="H1839" s="41">
        <v>0.13009488026325311</v>
      </c>
      <c r="I1839" s="40">
        <v>240.00249823008849</v>
      </c>
      <c r="J1839" s="41">
        <v>0.16243240169258549</v>
      </c>
      <c r="K1839" s="9" t="s">
        <v>2663</v>
      </c>
    </row>
    <row r="1840" spans="1:11" x14ac:dyDescent="0.2">
      <c r="A1840" s="9" t="s">
        <v>28</v>
      </c>
      <c r="B1840" s="9" t="s">
        <v>208</v>
      </c>
      <c r="C1840" s="9"/>
      <c r="D1840" s="9" t="s">
        <v>78</v>
      </c>
      <c r="E1840" s="38">
        <v>1380</v>
      </c>
      <c r="F1840" s="39">
        <v>790896.12</v>
      </c>
      <c r="G1840" s="40">
        <v>573.11313043478265</v>
      </c>
      <c r="H1840" s="41">
        <v>-0.1460510917394244</v>
      </c>
      <c r="I1840" s="40">
        <v>68.773575652173918</v>
      </c>
      <c r="J1840" s="41">
        <v>0.12</v>
      </c>
      <c r="K1840" s="9" t="s">
        <v>2664</v>
      </c>
    </row>
    <row r="1841" spans="1:11" x14ac:dyDescent="0.2">
      <c r="A1841" s="9" t="s">
        <v>28</v>
      </c>
      <c r="B1841" s="9" t="s">
        <v>1609</v>
      </c>
      <c r="C1841" s="9"/>
      <c r="D1841" s="9" t="s">
        <v>83</v>
      </c>
      <c r="E1841" s="38">
        <v>2625</v>
      </c>
      <c r="F1841" s="39">
        <v>457332</v>
      </c>
      <c r="G1841" s="40">
        <v>174.22171428571431</v>
      </c>
      <c r="H1841" s="41">
        <v>7.4757267341557215E-2</v>
      </c>
      <c r="I1841" s="40">
        <v>32.912022857142858</v>
      </c>
      <c r="J1841" s="41">
        <v>0.18890884521529219</v>
      </c>
      <c r="K1841" s="9" t="s">
        <v>2665</v>
      </c>
    </row>
    <row r="1842" spans="1:11" x14ac:dyDescent="0.2">
      <c r="A1842" s="9" t="s">
        <v>28</v>
      </c>
      <c r="B1842" s="9" t="s">
        <v>2666</v>
      </c>
      <c r="C1842" s="9"/>
      <c r="D1842" s="9" t="s">
        <v>76</v>
      </c>
      <c r="E1842" s="38">
        <v>2544</v>
      </c>
      <c r="F1842" s="39">
        <v>608595.71</v>
      </c>
      <c r="G1842" s="40">
        <v>239.2278734276729</v>
      </c>
      <c r="H1842" s="41">
        <v>-4.3311595505883198E-2</v>
      </c>
      <c r="I1842" s="40">
        <v>30.24442783018868</v>
      </c>
      <c r="J1842" s="41">
        <v>0.12642518364120581</v>
      </c>
      <c r="K1842" s="9" t="s">
        <v>2667</v>
      </c>
    </row>
    <row r="1843" spans="1:11" x14ac:dyDescent="0.2">
      <c r="A1843" s="9" t="s">
        <v>28</v>
      </c>
      <c r="B1843" s="9" t="s">
        <v>888</v>
      </c>
      <c r="C1843" s="9"/>
      <c r="D1843" s="9" t="s">
        <v>86</v>
      </c>
      <c r="E1843" s="38">
        <v>92520</v>
      </c>
      <c r="F1843" s="39">
        <v>0</v>
      </c>
      <c r="G1843" s="40"/>
      <c r="H1843" s="41"/>
      <c r="I1843" s="40">
        <v>0.67</v>
      </c>
      <c r="J1843" s="41"/>
      <c r="K1843" s="9" t="s">
        <v>2668</v>
      </c>
    </row>
    <row r="1844" spans="1:11" x14ac:dyDescent="0.2">
      <c r="A1844" s="9" t="s">
        <v>28</v>
      </c>
      <c r="B1844" s="9" t="s">
        <v>888</v>
      </c>
      <c r="C1844" s="9"/>
      <c r="D1844" s="9" t="s">
        <v>86</v>
      </c>
      <c r="E1844" s="38">
        <v>128897</v>
      </c>
      <c r="F1844" s="39">
        <v>0</v>
      </c>
      <c r="G1844" s="40"/>
      <c r="H1844" s="41"/>
      <c r="I1844" s="40">
        <v>0.33960045617818879</v>
      </c>
      <c r="J1844" s="41"/>
      <c r="K1844" s="9" t="s">
        <v>2668</v>
      </c>
    </row>
    <row r="1845" spans="1:11" x14ac:dyDescent="0.2">
      <c r="A1845" s="9" t="s">
        <v>28</v>
      </c>
      <c r="B1845" s="9" t="s">
        <v>1001</v>
      </c>
      <c r="C1845" s="9"/>
      <c r="D1845" s="9" t="s">
        <v>76</v>
      </c>
      <c r="E1845" s="38">
        <v>3108</v>
      </c>
      <c r="F1845" s="39">
        <v>1240540.08</v>
      </c>
      <c r="G1845" s="40">
        <v>399.14416988416991</v>
      </c>
      <c r="H1845" s="41"/>
      <c r="I1845" s="40">
        <v>63.003389189189193</v>
      </c>
      <c r="J1845" s="41">
        <v>0.15784619679518941</v>
      </c>
      <c r="K1845" s="9" t="s">
        <v>2669</v>
      </c>
    </row>
    <row r="1846" spans="1:11" x14ac:dyDescent="0.2">
      <c r="A1846" s="9" t="s">
        <v>28</v>
      </c>
      <c r="B1846" s="9" t="s">
        <v>445</v>
      </c>
      <c r="C1846" s="9"/>
      <c r="D1846" s="9" t="s">
        <v>82</v>
      </c>
      <c r="E1846" s="38">
        <v>4053</v>
      </c>
      <c r="F1846" s="39">
        <v>593148.92999999993</v>
      </c>
      <c r="G1846" s="40">
        <v>146.34811991117689</v>
      </c>
      <c r="H1846" s="41">
        <v>-0.15331067638066051</v>
      </c>
      <c r="I1846" s="40">
        <v>31.77389992598075</v>
      </c>
      <c r="J1846" s="41">
        <v>0.21711177393508921</v>
      </c>
      <c r="K1846" s="9" t="s">
        <v>2670</v>
      </c>
    </row>
    <row r="1847" spans="1:11" x14ac:dyDescent="0.2">
      <c r="A1847" s="9" t="s">
        <v>28</v>
      </c>
      <c r="B1847" s="9" t="s">
        <v>231</v>
      </c>
      <c r="C1847" s="9"/>
      <c r="D1847" s="9" t="s">
        <v>76</v>
      </c>
      <c r="E1847" s="38">
        <v>8148</v>
      </c>
      <c r="F1847" s="39">
        <v>993614.82999999984</v>
      </c>
      <c r="G1847" s="40">
        <v>121.94585542464409</v>
      </c>
      <c r="H1847" s="41">
        <v>-0.31231300038436333</v>
      </c>
      <c r="I1847" s="40">
        <v>14.63350265095729</v>
      </c>
      <c r="J1847" s="41">
        <v>0.12</v>
      </c>
      <c r="K1847" s="9" t="s">
        <v>2671</v>
      </c>
    </row>
    <row r="1848" spans="1:11" x14ac:dyDescent="0.2">
      <c r="A1848" s="9" t="s">
        <v>28</v>
      </c>
      <c r="B1848" s="9" t="s">
        <v>235</v>
      </c>
      <c r="C1848" s="9"/>
      <c r="D1848" s="9" t="s">
        <v>77</v>
      </c>
      <c r="E1848" s="38">
        <v>5450</v>
      </c>
      <c r="F1848" s="39">
        <v>2193178.58</v>
      </c>
      <c r="G1848" s="40">
        <v>402.41808807339447</v>
      </c>
      <c r="H1848" s="41">
        <v>-4.6897896553852909E-3</v>
      </c>
      <c r="I1848" s="40">
        <v>56.177606862385318</v>
      </c>
      <c r="J1848" s="41">
        <v>0.1396001037909097</v>
      </c>
      <c r="K1848" s="9" t="s">
        <v>2672</v>
      </c>
    </row>
    <row r="1849" spans="1:11" x14ac:dyDescent="0.2">
      <c r="A1849" s="9" t="s">
        <v>28</v>
      </c>
      <c r="B1849" s="9" t="s">
        <v>243</v>
      </c>
      <c r="C1849" s="9"/>
      <c r="D1849" s="9" t="s">
        <v>82</v>
      </c>
      <c r="E1849" s="38">
        <v>1500</v>
      </c>
      <c r="F1849" s="39">
        <v>1149576.94</v>
      </c>
      <c r="G1849" s="40">
        <v>766.38462666666658</v>
      </c>
      <c r="H1849" s="41">
        <v>3.90859643912198E-2</v>
      </c>
      <c r="I1849" s="40">
        <v>66.666666399999997</v>
      </c>
      <c r="J1849" s="41">
        <v>8.6988522577705854E-2</v>
      </c>
      <c r="K1849" s="9" t="s">
        <v>2673</v>
      </c>
    </row>
    <row r="1850" spans="1:11" x14ac:dyDescent="0.2">
      <c r="A1850" s="9" t="s">
        <v>28</v>
      </c>
      <c r="B1850" s="9" t="s">
        <v>245</v>
      </c>
      <c r="C1850" s="9"/>
      <c r="D1850" s="9" t="s">
        <v>79</v>
      </c>
      <c r="E1850" s="38">
        <v>992</v>
      </c>
      <c r="F1850" s="39">
        <v>370635.46</v>
      </c>
      <c r="G1850" s="40">
        <v>373.62445564516128</v>
      </c>
      <c r="H1850" s="41">
        <v>-2.865621665804604E-2</v>
      </c>
      <c r="I1850" s="40">
        <v>56.15982963709677</v>
      </c>
      <c r="J1850" s="41">
        <v>0.15031090387304011</v>
      </c>
      <c r="K1850" s="9" t="s">
        <v>2674</v>
      </c>
    </row>
    <row r="1851" spans="1:11" x14ac:dyDescent="0.2">
      <c r="A1851" s="9" t="s">
        <v>28</v>
      </c>
      <c r="B1851" s="9" t="s">
        <v>908</v>
      </c>
      <c r="C1851" s="9"/>
      <c r="D1851" s="9" t="s">
        <v>80</v>
      </c>
      <c r="E1851" s="38">
        <v>800</v>
      </c>
      <c r="F1851" s="39">
        <v>1179467.76</v>
      </c>
      <c r="G1851" s="40">
        <v>1474.3347000000001</v>
      </c>
      <c r="H1851" s="41">
        <v>6.3122574324097611E-2</v>
      </c>
      <c r="I1851" s="40">
        <v>150.180397</v>
      </c>
      <c r="J1851" s="41">
        <v>0.10186316377142859</v>
      </c>
      <c r="K1851" s="9" t="s">
        <v>2675</v>
      </c>
    </row>
    <row r="1852" spans="1:11" x14ac:dyDescent="0.2">
      <c r="A1852" s="9" t="s">
        <v>28</v>
      </c>
      <c r="B1852" s="9" t="s">
        <v>247</v>
      </c>
      <c r="C1852" s="9"/>
      <c r="D1852" s="9" t="s">
        <v>76</v>
      </c>
      <c r="E1852" s="38">
        <v>23231</v>
      </c>
      <c r="F1852" s="39">
        <v>3374601.28</v>
      </c>
      <c r="G1852" s="40">
        <v>145.2628505014851</v>
      </c>
      <c r="H1852" s="41">
        <v>-3.441461769384193E-2</v>
      </c>
      <c r="I1852" s="40">
        <v>16.39142998579484</v>
      </c>
      <c r="J1852" s="41">
        <v>0.112839793031786</v>
      </c>
      <c r="K1852" s="9" t="s">
        <v>2676</v>
      </c>
    </row>
    <row r="1853" spans="1:11" x14ac:dyDescent="0.2">
      <c r="A1853" s="9" t="s">
        <v>28</v>
      </c>
      <c r="B1853" s="9" t="s">
        <v>140</v>
      </c>
      <c r="C1853" s="9"/>
      <c r="D1853" s="9" t="s">
        <v>83</v>
      </c>
      <c r="E1853" s="38">
        <v>6793</v>
      </c>
      <c r="F1853" s="39">
        <v>3344005.72</v>
      </c>
      <c r="G1853" s="40">
        <v>492.27229795377588</v>
      </c>
      <c r="H1853" s="41">
        <v>0.2409989475890979</v>
      </c>
      <c r="I1853" s="40">
        <v>54.149952774915349</v>
      </c>
      <c r="J1853" s="41">
        <v>0.11</v>
      </c>
      <c r="K1853" s="9" t="s">
        <v>2677</v>
      </c>
    </row>
    <row r="1854" spans="1:11" x14ac:dyDescent="0.2">
      <c r="A1854" s="9" t="s">
        <v>28</v>
      </c>
      <c r="B1854" s="9" t="s">
        <v>256</v>
      </c>
      <c r="C1854" s="9"/>
      <c r="D1854" s="9" t="s">
        <v>76</v>
      </c>
      <c r="E1854" s="38">
        <v>1516</v>
      </c>
      <c r="F1854" s="39">
        <v>1315739.25</v>
      </c>
      <c r="G1854" s="40">
        <v>867.90187994722953</v>
      </c>
      <c r="H1854" s="41">
        <v>6.5136021224643154E-2</v>
      </c>
      <c r="I1854" s="40">
        <v>99.171738126649089</v>
      </c>
      <c r="J1854" s="41">
        <v>0.1142660713359429</v>
      </c>
      <c r="K1854" s="9" t="s">
        <v>2678</v>
      </c>
    </row>
    <row r="1855" spans="1:11" x14ac:dyDescent="0.2">
      <c r="A1855" s="9" t="s">
        <v>28</v>
      </c>
      <c r="B1855" s="9" t="s">
        <v>2679</v>
      </c>
      <c r="C1855" s="9"/>
      <c r="D1855" s="9" t="s">
        <v>78</v>
      </c>
      <c r="E1855" s="38">
        <v>1509</v>
      </c>
      <c r="F1855" s="39">
        <v>0</v>
      </c>
      <c r="G1855" s="40"/>
      <c r="H1855" s="41"/>
      <c r="I1855" s="40">
        <v>55.670000000000009</v>
      </c>
      <c r="J1855" s="41"/>
      <c r="K1855" s="9" t="s">
        <v>2680</v>
      </c>
    </row>
    <row r="1856" spans="1:11" x14ac:dyDescent="0.2">
      <c r="A1856" s="9" t="s">
        <v>28</v>
      </c>
      <c r="B1856" s="9" t="s">
        <v>473</v>
      </c>
      <c r="C1856" s="9"/>
      <c r="D1856" s="9" t="s">
        <v>86</v>
      </c>
      <c r="E1856" s="38">
        <v>157799</v>
      </c>
      <c r="F1856" s="39">
        <v>0</v>
      </c>
      <c r="G1856" s="40"/>
      <c r="H1856" s="41">
        <v>-4.1095885156689778E-2</v>
      </c>
      <c r="I1856" s="40">
        <v>0.40000025348703089</v>
      </c>
      <c r="J1856" s="41"/>
      <c r="K1856" s="9" t="s">
        <v>2681</v>
      </c>
    </row>
    <row r="1857" spans="1:11" x14ac:dyDescent="0.2">
      <c r="A1857" s="9" t="s">
        <v>28</v>
      </c>
      <c r="B1857" s="9" t="s">
        <v>479</v>
      </c>
      <c r="C1857" s="9"/>
      <c r="D1857" s="9" t="s">
        <v>77</v>
      </c>
      <c r="E1857" s="38">
        <v>7026</v>
      </c>
      <c r="F1857" s="39">
        <v>3294838.04</v>
      </c>
      <c r="G1857" s="40">
        <v>468.94933674921708</v>
      </c>
      <c r="H1857" s="41">
        <v>-2.5362053515061919E-2</v>
      </c>
      <c r="I1857" s="40">
        <v>82.164201537147747</v>
      </c>
      <c r="J1857" s="41">
        <v>0.17520912196339711</v>
      </c>
      <c r="K1857" s="9" t="s">
        <v>2682</v>
      </c>
    </row>
    <row r="1858" spans="1:11" x14ac:dyDescent="0.2">
      <c r="A1858" s="9" t="s">
        <v>28</v>
      </c>
      <c r="B1858" s="9" t="s">
        <v>2683</v>
      </c>
      <c r="C1858" s="9"/>
      <c r="D1858" s="9" t="s">
        <v>78</v>
      </c>
      <c r="E1858" s="38">
        <v>150</v>
      </c>
      <c r="F1858" s="39">
        <v>80430.430000000008</v>
      </c>
      <c r="G1858" s="40">
        <v>536.20286666666675</v>
      </c>
      <c r="H1858" s="41">
        <v>-0.2180009871627572</v>
      </c>
      <c r="I1858" s="40">
        <v>198.49502000000001</v>
      </c>
      <c r="J1858" s="41">
        <v>0.37018642073652958</v>
      </c>
      <c r="K1858" s="9" t="s">
        <v>2684</v>
      </c>
    </row>
    <row r="1859" spans="1:11" x14ac:dyDescent="0.2">
      <c r="A1859" s="9" t="s">
        <v>28</v>
      </c>
      <c r="B1859" s="9" t="s">
        <v>1123</v>
      </c>
      <c r="C1859" s="9"/>
      <c r="D1859" s="9" t="s">
        <v>76</v>
      </c>
      <c r="E1859" s="38">
        <v>4944</v>
      </c>
      <c r="F1859" s="39">
        <v>1665839.4</v>
      </c>
      <c r="G1859" s="40">
        <v>336.9416262135922</v>
      </c>
      <c r="H1859" s="41">
        <v>0.1033048696714348</v>
      </c>
      <c r="I1859" s="40">
        <v>39.888606067961163</v>
      </c>
      <c r="J1859" s="41">
        <v>0.11838432228220799</v>
      </c>
      <c r="K1859" s="9" t="s">
        <v>2685</v>
      </c>
    </row>
    <row r="1860" spans="1:11" x14ac:dyDescent="0.2">
      <c r="A1860" s="9" t="s">
        <v>28</v>
      </c>
      <c r="B1860" s="9" t="s">
        <v>267</v>
      </c>
      <c r="C1860" s="9"/>
      <c r="D1860" s="9" t="s">
        <v>77</v>
      </c>
      <c r="E1860" s="38">
        <v>2847</v>
      </c>
      <c r="F1860" s="39">
        <v>2443198.9500000002</v>
      </c>
      <c r="G1860" s="40">
        <v>858.16612223393054</v>
      </c>
      <c r="H1860" s="41">
        <v>0.1928737880769151</v>
      </c>
      <c r="I1860" s="40">
        <v>115.0754141201265</v>
      </c>
      <c r="J1860" s="41">
        <v>0.13409456646991441</v>
      </c>
      <c r="K1860" s="9" t="s">
        <v>2686</v>
      </c>
    </row>
    <row r="1861" spans="1:11" x14ac:dyDescent="0.2">
      <c r="A1861" s="9" t="s">
        <v>28</v>
      </c>
      <c r="B1861" s="9" t="s">
        <v>484</v>
      </c>
      <c r="C1861" s="9"/>
      <c r="D1861" s="9" t="s">
        <v>77</v>
      </c>
      <c r="E1861" s="38">
        <v>1537</v>
      </c>
      <c r="F1861" s="39">
        <v>894871.02</v>
      </c>
      <c r="G1861" s="40">
        <v>582.21927130774236</v>
      </c>
      <c r="H1861" s="41">
        <v>9.0089528309862651E-2</v>
      </c>
      <c r="I1861" s="40">
        <v>51</v>
      </c>
      <c r="J1861" s="41">
        <v>8.7595863815100414E-2</v>
      </c>
      <c r="K1861" s="9" t="s">
        <v>2687</v>
      </c>
    </row>
    <row r="1862" spans="1:11" x14ac:dyDescent="0.2">
      <c r="A1862" s="9" t="s">
        <v>28</v>
      </c>
      <c r="B1862" s="9" t="s">
        <v>271</v>
      </c>
      <c r="C1862" s="9"/>
      <c r="D1862" s="9" t="s">
        <v>78</v>
      </c>
      <c r="E1862" s="38">
        <v>1622</v>
      </c>
      <c r="F1862" s="39">
        <v>2323629.65</v>
      </c>
      <c r="G1862" s="40">
        <v>1432.57068434032</v>
      </c>
      <c r="H1862" s="41">
        <v>-0.1645219501410185</v>
      </c>
      <c r="I1862" s="40">
        <v>202.94685425400729</v>
      </c>
      <c r="J1862" s="41">
        <v>0.14166620640255639</v>
      </c>
      <c r="K1862" s="9" t="s">
        <v>2688</v>
      </c>
    </row>
    <row r="1863" spans="1:11" x14ac:dyDescent="0.2">
      <c r="A1863" s="9" t="s">
        <v>28</v>
      </c>
      <c r="B1863" s="9" t="s">
        <v>487</v>
      </c>
      <c r="C1863" s="9"/>
      <c r="D1863" s="9" t="s">
        <v>77</v>
      </c>
      <c r="E1863" s="38">
        <v>2750</v>
      </c>
      <c r="F1863" s="39">
        <v>1091080.42</v>
      </c>
      <c r="G1863" s="40">
        <v>396.75651636363631</v>
      </c>
      <c r="H1863" s="41">
        <v>4.8873579715427717E-2</v>
      </c>
      <c r="I1863" s="40">
        <v>75.135082909090897</v>
      </c>
      <c r="J1863" s="41">
        <v>0.18937328011073651</v>
      </c>
      <c r="K1863" s="9" t="s">
        <v>2689</v>
      </c>
    </row>
    <row r="1864" spans="1:11" x14ac:dyDescent="0.2">
      <c r="A1864" s="9" t="s">
        <v>28</v>
      </c>
      <c r="B1864" s="9" t="s">
        <v>275</v>
      </c>
      <c r="C1864" s="9"/>
      <c r="D1864" s="9" t="s">
        <v>83</v>
      </c>
      <c r="E1864" s="38">
        <v>4037</v>
      </c>
      <c r="F1864" s="39">
        <v>2274892.42</v>
      </c>
      <c r="G1864" s="40">
        <v>563.51063165717119</v>
      </c>
      <c r="H1864" s="41">
        <v>0.13814730173331821</v>
      </c>
      <c r="I1864" s="40">
        <v>52.339147089422838</v>
      </c>
      <c r="J1864" s="41">
        <v>9.2880496212651681E-2</v>
      </c>
      <c r="K1864" s="9" t="s">
        <v>2690</v>
      </c>
    </row>
    <row r="1865" spans="1:11" x14ac:dyDescent="0.2">
      <c r="A1865" s="9" t="s">
        <v>28</v>
      </c>
      <c r="B1865" s="9" t="s">
        <v>277</v>
      </c>
      <c r="C1865" s="9"/>
      <c r="D1865" s="9" t="s">
        <v>76</v>
      </c>
      <c r="E1865" s="38">
        <v>776</v>
      </c>
      <c r="F1865" s="39">
        <v>674222.06999999983</v>
      </c>
      <c r="G1865" s="40">
        <v>868.84287371133996</v>
      </c>
      <c r="H1865" s="41">
        <v>-4.6404437798537923E-2</v>
      </c>
      <c r="I1865" s="40">
        <v>104.2611448453608</v>
      </c>
      <c r="J1865" s="41">
        <v>0.12</v>
      </c>
      <c r="K1865" s="9" t="s">
        <v>2691</v>
      </c>
    </row>
    <row r="1866" spans="1:11" x14ac:dyDescent="0.2">
      <c r="A1866" s="9" t="s">
        <v>28</v>
      </c>
      <c r="B1866" s="9" t="s">
        <v>494</v>
      </c>
      <c r="C1866" s="9"/>
      <c r="D1866" s="9" t="s">
        <v>85</v>
      </c>
      <c r="E1866" s="38">
        <v>3014</v>
      </c>
      <c r="F1866" s="39">
        <v>872083.35999999987</v>
      </c>
      <c r="G1866" s="40">
        <v>289.34418049104181</v>
      </c>
      <c r="H1866" s="41"/>
      <c r="I1866" s="40">
        <v>39.659999999999997</v>
      </c>
      <c r="J1866" s="41">
        <v>0.13706859399312471</v>
      </c>
      <c r="K1866" s="9" t="s">
        <v>2692</v>
      </c>
    </row>
    <row r="1867" spans="1:11" x14ac:dyDescent="0.2">
      <c r="A1867" s="9" t="s">
        <v>28</v>
      </c>
      <c r="B1867" s="9" t="s">
        <v>283</v>
      </c>
      <c r="C1867" s="9"/>
      <c r="D1867" s="9" t="s">
        <v>78</v>
      </c>
      <c r="E1867" s="38">
        <v>919</v>
      </c>
      <c r="F1867" s="39">
        <v>724367.2</v>
      </c>
      <c r="G1867" s="40">
        <v>788.21240478781283</v>
      </c>
      <c r="H1867" s="41">
        <v>0.21715699063381011</v>
      </c>
      <c r="I1867" s="40">
        <v>86.837775843307938</v>
      </c>
      <c r="J1867" s="41">
        <v>0.1101705267715048</v>
      </c>
      <c r="K1867" s="9" t="s">
        <v>2693</v>
      </c>
    </row>
    <row r="1868" spans="1:11" x14ac:dyDescent="0.2">
      <c r="A1868" s="9" t="s">
        <v>28</v>
      </c>
      <c r="B1868" s="9" t="s">
        <v>2388</v>
      </c>
      <c r="C1868" s="9"/>
      <c r="D1868" s="9" t="s">
        <v>81</v>
      </c>
      <c r="E1868" s="38">
        <v>768</v>
      </c>
      <c r="F1868" s="39">
        <v>871970.15</v>
      </c>
      <c r="G1868" s="40">
        <v>1135.3777994791669</v>
      </c>
      <c r="H1868" s="41">
        <v>0.34558326619145879</v>
      </c>
      <c r="I1868" s="40">
        <v>198.59868593749999</v>
      </c>
      <c r="J1868" s="41">
        <v>0.17491859188069689</v>
      </c>
      <c r="K1868" s="9" t="s">
        <v>2694</v>
      </c>
    </row>
    <row r="1869" spans="1:11" x14ac:dyDescent="0.2">
      <c r="A1869" s="9" t="s">
        <v>28</v>
      </c>
      <c r="B1869" s="9" t="s">
        <v>2695</v>
      </c>
      <c r="C1869" s="9"/>
      <c r="D1869" s="9" t="s">
        <v>83</v>
      </c>
      <c r="E1869" s="38">
        <v>3923</v>
      </c>
      <c r="F1869" s="39">
        <v>1072350</v>
      </c>
      <c r="G1869" s="40">
        <v>273.34947744073412</v>
      </c>
      <c r="H1869" s="41">
        <v>9.9224955610490925E-2</v>
      </c>
      <c r="I1869" s="40">
        <v>37.97460015294417</v>
      </c>
      <c r="J1869" s="41">
        <v>0.13892325863757171</v>
      </c>
      <c r="K1869" s="9" t="s">
        <v>2696</v>
      </c>
    </row>
    <row r="1870" spans="1:11" x14ac:dyDescent="0.2">
      <c r="A1870" s="9" t="s">
        <v>28</v>
      </c>
      <c r="B1870" s="9" t="s">
        <v>295</v>
      </c>
      <c r="C1870" s="9"/>
      <c r="D1870" s="9" t="s">
        <v>76</v>
      </c>
      <c r="E1870" s="38">
        <v>4847</v>
      </c>
      <c r="F1870" s="39">
        <v>676322.97</v>
      </c>
      <c r="G1870" s="40">
        <v>139.53434495564269</v>
      </c>
      <c r="H1870" s="41">
        <v>1.9186523537043981E-3</v>
      </c>
      <c r="I1870" s="40">
        <v>15.3487778419641</v>
      </c>
      <c r="J1870" s="41">
        <v>0.10999999926070821</v>
      </c>
      <c r="K1870" s="9" t="s">
        <v>2697</v>
      </c>
    </row>
    <row r="1871" spans="1:11" x14ac:dyDescent="0.2">
      <c r="A1871" s="9" t="s">
        <v>28</v>
      </c>
      <c r="B1871" s="9" t="s">
        <v>2698</v>
      </c>
      <c r="C1871" s="9"/>
      <c r="D1871" s="9" t="s">
        <v>81</v>
      </c>
      <c r="E1871" s="38">
        <v>1</v>
      </c>
      <c r="F1871" s="39">
        <v>0</v>
      </c>
      <c r="G1871" s="40"/>
      <c r="H1871" s="41"/>
      <c r="I1871" s="40">
        <v>5998.5144</v>
      </c>
      <c r="J1871" s="41"/>
      <c r="K1871" s="9" t="s">
        <v>2699</v>
      </c>
    </row>
    <row r="1872" spans="1:11" x14ac:dyDescent="0.2">
      <c r="A1872" s="9" t="s">
        <v>28</v>
      </c>
      <c r="B1872" s="9" t="s">
        <v>1396</v>
      </c>
      <c r="C1872" s="9"/>
      <c r="D1872" s="9" t="s">
        <v>76</v>
      </c>
      <c r="E1872" s="38">
        <v>1</v>
      </c>
      <c r="F1872" s="39">
        <v>0</v>
      </c>
      <c r="G1872" s="40"/>
      <c r="H1872" s="41"/>
      <c r="I1872" s="40">
        <v>6532.8948</v>
      </c>
      <c r="J1872" s="41"/>
      <c r="K1872" s="9" t="s">
        <v>2700</v>
      </c>
    </row>
    <row r="1873" spans="1:11" x14ac:dyDescent="0.2">
      <c r="A1873" s="9" t="s">
        <v>28</v>
      </c>
      <c r="B1873" s="9" t="s">
        <v>510</v>
      </c>
      <c r="C1873" s="9"/>
      <c r="D1873" s="9" t="s">
        <v>81</v>
      </c>
      <c r="E1873" s="38">
        <v>1</v>
      </c>
      <c r="F1873" s="39">
        <v>0</v>
      </c>
      <c r="G1873" s="40"/>
      <c r="H1873" s="41"/>
      <c r="I1873" s="40">
        <v>3123.5916000000002</v>
      </c>
      <c r="J1873" s="41"/>
      <c r="K1873" s="9" t="s">
        <v>2701</v>
      </c>
    </row>
    <row r="1874" spans="1:11" x14ac:dyDescent="0.2">
      <c r="A1874" s="9" t="s">
        <v>28</v>
      </c>
      <c r="B1874" s="9" t="s">
        <v>301</v>
      </c>
      <c r="C1874" s="9"/>
      <c r="D1874" s="9" t="s">
        <v>82</v>
      </c>
      <c r="E1874" s="38">
        <v>2235</v>
      </c>
      <c r="F1874" s="39">
        <v>875354.32</v>
      </c>
      <c r="G1874" s="40">
        <v>391.65741387024599</v>
      </c>
      <c r="H1874" s="41"/>
      <c r="I1874" s="40">
        <v>48.38926174496644</v>
      </c>
      <c r="J1874" s="41">
        <v>0.1235499700281367</v>
      </c>
      <c r="K1874" s="9" t="s">
        <v>2702</v>
      </c>
    </row>
    <row r="1875" spans="1:11" x14ac:dyDescent="0.2">
      <c r="A1875" s="9" t="s">
        <v>28</v>
      </c>
      <c r="B1875" s="9" t="s">
        <v>1927</v>
      </c>
      <c r="C1875" s="9"/>
      <c r="D1875" s="9" t="s">
        <v>80</v>
      </c>
      <c r="E1875" s="38">
        <v>454</v>
      </c>
      <c r="F1875" s="39">
        <v>642936.43000000005</v>
      </c>
      <c r="G1875" s="40">
        <v>1416.1595374449339</v>
      </c>
      <c r="H1875" s="41"/>
      <c r="I1875" s="40">
        <v>167.24750220264309</v>
      </c>
      <c r="J1875" s="41">
        <v>0.1180993368193493</v>
      </c>
      <c r="K1875" s="9" t="s">
        <v>2703</v>
      </c>
    </row>
    <row r="1876" spans="1:11" x14ac:dyDescent="0.2">
      <c r="A1876" s="9" t="s">
        <v>28</v>
      </c>
      <c r="B1876" s="9" t="s">
        <v>710</v>
      </c>
      <c r="C1876" s="9"/>
      <c r="D1876" s="9" t="s">
        <v>76</v>
      </c>
      <c r="E1876" s="38">
        <v>1944</v>
      </c>
      <c r="F1876" s="39">
        <v>587131.46</v>
      </c>
      <c r="G1876" s="40">
        <v>302.02235596707823</v>
      </c>
      <c r="H1876" s="41">
        <v>-2.6306959391728439E-2</v>
      </c>
      <c r="I1876" s="40">
        <v>75.617283950617278</v>
      </c>
      <c r="J1876" s="41">
        <v>0.25036982348041792</v>
      </c>
      <c r="K1876" s="9" t="s">
        <v>2704</v>
      </c>
    </row>
    <row r="1877" spans="1:11" x14ac:dyDescent="0.2">
      <c r="A1877" s="9" t="s">
        <v>28</v>
      </c>
      <c r="B1877" s="9" t="s">
        <v>2400</v>
      </c>
      <c r="C1877" s="9"/>
      <c r="D1877" s="9" t="s">
        <v>81</v>
      </c>
      <c r="E1877" s="38">
        <v>1</v>
      </c>
      <c r="F1877" s="39">
        <v>0</v>
      </c>
      <c r="G1877" s="40"/>
      <c r="H1877" s="41"/>
      <c r="I1877" s="40">
        <v>415.43279999999999</v>
      </c>
      <c r="J1877" s="41"/>
      <c r="K1877" s="9" t="s">
        <v>2705</v>
      </c>
    </row>
    <row r="1878" spans="1:11" x14ac:dyDescent="0.2">
      <c r="A1878" s="9" t="s">
        <v>28</v>
      </c>
      <c r="B1878" s="9" t="s">
        <v>603</v>
      </c>
      <c r="C1878" s="9"/>
      <c r="D1878" s="9" t="s">
        <v>81</v>
      </c>
      <c r="E1878" s="38">
        <v>7000</v>
      </c>
      <c r="F1878" s="39">
        <v>4285464.01</v>
      </c>
      <c r="G1878" s="40">
        <v>612.20914428571427</v>
      </c>
      <c r="H1878" s="41">
        <v>-7.2856404751874909E-2</v>
      </c>
      <c r="I1878" s="40">
        <v>27.626445771428571</v>
      </c>
      <c r="J1878" s="41">
        <v>4.5125830003178581E-2</v>
      </c>
      <c r="K1878" s="9" t="s">
        <v>2706</v>
      </c>
    </row>
    <row r="1879" spans="1:11" x14ac:dyDescent="0.2">
      <c r="A1879" s="9" t="s">
        <v>28</v>
      </c>
      <c r="B1879" s="9" t="s">
        <v>1517</v>
      </c>
      <c r="C1879" s="9"/>
      <c r="D1879" s="9" t="s">
        <v>76</v>
      </c>
      <c r="E1879" s="38">
        <v>7236</v>
      </c>
      <c r="F1879" s="39">
        <v>4606454.62</v>
      </c>
      <c r="G1879" s="40">
        <v>636.60235212824762</v>
      </c>
      <c r="H1879" s="41">
        <v>0.29875895283229659</v>
      </c>
      <c r="I1879" s="40">
        <v>50.105848175787727</v>
      </c>
      <c r="J1879" s="41">
        <v>7.8708236009931654E-2</v>
      </c>
      <c r="K1879" s="9" t="s">
        <v>2707</v>
      </c>
    </row>
    <row r="1880" spans="1:11" x14ac:dyDescent="0.2">
      <c r="A1880" s="9" t="s">
        <v>28</v>
      </c>
      <c r="B1880" s="9" t="s">
        <v>321</v>
      </c>
      <c r="C1880" s="9"/>
      <c r="D1880" s="9" t="s">
        <v>78</v>
      </c>
      <c r="E1880" s="38">
        <v>1488</v>
      </c>
      <c r="F1880" s="39">
        <v>2065342.84</v>
      </c>
      <c r="G1880" s="40">
        <v>1387.999220430107</v>
      </c>
      <c r="H1880" s="41">
        <v>5.4120755542767747E-2</v>
      </c>
      <c r="I1880" s="40">
        <v>126.5531532258065</v>
      </c>
      <c r="J1880" s="41">
        <v>9.1176674570891111E-2</v>
      </c>
      <c r="K1880" s="9" t="s">
        <v>2708</v>
      </c>
    </row>
    <row r="1881" spans="1:11" x14ac:dyDescent="0.2">
      <c r="A1881" s="9" t="s">
        <v>28</v>
      </c>
      <c r="B1881" s="9" t="s">
        <v>2709</v>
      </c>
      <c r="C1881" s="9"/>
      <c r="D1881" s="9" t="s">
        <v>79</v>
      </c>
      <c r="E1881" s="38">
        <v>1077</v>
      </c>
      <c r="F1881" s="39">
        <v>284846.64</v>
      </c>
      <c r="G1881" s="40">
        <v>264.48155988857928</v>
      </c>
      <c r="H1881" s="41">
        <v>3.8517877759839431E-3</v>
      </c>
      <c r="I1881" s="40">
        <v>69.64</v>
      </c>
      <c r="J1881" s="41">
        <v>0.26330758193250942</v>
      </c>
      <c r="K1881" s="9" t="s">
        <v>2710</v>
      </c>
    </row>
    <row r="1882" spans="1:11" x14ac:dyDescent="0.2">
      <c r="A1882" s="9" t="s">
        <v>28</v>
      </c>
      <c r="B1882" s="9" t="s">
        <v>2711</v>
      </c>
      <c r="C1882" s="9"/>
      <c r="D1882" s="9" t="s">
        <v>82</v>
      </c>
      <c r="E1882" s="38">
        <v>1980</v>
      </c>
      <c r="F1882" s="39">
        <v>349177.76</v>
      </c>
      <c r="G1882" s="40">
        <v>176.35240404040411</v>
      </c>
      <c r="H1882" s="41">
        <v>-0.11747634909299461</v>
      </c>
      <c r="I1882" s="40">
        <v>40.591201818181823</v>
      </c>
      <c r="J1882" s="41">
        <v>0.2301709581961921</v>
      </c>
      <c r="K1882" s="9" t="s">
        <v>2712</v>
      </c>
    </row>
    <row r="1883" spans="1:11" x14ac:dyDescent="0.2">
      <c r="A1883" s="9" t="s">
        <v>28</v>
      </c>
      <c r="B1883" s="9" t="s">
        <v>335</v>
      </c>
      <c r="C1883" s="9"/>
      <c r="D1883" s="9" t="s">
        <v>76</v>
      </c>
      <c r="E1883" s="38">
        <v>1490</v>
      </c>
      <c r="F1883" s="39">
        <v>715875</v>
      </c>
      <c r="G1883" s="40">
        <v>480.45302013422821</v>
      </c>
      <c r="H1883" s="41">
        <v>-7.3797741716542228E-2</v>
      </c>
      <c r="I1883" s="40">
        <v>57.654370469798657</v>
      </c>
      <c r="J1883" s="41">
        <v>0.120000016762703</v>
      </c>
      <c r="K1883" s="9" t="s">
        <v>2713</v>
      </c>
    </row>
    <row r="1884" spans="1:11" x14ac:dyDescent="0.2">
      <c r="A1884" s="9" t="s">
        <v>28</v>
      </c>
      <c r="B1884" s="9" t="s">
        <v>520</v>
      </c>
      <c r="C1884" s="9"/>
      <c r="D1884" s="9" t="s">
        <v>77</v>
      </c>
      <c r="E1884" s="38">
        <v>5493</v>
      </c>
      <c r="F1884" s="39">
        <v>2055763.71</v>
      </c>
      <c r="G1884" s="40">
        <v>374.25154014199887</v>
      </c>
      <c r="H1884" s="41">
        <v>-6.6372911153652972E-2</v>
      </c>
      <c r="I1884" s="40">
        <v>56.137731021299842</v>
      </c>
      <c r="J1884" s="41">
        <v>0.15</v>
      </c>
      <c r="K1884" s="9" t="s">
        <v>2714</v>
      </c>
    </row>
    <row r="1885" spans="1:11" x14ac:dyDescent="0.2">
      <c r="A1885" s="9" t="s">
        <v>28</v>
      </c>
      <c r="B1885" s="9" t="s">
        <v>944</v>
      </c>
      <c r="C1885" s="9"/>
      <c r="D1885" s="9" t="s">
        <v>81</v>
      </c>
      <c r="E1885" s="38">
        <v>5959</v>
      </c>
      <c r="F1885" s="39">
        <v>2657155.2799999998</v>
      </c>
      <c r="G1885" s="40">
        <v>445.90623930189628</v>
      </c>
      <c r="H1885" s="41">
        <v>-1.9485242188996992E-2</v>
      </c>
      <c r="I1885" s="40">
        <v>39.882431548917609</v>
      </c>
      <c r="J1885" s="41">
        <v>8.9441295128224504E-2</v>
      </c>
      <c r="K1885" s="9" t="s">
        <v>2715</v>
      </c>
    </row>
    <row r="1886" spans="1:11" x14ac:dyDescent="0.2">
      <c r="A1886" s="9" t="s">
        <v>28</v>
      </c>
      <c r="B1886" s="9" t="s">
        <v>524</v>
      </c>
      <c r="C1886" s="9"/>
      <c r="D1886" s="9" t="s">
        <v>81</v>
      </c>
      <c r="E1886" s="38">
        <v>11284</v>
      </c>
      <c r="F1886" s="39">
        <v>3698763.68</v>
      </c>
      <c r="G1886" s="40">
        <v>327.78834455866718</v>
      </c>
      <c r="H1886" s="41">
        <v>0.1068277346582301</v>
      </c>
      <c r="I1886" s="40">
        <v>27.46528780857852</v>
      </c>
      <c r="J1886" s="41">
        <v>8.3789702301824268E-2</v>
      </c>
      <c r="K1886" s="9" t="s">
        <v>2716</v>
      </c>
    </row>
    <row r="1887" spans="1:11" x14ac:dyDescent="0.2">
      <c r="A1887" s="9" t="s">
        <v>28</v>
      </c>
      <c r="B1887" s="9" t="s">
        <v>1693</v>
      </c>
      <c r="C1887" s="9"/>
      <c r="D1887" s="9" t="s">
        <v>76</v>
      </c>
      <c r="E1887" s="38">
        <v>9844</v>
      </c>
      <c r="F1887" s="39">
        <v>851753.41999999993</v>
      </c>
      <c r="G1887" s="40">
        <v>86.525134091832584</v>
      </c>
      <c r="H1887" s="41">
        <v>-0.249557903352956</v>
      </c>
      <c r="I1887" s="40">
        <v>0.8652513409183259</v>
      </c>
      <c r="J1887" s="41">
        <v>0.01</v>
      </c>
      <c r="K1887" s="9" t="s">
        <v>2717</v>
      </c>
    </row>
    <row r="1888" spans="1:11" x14ac:dyDescent="0.2">
      <c r="A1888" s="9" t="s">
        <v>28</v>
      </c>
      <c r="B1888" s="9" t="s">
        <v>948</v>
      </c>
      <c r="C1888" s="9"/>
      <c r="D1888" s="9" t="s">
        <v>76</v>
      </c>
      <c r="E1888" s="38">
        <v>6551</v>
      </c>
      <c r="F1888" s="39">
        <v>702957.78</v>
      </c>
      <c r="G1888" s="40">
        <v>107.3054159670279</v>
      </c>
      <c r="H1888" s="41">
        <v>-0.63377735265870938</v>
      </c>
      <c r="I1888" s="40">
        <v>10.730541596702791</v>
      </c>
      <c r="J1888" s="41">
        <v>0.1</v>
      </c>
      <c r="K1888" s="9" t="s">
        <v>2718</v>
      </c>
    </row>
    <row r="1889" spans="1:11" x14ac:dyDescent="0.2">
      <c r="A1889" s="9" t="s">
        <v>28</v>
      </c>
      <c r="B1889" s="9" t="s">
        <v>950</v>
      </c>
      <c r="C1889" s="9"/>
      <c r="D1889" s="9" t="s">
        <v>80</v>
      </c>
      <c r="E1889" s="38">
        <v>689</v>
      </c>
      <c r="F1889" s="39">
        <v>1770836.78</v>
      </c>
      <c r="G1889" s="40">
        <v>2570.1549782293182</v>
      </c>
      <c r="H1889" s="41">
        <v>-3.2845263926707523E-2</v>
      </c>
      <c r="I1889" s="40">
        <v>311.68323047895512</v>
      </c>
      <c r="J1889" s="41">
        <v>0.1212702086524316</v>
      </c>
      <c r="K1889" s="9" t="s">
        <v>2719</v>
      </c>
    </row>
    <row r="1890" spans="1:11" x14ac:dyDescent="0.2">
      <c r="A1890" s="9" t="s">
        <v>28</v>
      </c>
      <c r="B1890" s="9" t="s">
        <v>339</v>
      </c>
      <c r="C1890" s="9"/>
      <c r="D1890" s="9" t="s">
        <v>80</v>
      </c>
      <c r="E1890" s="38">
        <v>661</v>
      </c>
      <c r="F1890" s="39">
        <v>638200.74</v>
      </c>
      <c r="G1890" s="40">
        <v>965.50792738275334</v>
      </c>
      <c r="H1890" s="41">
        <v>-3.2070019198473583E-2</v>
      </c>
      <c r="I1890" s="40">
        <v>164.136347806354</v>
      </c>
      <c r="J1890" s="41">
        <v>0.17000000015669051</v>
      </c>
      <c r="K1890" s="9" t="s">
        <v>2720</v>
      </c>
    </row>
    <row r="1891" spans="1:11" x14ac:dyDescent="0.2">
      <c r="A1891" s="9" t="s">
        <v>28</v>
      </c>
      <c r="B1891" s="9" t="s">
        <v>343</v>
      </c>
      <c r="C1891" s="9"/>
      <c r="D1891" s="9" t="s">
        <v>79</v>
      </c>
      <c r="E1891" s="38">
        <v>5370</v>
      </c>
      <c r="F1891" s="39">
        <v>7950898.3300000001</v>
      </c>
      <c r="G1891" s="40">
        <v>1480.6142141527</v>
      </c>
      <c r="H1891" s="41">
        <v>0.15434673327069701</v>
      </c>
      <c r="I1891" s="40">
        <v>100.29509461824949</v>
      </c>
      <c r="J1891" s="41">
        <v>6.7738843555304268E-2</v>
      </c>
      <c r="K1891" s="9" t="s">
        <v>2721</v>
      </c>
    </row>
    <row r="1892" spans="1:11" x14ac:dyDescent="0.2">
      <c r="A1892" s="9" t="s">
        <v>28</v>
      </c>
      <c r="B1892" s="9" t="s">
        <v>1412</v>
      </c>
      <c r="C1892" s="9"/>
      <c r="D1892" s="9" t="s">
        <v>77</v>
      </c>
      <c r="E1892" s="38">
        <v>11096</v>
      </c>
      <c r="F1892" s="39">
        <v>1424792.21</v>
      </c>
      <c r="G1892" s="40">
        <v>128.40593096611391</v>
      </c>
      <c r="H1892" s="41">
        <v>2.7333829886812169E-2</v>
      </c>
      <c r="I1892" s="40">
        <v>14.124652442321549</v>
      </c>
      <c r="J1892" s="41">
        <v>0.11000000028074269</v>
      </c>
      <c r="K1892" s="9" t="s">
        <v>2722</v>
      </c>
    </row>
    <row r="1893" spans="1:11" x14ac:dyDescent="0.2">
      <c r="A1893" s="9" t="s">
        <v>28</v>
      </c>
      <c r="B1893" s="9" t="s">
        <v>351</v>
      </c>
      <c r="C1893" s="9"/>
      <c r="D1893" s="9" t="s">
        <v>85</v>
      </c>
      <c r="E1893" s="38">
        <v>2311</v>
      </c>
      <c r="F1893" s="39">
        <v>2197057.94</v>
      </c>
      <c r="G1893" s="40">
        <v>950.69577672003459</v>
      </c>
      <c r="H1893" s="41">
        <v>-3.7036805210841517E-2</v>
      </c>
      <c r="I1893" s="40">
        <v>94.803373604500223</v>
      </c>
      <c r="J1893" s="41">
        <v>9.9719990270261155E-2</v>
      </c>
      <c r="K1893" s="9" t="s">
        <v>2723</v>
      </c>
    </row>
    <row r="1894" spans="1:11" x14ac:dyDescent="0.2">
      <c r="A1894" s="9" t="s">
        <v>28</v>
      </c>
      <c r="B1894" s="9" t="s">
        <v>2724</v>
      </c>
      <c r="C1894" s="9"/>
      <c r="D1894" s="9" t="s">
        <v>80</v>
      </c>
      <c r="E1894" s="38">
        <v>225</v>
      </c>
      <c r="F1894" s="39">
        <v>378949</v>
      </c>
      <c r="G1894" s="40">
        <v>1684.2177777777781</v>
      </c>
      <c r="H1894" s="41">
        <v>0.11051412720908781</v>
      </c>
      <c r="I1894" s="40">
        <v>181.33333333333329</v>
      </c>
      <c r="J1894" s="41">
        <v>0.10766620310384779</v>
      </c>
      <c r="K1894" s="9" t="s">
        <v>2725</v>
      </c>
    </row>
    <row r="1895" spans="1:11" x14ac:dyDescent="0.2">
      <c r="A1895" s="9" t="s">
        <v>28</v>
      </c>
      <c r="B1895" s="9" t="s">
        <v>355</v>
      </c>
      <c r="C1895" s="9"/>
      <c r="D1895" s="9" t="s">
        <v>82</v>
      </c>
      <c r="E1895" s="38">
        <v>2162</v>
      </c>
      <c r="F1895" s="39">
        <v>1617050.37</v>
      </c>
      <c r="G1895" s="40">
        <v>747.94189176688246</v>
      </c>
      <c r="H1895" s="41">
        <v>-2.1638075942382991E-2</v>
      </c>
      <c r="I1895" s="40">
        <v>106.9454081406105</v>
      </c>
      <c r="J1895" s="41">
        <v>0.14298625243195109</v>
      </c>
      <c r="K1895" s="9" t="s">
        <v>2726</v>
      </c>
    </row>
    <row r="1896" spans="1:11" x14ac:dyDescent="0.2">
      <c r="A1896" s="9" t="s">
        <v>28</v>
      </c>
      <c r="B1896" s="9" t="s">
        <v>538</v>
      </c>
      <c r="C1896" s="9"/>
      <c r="D1896" s="9" t="s">
        <v>80</v>
      </c>
      <c r="E1896" s="38">
        <v>1</v>
      </c>
      <c r="F1896" s="39">
        <v>0</v>
      </c>
      <c r="G1896" s="40"/>
      <c r="H1896" s="41"/>
      <c r="I1896" s="40">
        <v>6697.0475999999999</v>
      </c>
      <c r="J1896" s="41"/>
      <c r="K1896" s="9" t="s">
        <v>2727</v>
      </c>
    </row>
    <row r="1897" spans="1:11" x14ac:dyDescent="0.2">
      <c r="A1897" s="9" t="s">
        <v>28</v>
      </c>
      <c r="B1897" s="9" t="s">
        <v>357</v>
      </c>
      <c r="C1897" s="9"/>
      <c r="D1897" s="9" t="s">
        <v>76</v>
      </c>
      <c r="E1897" s="38">
        <v>715</v>
      </c>
      <c r="F1897" s="39">
        <v>1039336.32</v>
      </c>
      <c r="G1897" s="40">
        <v>1453.6172307692309</v>
      </c>
      <c r="H1897" s="41">
        <v>1.3211668045599119E-2</v>
      </c>
      <c r="I1897" s="40">
        <v>216.53941426573431</v>
      </c>
      <c r="J1897" s="41">
        <v>0.14896591047640859</v>
      </c>
      <c r="K1897" s="9" t="s">
        <v>2728</v>
      </c>
    </row>
    <row r="1898" spans="1:11" x14ac:dyDescent="0.2">
      <c r="A1898" s="9" t="s">
        <v>28</v>
      </c>
      <c r="B1898" s="9" t="s">
        <v>2729</v>
      </c>
      <c r="C1898" s="9"/>
      <c r="D1898" s="9" t="s">
        <v>81</v>
      </c>
      <c r="E1898" s="38">
        <v>1</v>
      </c>
      <c r="F1898" s="39">
        <v>0</v>
      </c>
      <c r="G1898" s="40"/>
      <c r="H1898" s="41"/>
      <c r="I1898" s="40">
        <v>1810.998</v>
      </c>
      <c r="J1898" s="41"/>
      <c r="K1898" s="9" t="s">
        <v>2730</v>
      </c>
    </row>
    <row r="1899" spans="1:11" x14ac:dyDescent="0.2">
      <c r="A1899" s="9" t="s">
        <v>28</v>
      </c>
      <c r="B1899" s="9" t="s">
        <v>1551</v>
      </c>
      <c r="C1899" s="9"/>
      <c r="D1899" s="9" t="s">
        <v>81</v>
      </c>
      <c r="E1899" s="38">
        <v>8860</v>
      </c>
      <c r="F1899" s="39">
        <v>0</v>
      </c>
      <c r="G1899" s="40"/>
      <c r="H1899" s="41"/>
      <c r="I1899" s="40">
        <v>22.121896117381489</v>
      </c>
      <c r="J1899" s="41"/>
      <c r="K1899" s="9" t="s">
        <v>2731</v>
      </c>
    </row>
    <row r="1900" spans="1:11" x14ac:dyDescent="0.2">
      <c r="A1900" s="9" t="s">
        <v>28</v>
      </c>
      <c r="B1900" s="9" t="s">
        <v>365</v>
      </c>
      <c r="C1900" s="9"/>
      <c r="D1900" s="9" t="s">
        <v>81</v>
      </c>
      <c r="E1900" s="38">
        <v>7532</v>
      </c>
      <c r="F1900" s="39">
        <v>6403392.3199999994</v>
      </c>
      <c r="G1900" s="40">
        <v>850.15830058417407</v>
      </c>
      <c r="H1900" s="41">
        <v>-3.179066401107325E-2</v>
      </c>
      <c r="I1900" s="40">
        <v>85.015830058417407</v>
      </c>
      <c r="J1900" s="41">
        <v>0.1</v>
      </c>
      <c r="K1900" s="9" t="s">
        <v>2732</v>
      </c>
    </row>
    <row r="1901" spans="1:11" x14ac:dyDescent="0.2">
      <c r="A1901" s="9" t="s">
        <v>28</v>
      </c>
      <c r="B1901" s="9" t="s">
        <v>550</v>
      </c>
      <c r="C1901" s="9"/>
      <c r="D1901" s="9" t="s">
        <v>76</v>
      </c>
      <c r="E1901" s="38">
        <v>3095</v>
      </c>
      <c r="F1901" s="39">
        <v>812850.09000000008</v>
      </c>
      <c r="G1901" s="40">
        <v>262.6333085621971</v>
      </c>
      <c r="H1901" s="41">
        <v>-3.4843790333058053E-2</v>
      </c>
      <c r="I1901" s="40">
        <v>28.8896639095315</v>
      </c>
      <c r="J1901" s="41">
        <v>0.1099999998769761</v>
      </c>
      <c r="K1901" s="9" t="s">
        <v>2733</v>
      </c>
    </row>
    <row r="1902" spans="1:11" x14ac:dyDescent="0.2">
      <c r="A1902" s="9" t="s">
        <v>28</v>
      </c>
      <c r="B1902" s="9" t="s">
        <v>2734</v>
      </c>
      <c r="C1902" s="9"/>
      <c r="D1902" s="9" t="s">
        <v>81</v>
      </c>
      <c r="E1902" s="38">
        <v>4192</v>
      </c>
      <c r="F1902" s="39">
        <v>0</v>
      </c>
      <c r="G1902" s="40"/>
      <c r="H1902" s="41"/>
      <c r="I1902" s="40">
        <v>24.689885496183209</v>
      </c>
      <c r="J1902" s="41"/>
      <c r="K1902" s="9" t="s">
        <v>2735</v>
      </c>
    </row>
    <row r="1903" spans="1:11" x14ac:dyDescent="0.2">
      <c r="A1903" s="9" t="s">
        <v>28</v>
      </c>
      <c r="B1903" s="9" t="s">
        <v>1050</v>
      </c>
      <c r="C1903" s="9"/>
      <c r="D1903" s="9" t="s">
        <v>77</v>
      </c>
      <c r="E1903" s="38">
        <v>2213</v>
      </c>
      <c r="F1903" s="39">
        <v>1524404</v>
      </c>
      <c r="G1903" s="40">
        <v>688.84048802530504</v>
      </c>
      <c r="H1903" s="41">
        <v>-2.850361485276532E-2</v>
      </c>
      <c r="I1903" s="40">
        <v>76.876292363307726</v>
      </c>
      <c r="J1903" s="41">
        <v>0.1116024590594094</v>
      </c>
      <c r="K1903" s="9" t="s">
        <v>2736</v>
      </c>
    </row>
    <row r="1904" spans="1:11" x14ac:dyDescent="0.2">
      <c r="A1904" s="9" t="s">
        <v>28</v>
      </c>
      <c r="B1904" s="9" t="s">
        <v>384</v>
      </c>
      <c r="C1904" s="9"/>
      <c r="D1904" s="9" t="s">
        <v>77</v>
      </c>
      <c r="E1904" s="38">
        <v>3243</v>
      </c>
      <c r="F1904" s="39">
        <v>797867.4800000001</v>
      </c>
      <c r="G1904" s="40">
        <v>246.0275917360469</v>
      </c>
      <c r="H1904" s="41">
        <v>-0.29120832243757289</v>
      </c>
      <c r="I1904" s="40">
        <v>54.250386308973169</v>
      </c>
      <c r="J1904" s="41">
        <v>0.22050529343544609</v>
      </c>
      <c r="K1904" s="9" t="s">
        <v>2737</v>
      </c>
    </row>
    <row r="1905" spans="1:11" x14ac:dyDescent="0.2">
      <c r="A1905" s="9" t="s">
        <v>28</v>
      </c>
      <c r="B1905" s="9" t="s">
        <v>388</v>
      </c>
      <c r="C1905" s="9"/>
      <c r="D1905" s="9" t="s">
        <v>76</v>
      </c>
      <c r="E1905" s="38">
        <v>8135</v>
      </c>
      <c r="F1905" s="39">
        <v>4512670.51</v>
      </c>
      <c r="G1905" s="40">
        <v>554.72286539643517</v>
      </c>
      <c r="H1905" s="41">
        <v>0.2683951928589165</v>
      </c>
      <c r="I1905" s="40">
        <v>68.838541069452972</v>
      </c>
      <c r="J1905" s="41">
        <v>0.1240953733180932</v>
      </c>
      <c r="K1905" s="9" t="s">
        <v>2738</v>
      </c>
    </row>
    <row r="1906" spans="1:11" x14ac:dyDescent="0.2">
      <c r="A1906" s="9" t="s">
        <v>28</v>
      </c>
      <c r="B1906" s="9" t="s">
        <v>2739</v>
      </c>
      <c r="C1906" s="9"/>
      <c r="D1906" s="9" t="s">
        <v>82</v>
      </c>
      <c r="E1906" s="38">
        <v>7958</v>
      </c>
      <c r="F1906" s="39">
        <v>949643.6100000001</v>
      </c>
      <c r="G1906" s="40">
        <v>119.3319439557678</v>
      </c>
      <c r="H1906" s="41"/>
      <c r="I1906" s="40">
        <v>11.309374214626789</v>
      </c>
      <c r="J1906" s="41">
        <v>9.4772395720116503E-2</v>
      </c>
      <c r="K1906" s="9" t="s">
        <v>2740</v>
      </c>
    </row>
    <row r="1907" spans="1:11" x14ac:dyDescent="0.2">
      <c r="A1907" s="9" t="s">
        <v>28</v>
      </c>
      <c r="B1907" s="9" t="s">
        <v>390</v>
      </c>
      <c r="C1907" s="9"/>
      <c r="D1907" s="9" t="s">
        <v>83</v>
      </c>
      <c r="E1907" s="38">
        <v>4125</v>
      </c>
      <c r="F1907" s="39">
        <v>1734922</v>
      </c>
      <c r="G1907" s="40">
        <v>420.5871515151515</v>
      </c>
      <c r="H1907" s="41">
        <v>-6.3713979957208192E-2</v>
      </c>
      <c r="I1907" s="40">
        <v>44.161650945454547</v>
      </c>
      <c r="J1907" s="41">
        <v>0.1050000000864592</v>
      </c>
      <c r="K1907" s="9" t="s">
        <v>2741</v>
      </c>
    </row>
    <row r="1908" spans="1:11" x14ac:dyDescent="0.2">
      <c r="A1908" s="9" t="s">
        <v>28</v>
      </c>
      <c r="B1908" s="9" t="s">
        <v>1564</v>
      </c>
      <c r="C1908" s="9"/>
      <c r="D1908" s="9" t="s">
        <v>83</v>
      </c>
      <c r="E1908" s="38">
        <v>1</v>
      </c>
      <c r="F1908" s="39">
        <v>0</v>
      </c>
      <c r="G1908" s="40"/>
      <c r="H1908" s="41"/>
      <c r="I1908" s="40">
        <v>52639.08</v>
      </c>
      <c r="J1908" s="41"/>
      <c r="K1908" s="9" t="s">
        <v>2742</v>
      </c>
    </row>
    <row r="1909" spans="1:11" x14ac:dyDescent="0.2">
      <c r="A1909" s="9" t="s">
        <v>28</v>
      </c>
      <c r="B1909" s="9" t="s">
        <v>571</v>
      </c>
      <c r="C1909" s="9"/>
      <c r="D1909" s="9" t="s">
        <v>76</v>
      </c>
      <c r="E1909" s="38">
        <v>2361</v>
      </c>
      <c r="F1909" s="39">
        <v>475057.37999999989</v>
      </c>
      <c r="G1909" s="40">
        <v>201.21024142312581</v>
      </c>
      <c r="H1909" s="41">
        <v>-0.19897074962334299</v>
      </c>
      <c r="I1909" s="40">
        <v>33.729999999999997</v>
      </c>
      <c r="J1909" s="41">
        <v>0.1676356022508271</v>
      </c>
      <c r="K1909" s="9" t="s">
        <v>2743</v>
      </c>
    </row>
    <row r="1910" spans="1:11" x14ac:dyDescent="0.2">
      <c r="A1910" s="9" t="s">
        <v>28</v>
      </c>
      <c r="B1910" s="9" t="s">
        <v>392</v>
      </c>
      <c r="C1910" s="9"/>
      <c r="D1910" s="9" t="s">
        <v>76</v>
      </c>
      <c r="E1910" s="38">
        <v>3528</v>
      </c>
      <c r="F1910" s="39">
        <v>1495941.95</v>
      </c>
      <c r="G1910" s="40">
        <v>424.0198270975057</v>
      </c>
      <c r="H1910" s="41">
        <v>-3.1805084792200927E-2</v>
      </c>
      <c r="I1910" s="40">
        <v>47.222708276643992</v>
      </c>
      <c r="J1910" s="41">
        <v>0.1113691041286729</v>
      </c>
      <c r="K1910" s="9" t="s">
        <v>2744</v>
      </c>
    </row>
    <row r="1911" spans="1:11" x14ac:dyDescent="0.2">
      <c r="A1911" s="9" t="s">
        <v>28</v>
      </c>
      <c r="B1911" s="9" t="s">
        <v>2745</v>
      </c>
      <c r="C1911" s="9"/>
      <c r="D1911" s="9" t="s">
        <v>84</v>
      </c>
      <c r="E1911" s="38">
        <v>468</v>
      </c>
      <c r="F1911" s="39">
        <v>171092.07</v>
      </c>
      <c r="G1911" s="40">
        <v>365.58134615384608</v>
      </c>
      <c r="H1911" s="41">
        <v>-3.2533239698008358E-2</v>
      </c>
      <c r="I1911" s="40">
        <v>84.055923076923079</v>
      </c>
      <c r="J1911" s="41">
        <v>0.22992399355504911</v>
      </c>
      <c r="K1911" s="9" t="s">
        <v>2746</v>
      </c>
    </row>
    <row r="1912" spans="1:11" x14ac:dyDescent="0.2">
      <c r="A1912" s="9" t="s">
        <v>28</v>
      </c>
      <c r="B1912" s="9" t="s">
        <v>2745</v>
      </c>
      <c r="C1912" s="9"/>
      <c r="D1912" s="9" t="s">
        <v>84</v>
      </c>
      <c r="E1912" s="38">
        <v>150</v>
      </c>
      <c r="F1912" s="39">
        <v>0</v>
      </c>
      <c r="G1912" s="40"/>
      <c r="H1912" s="41"/>
      <c r="I1912" s="40">
        <v>328</v>
      </c>
      <c r="J1912" s="41"/>
      <c r="K1912" s="9" t="s">
        <v>2746</v>
      </c>
    </row>
    <row r="1913" spans="1:11" x14ac:dyDescent="0.2">
      <c r="A1913" s="9" t="s">
        <v>28</v>
      </c>
      <c r="B1913" s="9" t="s">
        <v>574</v>
      </c>
      <c r="C1913" s="9"/>
      <c r="D1913" s="9" t="s">
        <v>82</v>
      </c>
      <c r="E1913" s="38">
        <v>1100</v>
      </c>
      <c r="F1913" s="39">
        <v>365272</v>
      </c>
      <c r="G1913" s="40">
        <v>332.06545454545449</v>
      </c>
      <c r="H1913" s="41">
        <v>-0.21361154467144891</v>
      </c>
      <c r="I1913" s="40">
        <v>48.18181854545454</v>
      </c>
      <c r="J1913" s="41">
        <v>0.14509735320528261</v>
      </c>
      <c r="K1913" s="9" t="s">
        <v>2747</v>
      </c>
    </row>
    <row r="1914" spans="1:11" x14ac:dyDescent="0.2">
      <c r="A1914" s="9" t="s">
        <v>28</v>
      </c>
      <c r="B1914" s="9" t="s">
        <v>396</v>
      </c>
      <c r="C1914" s="9"/>
      <c r="D1914" s="9" t="s">
        <v>78</v>
      </c>
      <c r="E1914" s="38">
        <v>1231</v>
      </c>
      <c r="F1914" s="39">
        <v>2522857.9300000002</v>
      </c>
      <c r="G1914" s="40">
        <v>2049.4377985377741</v>
      </c>
      <c r="H1914" s="41">
        <v>-1.6406115348991019E-2</v>
      </c>
      <c r="I1914" s="40">
        <v>182.77967473598699</v>
      </c>
      <c r="J1914" s="41">
        <v>8.9185275525998406E-2</v>
      </c>
      <c r="K1914" s="9" t="s">
        <v>2748</v>
      </c>
    </row>
    <row r="1915" spans="1:11" x14ac:dyDescent="0.2">
      <c r="A1915" s="9" t="s">
        <v>28</v>
      </c>
      <c r="B1915" s="9" t="s">
        <v>1732</v>
      </c>
      <c r="C1915" s="9"/>
      <c r="D1915" s="9" t="s">
        <v>82</v>
      </c>
      <c r="E1915" s="38">
        <v>150</v>
      </c>
      <c r="F1915" s="39">
        <v>49599</v>
      </c>
      <c r="G1915" s="40">
        <v>330.66</v>
      </c>
      <c r="H1915" s="41">
        <v>8.8216884437837415E-2</v>
      </c>
      <c r="I1915" s="40">
        <v>49.598999999999997</v>
      </c>
      <c r="J1915" s="41">
        <v>0.15</v>
      </c>
      <c r="K1915" s="9" t="s">
        <v>2749</v>
      </c>
    </row>
    <row r="1916" spans="1:11" x14ac:dyDescent="0.2">
      <c r="A1916" s="9" t="s">
        <v>28</v>
      </c>
      <c r="B1916" s="9" t="s">
        <v>398</v>
      </c>
      <c r="C1916" s="9"/>
      <c r="D1916" s="9" t="s">
        <v>76</v>
      </c>
      <c r="E1916" s="38">
        <v>2800</v>
      </c>
      <c r="F1916" s="39">
        <v>892374.95</v>
      </c>
      <c r="G1916" s="40">
        <v>318.70533928571427</v>
      </c>
      <c r="H1916" s="41">
        <v>7.8162411351301794E-2</v>
      </c>
      <c r="I1916" s="40">
        <v>49.81</v>
      </c>
      <c r="J1916" s="41">
        <v>0.15628856457703119</v>
      </c>
      <c r="K1916" s="9" t="s">
        <v>2750</v>
      </c>
    </row>
    <row r="1917" spans="1:11" x14ac:dyDescent="0.2">
      <c r="A1917" s="9" t="s">
        <v>40</v>
      </c>
      <c r="B1917" s="9" t="s">
        <v>2751</v>
      </c>
      <c r="C1917" s="9" t="s">
        <v>85</v>
      </c>
      <c r="D1917" s="9" t="s">
        <v>78</v>
      </c>
      <c r="E1917" s="38">
        <v>180</v>
      </c>
      <c r="F1917" s="39">
        <v>44799.18</v>
      </c>
      <c r="G1917" s="40">
        <v>248.8843333333333</v>
      </c>
      <c r="H1917" s="41">
        <v>6.7192010268245839E-2</v>
      </c>
      <c r="I1917" s="40">
        <v>210.99954444444441</v>
      </c>
      <c r="J1917" s="41">
        <v>0.84778154421576457</v>
      </c>
      <c r="K1917" s="9" t="s">
        <v>2752</v>
      </c>
    </row>
    <row r="1918" spans="1:11" x14ac:dyDescent="0.2">
      <c r="A1918" s="9" t="s">
        <v>40</v>
      </c>
      <c r="B1918" s="9" t="s">
        <v>650</v>
      </c>
      <c r="C1918" s="9"/>
      <c r="D1918" s="9" t="s">
        <v>76</v>
      </c>
      <c r="E1918" s="38">
        <v>14887</v>
      </c>
      <c r="F1918" s="39">
        <v>2104130.67</v>
      </c>
      <c r="G1918" s="40">
        <v>141.34014039094509</v>
      </c>
      <c r="H1918" s="41">
        <v>0.1215913225002697</v>
      </c>
      <c r="I1918" s="40">
        <v>9.8938098273661605</v>
      </c>
      <c r="J1918" s="41">
        <v>7.0000000000000007E-2</v>
      </c>
      <c r="K1918" s="9" t="s">
        <v>2753</v>
      </c>
    </row>
    <row r="1919" spans="1:11" x14ac:dyDescent="0.2">
      <c r="A1919" s="9" t="s">
        <v>40</v>
      </c>
      <c r="B1919" s="9" t="s">
        <v>166</v>
      </c>
      <c r="C1919" s="9"/>
      <c r="D1919" s="9" t="s">
        <v>76</v>
      </c>
      <c r="E1919" s="38">
        <v>3962</v>
      </c>
      <c r="F1919" s="39">
        <v>1638417.42</v>
      </c>
      <c r="G1919" s="40">
        <v>413.53291771832409</v>
      </c>
      <c r="H1919" s="41">
        <v>9.2008531706515642E-2</v>
      </c>
      <c r="I1919" s="40">
        <v>46.931396567390209</v>
      </c>
      <c r="J1919" s="41">
        <v>0.1134889015035009</v>
      </c>
      <c r="K1919" s="9" t="s">
        <v>2754</v>
      </c>
    </row>
    <row r="1920" spans="1:11" x14ac:dyDescent="0.2">
      <c r="A1920" s="9" t="s">
        <v>40</v>
      </c>
      <c r="B1920" s="9" t="s">
        <v>981</v>
      </c>
      <c r="C1920" s="9"/>
      <c r="D1920" s="9" t="s">
        <v>76</v>
      </c>
      <c r="E1920" s="38">
        <v>5699</v>
      </c>
      <c r="F1920" s="39">
        <v>2252322.85</v>
      </c>
      <c r="G1920" s="40">
        <v>395.21369538515518</v>
      </c>
      <c r="H1920" s="41">
        <v>7.1965807394743717E-2</v>
      </c>
      <c r="I1920" s="40">
        <v>31.617095630812418</v>
      </c>
      <c r="J1920" s="41">
        <v>0.08</v>
      </c>
      <c r="K1920" s="9" t="s">
        <v>2755</v>
      </c>
    </row>
    <row r="1921" spans="1:11" x14ac:dyDescent="0.2">
      <c r="A1921" s="9" t="s">
        <v>40</v>
      </c>
      <c r="B1921" s="9" t="s">
        <v>169</v>
      </c>
      <c r="C1921" s="9"/>
      <c r="D1921" s="9" t="s">
        <v>76</v>
      </c>
      <c r="E1921" s="38">
        <v>9000</v>
      </c>
      <c r="F1921" s="39">
        <v>6098266.4700000007</v>
      </c>
      <c r="G1921" s="40">
        <v>677.58516333333341</v>
      </c>
      <c r="H1921" s="41">
        <v>0.1454183509273973</v>
      </c>
      <c r="I1921" s="40">
        <v>83.61051706666666</v>
      </c>
      <c r="J1921" s="41">
        <v>0.12339484627341971</v>
      </c>
      <c r="K1921" s="9" t="s">
        <v>2756</v>
      </c>
    </row>
    <row r="1922" spans="1:11" x14ac:dyDescent="0.2">
      <c r="A1922" s="9" t="s">
        <v>40</v>
      </c>
      <c r="B1922" s="9" t="s">
        <v>1439</v>
      </c>
      <c r="C1922" s="9"/>
      <c r="D1922" s="9" t="s">
        <v>83</v>
      </c>
      <c r="E1922" s="38">
        <v>4343</v>
      </c>
      <c r="F1922" s="39">
        <v>0</v>
      </c>
      <c r="G1922" s="40"/>
      <c r="H1922" s="41"/>
      <c r="I1922" s="40">
        <v>49.999999907897767</v>
      </c>
      <c r="J1922" s="41"/>
      <c r="K1922" s="9" t="s">
        <v>2757</v>
      </c>
    </row>
    <row r="1923" spans="1:11" x14ac:dyDescent="0.2">
      <c r="A1923" s="9" t="s">
        <v>40</v>
      </c>
      <c r="B1923" s="9" t="s">
        <v>173</v>
      </c>
      <c r="C1923" s="9"/>
      <c r="D1923" s="9" t="s">
        <v>80</v>
      </c>
      <c r="E1923" s="38">
        <v>200</v>
      </c>
      <c r="F1923" s="39">
        <v>990870.64999999991</v>
      </c>
      <c r="G1923" s="40">
        <v>4954.3532499999992</v>
      </c>
      <c r="H1923" s="41">
        <v>0.1422957607504268</v>
      </c>
      <c r="I1923" s="40">
        <v>693.60945500000003</v>
      </c>
      <c r="J1923" s="41">
        <v>0.14000000000000001</v>
      </c>
      <c r="K1923" s="9" t="s">
        <v>2758</v>
      </c>
    </row>
    <row r="1924" spans="1:11" x14ac:dyDescent="0.2">
      <c r="A1924" s="9" t="s">
        <v>40</v>
      </c>
      <c r="B1924" s="9" t="s">
        <v>2759</v>
      </c>
      <c r="C1924" s="9"/>
      <c r="D1924" s="9" t="s">
        <v>86</v>
      </c>
      <c r="E1924" s="38">
        <v>66000</v>
      </c>
      <c r="F1924" s="39">
        <v>0</v>
      </c>
      <c r="G1924" s="40"/>
      <c r="H1924" s="41"/>
      <c r="I1924" s="40">
        <v>0.1666666727272727</v>
      </c>
      <c r="J1924" s="41"/>
      <c r="K1924" s="9" t="s">
        <v>2760</v>
      </c>
    </row>
    <row r="1925" spans="1:11" x14ac:dyDescent="0.2">
      <c r="A1925" s="9" t="s">
        <v>40</v>
      </c>
      <c r="B1925" s="9" t="s">
        <v>175</v>
      </c>
      <c r="C1925" s="9"/>
      <c r="D1925" s="9" t="s">
        <v>78</v>
      </c>
      <c r="E1925" s="38">
        <v>150</v>
      </c>
      <c r="F1925" s="39">
        <v>784755.82000000007</v>
      </c>
      <c r="G1925" s="40">
        <v>5231.7054666666672</v>
      </c>
      <c r="H1925" s="41">
        <v>-0.18210450408017911</v>
      </c>
      <c r="I1925" s="40">
        <v>566.66999999999996</v>
      </c>
      <c r="J1925" s="41">
        <v>0.10831458376441221</v>
      </c>
      <c r="K1925" s="9" t="s">
        <v>2761</v>
      </c>
    </row>
    <row r="1926" spans="1:11" x14ac:dyDescent="0.2">
      <c r="A1926" s="9" t="s">
        <v>40</v>
      </c>
      <c r="B1926" s="9" t="s">
        <v>2762</v>
      </c>
      <c r="C1926" s="9"/>
      <c r="D1926" s="9" t="s">
        <v>80</v>
      </c>
      <c r="E1926" s="38">
        <v>338</v>
      </c>
      <c r="F1926" s="39">
        <v>150215.94</v>
      </c>
      <c r="G1926" s="40">
        <v>444.42585798816572</v>
      </c>
      <c r="H1926" s="41">
        <v>0.11501046802079801</v>
      </c>
      <c r="I1926" s="40">
        <v>205.02958579881661</v>
      </c>
      <c r="J1926" s="41">
        <v>0.46133586089465611</v>
      </c>
      <c r="K1926" s="9" t="s">
        <v>2763</v>
      </c>
    </row>
    <row r="1927" spans="1:11" x14ac:dyDescent="0.2">
      <c r="A1927" s="9" t="s">
        <v>40</v>
      </c>
      <c r="B1927" s="9" t="s">
        <v>179</v>
      </c>
      <c r="C1927" s="9"/>
      <c r="D1927" s="9" t="s">
        <v>79</v>
      </c>
      <c r="E1927" s="38">
        <v>2790</v>
      </c>
      <c r="F1927" s="39">
        <v>1771460</v>
      </c>
      <c r="G1927" s="40">
        <v>634.93189964157705</v>
      </c>
      <c r="H1927" s="41">
        <v>-9.9335256181357981E-2</v>
      </c>
      <c r="I1927" s="40">
        <v>65.595218637992829</v>
      </c>
      <c r="J1927" s="41">
        <v>0.1033106364241925</v>
      </c>
      <c r="K1927" s="9" t="s">
        <v>2764</v>
      </c>
    </row>
    <row r="1928" spans="1:11" x14ac:dyDescent="0.2">
      <c r="A1928" s="9" t="s">
        <v>40</v>
      </c>
      <c r="B1928" s="9" t="s">
        <v>179</v>
      </c>
      <c r="C1928" s="9"/>
      <c r="D1928" s="9" t="s">
        <v>79</v>
      </c>
      <c r="E1928" s="38">
        <v>4970</v>
      </c>
      <c r="F1928" s="39">
        <v>4796949</v>
      </c>
      <c r="G1928" s="40">
        <v>965.18088531187118</v>
      </c>
      <c r="H1928" s="41">
        <v>4.2764100861338132E-2</v>
      </c>
      <c r="I1928" s="40">
        <v>66.6502615694165</v>
      </c>
      <c r="J1928" s="41">
        <v>6.9054684550534096E-2</v>
      </c>
      <c r="K1928" s="9" t="s">
        <v>2764</v>
      </c>
    </row>
    <row r="1929" spans="1:11" x14ac:dyDescent="0.2">
      <c r="A1929" s="9" t="s">
        <v>40</v>
      </c>
      <c r="B1929" s="9" t="s">
        <v>1082</v>
      </c>
      <c r="C1929" s="9"/>
      <c r="D1929" s="9" t="s">
        <v>86</v>
      </c>
      <c r="E1929" s="38">
        <v>235839</v>
      </c>
      <c r="F1929" s="39">
        <v>0</v>
      </c>
      <c r="G1929" s="40"/>
      <c r="H1929" s="41"/>
      <c r="I1929" s="40">
        <v>0.17883925050564151</v>
      </c>
      <c r="J1929" s="41"/>
      <c r="K1929" s="9" t="s">
        <v>2765</v>
      </c>
    </row>
    <row r="1930" spans="1:11" x14ac:dyDescent="0.2">
      <c r="A1930" s="9" t="s">
        <v>40</v>
      </c>
      <c r="B1930" s="9" t="s">
        <v>2766</v>
      </c>
      <c r="C1930" s="9"/>
      <c r="D1930" s="9" t="s">
        <v>83</v>
      </c>
      <c r="E1930" s="38">
        <v>1053</v>
      </c>
      <c r="F1930" s="39">
        <v>0</v>
      </c>
      <c r="G1930" s="40"/>
      <c r="H1930" s="41">
        <v>-0.1948285057260335</v>
      </c>
      <c r="I1930" s="40">
        <v>68.376068376068375</v>
      </c>
      <c r="J1930" s="41"/>
      <c r="K1930" s="9" t="s">
        <v>2767</v>
      </c>
    </row>
    <row r="1931" spans="1:11" x14ac:dyDescent="0.2">
      <c r="A1931" s="9" t="s">
        <v>40</v>
      </c>
      <c r="B1931" s="9" t="s">
        <v>2768</v>
      </c>
      <c r="C1931" s="9"/>
      <c r="D1931" s="9" t="s">
        <v>77</v>
      </c>
      <c r="E1931" s="38">
        <v>2899</v>
      </c>
      <c r="F1931" s="39">
        <v>1354467</v>
      </c>
      <c r="G1931" s="40">
        <v>467.21869610210422</v>
      </c>
      <c r="H1931" s="41">
        <v>0.30638672613793971</v>
      </c>
      <c r="I1931" s="40">
        <v>42.846730182821659</v>
      </c>
      <c r="J1931" s="41">
        <v>9.1705941008529551E-2</v>
      </c>
      <c r="K1931" s="9" t="s">
        <v>2769</v>
      </c>
    </row>
    <row r="1932" spans="1:11" x14ac:dyDescent="0.2">
      <c r="A1932" s="9" t="s">
        <v>40</v>
      </c>
      <c r="B1932" s="9" t="s">
        <v>665</v>
      </c>
      <c r="C1932" s="9"/>
      <c r="D1932" s="9" t="s">
        <v>81</v>
      </c>
      <c r="E1932" s="38">
        <v>7550</v>
      </c>
      <c r="F1932" s="39">
        <v>1866018.06</v>
      </c>
      <c r="G1932" s="40">
        <v>247.1547099337748</v>
      </c>
      <c r="H1932" s="41">
        <v>-5.4819421794950883E-2</v>
      </c>
      <c r="I1932" s="40">
        <v>29.961165615894039</v>
      </c>
      <c r="J1932" s="41">
        <v>0.1212243360602844</v>
      </c>
      <c r="K1932" s="9" t="s">
        <v>2770</v>
      </c>
    </row>
    <row r="1933" spans="1:11" x14ac:dyDescent="0.2">
      <c r="A1933" s="9" t="s">
        <v>40</v>
      </c>
      <c r="B1933" s="9" t="s">
        <v>2771</v>
      </c>
      <c r="C1933" s="9"/>
      <c r="D1933" s="9" t="s">
        <v>76</v>
      </c>
      <c r="E1933" s="38">
        <v>12410</v>
      </c>
      <c r="F1933" s="39">
        <v>550525</v>
      </c>
      <c r="G1933" s="40">
        <v>44.361402095084607</v>
      </c>
      <c r="H1933" s="41"/>
      <c r="I1933" s="40">
        <v>9.3023368251410172</v>
      </c>
      <c r="J1933" s="41">
        <v>0.20969438263475779</v>
      </c>
      <c r="K1933" s="9" t="s">
        <v>2772</v>
      </c>
    </row>
    <row r="1934" spans="1:11" x14ac:dyDescent="0.2">
      <c r="A1934" s="9" t="s">
        <v>40</v>
      </c>
      <c r="B1934" s="9" t="s">
        <v>868</v>
      </c>
      <c r="C1934" s="9"/>
      <c r="D1934" s="9" t="s">
        <v>85</v>
      </c>
      <c r="E1934" s="38">
        <v>16814</v>
      </c>
      <c r="F1934" s="39">
        <v>0</v>
      </c>
      <c r="G1934" s="40"/>
      <c r="H1934" s="41"/>
      <c r="I1934" s="40">
        <v>22.3</v>
      </c>
      <c r="J1934" s="41"/>
      <c r="K1934" s="9" t="s">
        <v>2773</v>
      </c>
    </row>
    <row r="1935" spans="1:11" x14ac:dyDescent="0.2">
      <c r="A1935" s="9" t="s">
        <v>40</v>
      </c>
      <c r="B1935" s="9" t="s">
        <v>187</v>
      </c>
      <c r="C1935" s="9"/>
      <c r="D1935" s="9" t="s">
        <v>76</v>
      </c>
      <c r="E1935" s="38">
        <v>1819</v>
      </c>
      <c r="F1935" s="39">
        <v>687952.75</v>
      </c>
      <c r="G1935" s="40">
        <v>378.2038207806487</v>
      </c>
      <c r="H1935" s="41">
        <v>-4.323959838672399E-2</v>
      </c>
      <c r="I1935" s="40">
        <v>39.194763826278177</v>
      </c>
      <c r="J1935" s="41">
        <v>0.10363397108304311</v>
      </c>
      <c r="K1935" s="9" t="s">
        <v>2774</v>
      </c>
    </row>
    <row r="1936" spans="1:11" x14ac:dyDescent="0.2">
      <c r="A1936" s="9" t="s">
        <v>40</v>
      </c>
      <c r="B1936" s="9" t="s">
        <v>191</v>
      </c>
      <c r="C1936" s="9"/>
      <c r="D1936" s="9" t="s">
        <v>76</v>
      </c>
      <c r="E1936" s="38">
        <v>4339</v>
      </c>
      <c r="F1936" s="39">
        <v>2060368.04</v>
      </c>
      <c r="G1936" s="40">
        <v>474.84859184143812</v>
      </c>
      <c r="H1936" s="41">
        <v>-2.1243081331462452E-2</v>
      </c>
      <c r="I1936" s="40">
        <v>51.77684305139433</v>
      </c>
      <c r="J1936" s="41">
        <v>0.1090386366117386</v>
      </c>
      <c r="K1936" s="9" t="s">
        <v>2775</v>
      </c>
    </row>
    <row r="1937" spans="1:11" x14ac:dyDescent="0.2">
      <c r="A1937" s="9" t="s">
        <v>40</v>
      </c>
      <c r="B1937" s="9" t="s">
        <v>193</v>
      </c>
      <c r="C1937" s="9"/>
      <c r="D1937" s="9" t="s">
        <v>82</v>
      </c>
      <c r="E1937" s="38">
        <v>3338</v>
      </c>
      <c r="F1937" s="39">
        <v>1086202.3700000001</v>
      </c>
      <c r="G1937" s="40">
        <v>325.40514379868182</v>
      </c>
      <c r="H1937" s="41">
        <v>9.3999558953887216E-2</v>
      </c>
      <c r="I1937" s="40">
        <v>53.511155362492509</v>
      </c>
      <c r="J1937" s="41">
        <v>0.16444471263674379</v>
      </c>
      <c r="K1937" s="9" t="s">
        <v>2776</v>
      </c>
    </row>
    <row r="1938" spans="1:11" x14ac:dyDescent="0.2">
      <c r="A1938" s="9" t="s">
        <v>40</v>
      </c>
      <c r="B1938" s="9" t="s">
        <v>2777</v>
      </c>
      <c r="C1938" s="9"/>
      <c r="D1938" s="9" t="s">
        <v>81</v>
      </c>
      <c r="E1938" s="38">
        <v>6496</v>
      </c>
      <c r="F1938" s="39">
        <v>3013153</v>
      </c>
      <c r="G1938" s="40">
        <v>463.8474445812808</v>
      </c>
      <c r="H1938" s="41">
        <v>7.0408839613408644E-2</v>
      </c>
      <c r="I1938" s="40">
        <v>32.409051724137932</v>
      </c>
      <c r="J1938" s="41">
        <v>6.9870066339147066E-2</v>
      </c>
      <c r="K1938" s="9" t="s">
        <v>2778</v>
      </c>
    </row>
    <row r="1939" spans="1:11" x14ac:dyDescent="0.2">
      <c r="A1939" s="9" t="s">
        <v>40</v>
      </c>
      <c r="B1939" s="9" t="s">
        <v>2779</v>
      </c>
      <c r="C1939" s="9"/>
      <c r="D1939" s="9" t="s">
        <v>83</v>
      </c>
      <c r="E1939" s="38">
        <v>8875</v>
      </c>
      <c r="F1939" s="39">
        <v>0</v>
      </c>
      <c r="G1939" s="40"/>
      <c r="H1939" s="41"/>
      <c r="I1939" s="40">
        <v>7.6269025352112676</v>
      </c>
      <c r="J1939" s="41"/>
      <c r="K1939" s="9" t="s">
        <v>2780</v>
      </c>
    </row>
    <row r="1940" spans="1:11" x14ac:dyDescent="0.2">
      <c r="A1940" s="9" t="s">
        <v>40</v>
      </c>
      <c r="B1940" s="9" t="s">
        <v>200</v>
      </c>
      <c r="C1940" s="9"/>
      <c r="D1940" s="9" t="s">
        <v>77</v>
      </c>
      <c r="E1940" s="38">
        <v>5500</v>
      </c>
      <c r="F1940" s="39">
        <v>1692768.34</v>
      </c>
      <c r="G1940" s="40">
        <v>307.77606181818192</v>
      </c>
      <c r="H1940" s="41">
        <v>-3.0419330494114421E-2</v>
      </c>
      <c r="I1940" s="40">
        <v>15.388803090909089</v>
      </c>
      <c r="J1940" s="41">
        <v>5.000000000000001E-2</v>
      </c>
      <c r="K1940" s="9" t="s">
        <v>2781</v>
      </c>
    </row>
    <row r="1941" spans="1:11" x14ac:dyDescent="0.2">
      <c r="A1941" s="9" t="s">
        <v>40</v>
      </c>
      <c r="B1941" s="9" t="s">
        <v>202</v>
      </c>
      <c r="C1941" s="9"/>
      <c r="D1941" s="9" t="s">
        <v>81</v>
      </c>
      <c r="E1941" s="38">
        <v>656</v>
      </c>
      <c r="F1941" s="39">
        <v>861374.45</v>
      </c>
      <c r="G1941" s="40">
        <v>1313.070807926829</v>
      </c>
      <c r="H1941" s="41">
        <v>-2.0299886314619011E-2</v>
      </c>
      <c r="I1941" s="40">
        <v>218.15537378048779</v>
      </c>
      <c r="J1941" s="41">
        <v>0.16614136302742669</v>
      </c>
      <c r="K1941" s="9" t="s">
        <v>2782</v>
      </c>
    </row>
    <row r="1942" spans="1:11" x14ac:dyDescent="0.2">
      <c r="A1942" s="9" t="s">
        <v>40</v>
      </c>
      <c r="B1942" s="9" t="s">
        <v>877</v>
      </c>
      <c r="C1942" s="9"/>
      <c r="D1942" s="9" t="s">
        <v>76</v>
      </c>
      <c r="E1942" s="38">
        <v>6929</v>
      </c>
      <c r="F1942" s="39">
        <v>1276279.1000000001</v>
      </c>
      <c r="G1942" s="40">
        <v>184.193837494588</v>
      </c>
      <c r="H1942" s="41">
        <v>9.1405443062497135E-2</v>
      </c>
      <c r="I1942" s="40">
        <v>18.419383749458799</v>
      </c>
      <c r="J1942" s="41">
        <v>0.1</v>
      </c>
      <c r="K1942" s="9" t="s">
        <v>2783</v>
      </c>
    </row>
    <row r="1943" spans="1:11" x14ac:dyDescent="0.2">
      <c r="A1943" s="9" t="s">
        <v>40</v>
      </c>
      <c r="B1943" s="9" t="s">
        <v>432</v>
      </c>
      <c r="C1943" s="9"/>
      <c r="D1943" s="9" t="s">
        <v>81</v>
      </c>
      <c r="E1943" s="38">
        <v>1045</v>
      </c>
      <c r="F1943" s="39">
        <v>1777035</v>
      </c>
      <c r="G1943" s="40">
        <v>1700.511961722488</v>
      </c>
      <c r="H1943" s="41">
        <v>8.8693360873503421E-2</v>
      </c>
      <c r="I1943" s="40">
        <v>95.407234449760765</v>
      </c>
      <c r="J1943" s="41">
        <v>5.6105006372975212E-2</v>
      </c>
      <c r="K1943" s="9" t="s">
        <v>2784</v>
      </c>
    </row>
    <row r="1944" spans="1:11" x14ac:dyDescent="0.2">
      <c r="A1944" s="9" t="s">
        <v>40</v>
      </c>
      <c r="B1944" s="9" t="s">
        <v>206</v>
      </c>
      <c r="C1944" s="9"/>
      <c r="D1944" s="9" t="s">
        <v>80</v>
      </c>
      <c r="E1944" s="38">
        <v>1159</v>
      </c>
      <c r="F1944" s="39">
        <v>856215.71999999986</v>
      </c>
      <c r="G1944" s="40">
        <v>738.75385677308009</v>
      </c>
      <c r="H1944" s="41">
        <v>-6.5212431366226273E-2</v>
      </c>
      <c r="I1944" s="40">
        <v>100.6203081967213</v>
      </c>
      <c r="J1944" s="41">
        <v>0.13620275180184729</v>
      </c>
      <c r="K1944" s="9" t="s">
        <v>2785</v>
      </c>
    </row>
    <row r="1945" spans="1:11" x14ac:dyDescent="0.2">
      <c r="A1945" s="9" t="s">
        <v>40</v>
      </c>
      <c r="B1945" s="9" t="s">
        <v>208</v>
      </c>
      <c r="C1945" s="9"/>
      <c r="D1945" s="9" t="s">
        <v>78</v>
      </c>
      <c r="E1945" s="38">
        <v>1267</v>
      </c>
      <c r="F1945" s="39">
        <v>435213.79</v>
      </c>
      <c r="G1945" s="40">
        <v>343.49943962115242</v>
      </c>
      <c r="H1945" s="41">
        <v>-0.1480443521480756</v>
      </c>
      <c r="I1945" s="40">
        <v>33.327273243883198</v>
      </c>
      <c r="J1945" s="41">
        <v>9.7022787811939515E-2</v>
      </c>
      <c r="K1945" s="9" t="s">
        <v>2786</v>
      </c>
    </row>
    <row r="1946" spans="1:11" x14ac:dyDescent="0.2">
      <c r="A1946" s="9" t="s">
        <v>40</v>
      </c>
      <c r="B1946" s="9" t="s">
        <v>208</v>
      </c>
      <c r="C1946" s="9"/>
      <c r="D1946" s="9" t="s">
        <v>78</v>
      </c>
      <c r="E1946" s="38">
        <v>1055</v>
      </c>
      <c r="F1946" s="39">
        <v>547615.56000000006</v>
      </c>
      <c r="G1946" s="40">
        <v>519.06688151658773</v>
      </c>
      <c r="H1946" s="41">
        <v>-8.0701557994517448E-2</v>
      </c>
      <c r="I1946" s="40">
        <v>62.288025781990527</v>
      </c>
      <c r="J1946" s="41">
        <v>0.12</v>
      </c>
      <c r="K1946" s="9" t="s">
        <v>2786</v>
      </c>
    </row>
    <row r="1947" spans="1:11" x14ac:dyDescent="0.2">
      <c r="A1947" s="9" t="s">
        <v>40</v>
      </c>
      <c r="B1947" s="9" t="s">
        <v>1607</v>
      </c>
      <c r="C1947" s="9"/>
      <c r="D1947" s="9" t="s">
        <v>83</v>
      </c>
      <c r="E1947" s="38">
        <v>3006</v>
      </c>
      <c r="F1947" s="39">
        <v>0</v>
      </c>
      <c r="G1947" s="40"/>
      <c r="H1947" s="41">
        <v>-0.20974891947099619</v>
      </c>
      <c r="I1947" s="40">
        <v>33</v>
      </c>
      <c r="J1947" s="41"/>
      <c r="K1947" s="9" t="s">
        <v>2787</v>
      </c>
    </row>
    <row r="1948" spans="1:11" x14ac:dyDescent="0.2">
      <c r="A1948" s="9" t="s">
        <v>40</v>
      </c>
      <c r="B1948" s="9" t="s">
        <v>2788</v>
      </c>
      <c r="C1948" s="9"/>
      <c r="D1948" s="9" t="s">
        <v>80</v>
      </c>
      <c r="E1948" s="38">
        <v>839</v>
      </c>
      <c r="F1948" s="39">
        <v>490712.28</v>
      </c>
      <c r="G1948" s="40">
        <v>584.877568533969</v>
      </c>
      <c r="H1948" s="41">
        <v>0.11801310436705</v>
      </c>
      <c r="I1948" s="40">
        <v>94.009999523241945</v>
      </c>
      <c r="J1948" s="41">
        <v>0.16073449313312471</v>
      </c>
      <c r="K1948" s="9" t="s">
        <v>2789</v>
      </c>
    </row>
    <row r="1949" spans="1:11" x14ac:dyDescent="0.2">
      <c r="A1949" s="9" t="s">
        <v>40</v>
      </c>
      <c r="B1949" s="9" t="s">
        <v>220</v>
      </c>
      <c r="C1949" s="9"/>
      <c r="D1949" s="9" t="s">
        <v>85</v>
      </c>
      <c r="E1949" s="38">
        <v>31576</v>
      </c>
      <c r="F1949" s="39">
        <v>5589178.4900000002</v>
      </c>
      <c r="G1949" s="40">
        <v>177.00717285279961</v>
      </c>
      <c r="H1949" s="41">
        <v>-4.8236992980316348E-2</v>
      </c>
      <c r="I1949" s="40">
        <v>27</v>
      </c>
      <c r="J1949" s="41">
        <v>0.15253619141442021</v>
      </c>
      <c r="K1949" s="9" t="s">
        <v>2790</v>
      </c>
    </row>
    <row r="1950" spans="1:11" x14ac:dyDescent="0.2">
      <c r="A1950" s="9" t="s">
        <v>40</v>
      </c>
      <c r="B1950" s="9" t="s">
        <v>2791</v>
      </c>
      <c r="C1950" s="9"/>
      <c r="D1950" s="9" t="s">
        <v>83</v>
      </c>
      <c r="E1950" s="38">
        <v>2316</v>
      </c>
      <c r="F1950" s="39">
        <v>0</v>
      </c>
      <c r="G1950" s="40"/>
      <c r="H1950" s="41"/>
      <c r="I1950" s="40">
        <v>20.613341968911921</v>
      </c>
      <c r="J1950" s="41"/>
      <c r="K1950" s="9" t="s">
        <v>2792</v>
      </c>
    </row>
    <row r="1951" spans="1:11" x14ac:dyDescent="0.2">
      <c r="A1951" s="9" t="s">
        <v>40</v>
      </c>
      <c r="B1951" s="9" t="s">
        <v>2793</v>
      </c>
      <c r="C1951" s="9"/>
      <c r="D1951" s="9" t="s">
        <v>79</v>
      </c>
      <c r="E1951" s="38">
        <v>731</v>
      </c>
      <c r="F1951" s="39">
        <v>117421</v>
      </c>
      <c r="G1951" s="40">
        <v>160.6306429548564</v>
      </c>
      <c r="H1951" s="41">
        <v>-1</v>
      </c>
      <c r="I1951" s="40">
        <v>57.455540355677158</v>
      </c>
      <c r="J1951" s="41">
        <v>0.3576872961395321</v>
      </c>
      <c r="K1951" s="9" t="s">
        <v>2794</v>
      </c>
    </row>
    <row r="1952" spans="1:11" x14ac:dyDescent="0.2">
      <c r="A1952" s="9" t="s">
        <v>40</v>
      </c>
      <c r="B1952" s="9" t="s">
        <v>888</v>
      </c>
      <c r="C1952" s="9"/>
      <c r="D1952" s="9" t="s">
        <v>86</v>
      </c>
      <c r="E1952" s="38">
        <v>143000</v>
      </c>
      <c r="F1952" s="39">
        <v>0</v>
      </c>
      <c r="G1952" s="40"/>
      <c r="H1952" s="41">
        <v>-1</v>
      </c>
      <c r="I1952" s="40">
        <v>0.87366209790209781</v>
      </c>
      <c r="J1952" s="41"/>
      <c r="K1952" s="9" t="s">
        <v>2795</v>
      </c>
    </row>
    <row r="1953" spans="1:11" x14ac:dyDescent="0.2">
      <c r="A1953" s="9" t="s">
        <v>40</v>
      </c>
      <c r="B1953" s="9" t="s">
        <v>1359</v>
      </c>
      <c r="C1953" s="9"/>
      <c r="D1953" s="9" t="s">
        <v>77</v>
      </c>
      <c r="E1953" s="38">
        <v>4192</v>
      </c>
      <c r="F1953" s="39">
        <v>1961076.28</v>
      </c>
      <c r="G1953" s="40">
        <v>467.81399809160308</v>
      </c>
      <c r="H1953" s="41">
        <v>-3.1799715571967341E-2</v>
      </c>
      <c r="I1953" s="40">
        <v>65.591514217557247</v>
      </c>
      <c r="J1953" s="41">
        <v>0.14020853263290711</v>
      </c>
      <c r="K1953" s="9" t="s">
        <v>2796</v>
      </c>
    </row>
    <row r="1954" spans="1:11" x14ac:dyDescent="0.2">
      <c r="A1954" s="9" t="s">
        <v>40</v>
      </c>
      <c r="B1954" s="9" t="s">
        <v>445</v>
      </c>
      <c r="C1954" s="9"/>
      <c r="D1954" s="9" t="s">
        <v>82</v>
      </c>
      <c r="E1954" s="38">
        <v>3527</v>
      </c>
      <c r="F1954" s="39">
        <v>596857.98</v>
      </c>
      <c r="G1954" s="40">
        <v>169.22539835554289</v>
      </c>
      <c r="H1954" s="41">
        <v>1.7868965278231549E-2</v>
      </c>
      <c r="I1954" s="40">
        <v>34.293291749362062</v>
      </c>
      <c r="J1954" s="41">
        <v>0.20264860997586059</v>
      </c>
      <c r="K1954" s="9" t="s">
        <v>2797</v>
      </c>
    </row>
    <row r="1955" spans="1:11" x14ac:dyDescent="0.2">
      <c r="A1955" s="9" t="s">
        <v>40</v>
      </c>
      <c r="B1955" s="9" t="s">
        <v>228</v>
      </c>
      <c r="C1955" s="9"/>
      <c r="D1955" s="9" t="s">
        <v>76</v>
      </c>
      <c r="E1955" s="38">
        <v>4585</v>
      </c>
      <c r="F1955" s="39">
        <v>892172.03000000014</v>
      </c>
      <c r="G1955" s="40">
        <v>194.58495747001089</v>
      </c>
      <c r="H1955" s="41">
        <v>3.7105675862411251E-2</v>
      </c>
      <c r="I1955" s="40">
        <v>30.772266085059979</v>
      </c>
      <c r="J1955" s="41">
        <v>0.1581430881665277</v>
      </c>
      <c r="K1955" s="9" t="s">
        <v>2798</v>
      </c>
    </row>
    <row r="1956" spans="1:11" x14ac:dyDescent="0.2">
      <c r="A1956" s="9" t="s">
        <v>40</v>
      </c>
      <c r="B1956" s="9" t="s">
        <v>895</v>
      </c>
      <c r="C1956" s="9"/>
      <c r="D1956" s="9" t="s">
        <v>77</v>
      </c>
      <c r="E1956" s="38">
        <v>6905</v>
      </c>
      <c r="F1956" s="39">
        <v>1638021.43</v>
      </c>
      <c r="G1956" s="40">
        <v>237.222509775525</v>
      </c>
      <c r="H1956" s="41">
        <v>-0.1077568809044399</v>
      </c>
      <c r="I1956" s="40">
        <v>26.094476046343232</v>
      </c>
      <c r="J1956" s="41">
        <v>0.1099999998779015</v>
      </c>
      <c r="K1956" s="9" t="s">
        <v>2799</v>
      </c>
    </row>
    <row r="1957" spans="1:11" x14ac:dyDescent="0.2">
      <c r="A1957" s="9" t="s">
        <v>40</v>
      </c>
      <c r="B1957" s="9" t="s">
        <v>242</v>
      </c>
      <c r="C1957" s="9"/>
      <c r="D1957" s="9" t="s">
        <v>82</v>
      </c>
      <c r="E1957" s="38">
        <v>5429</v>
      </c>
      <c r="F1957" s="39">
        <v>626748.15999999992</v>
      </c>
      <c r="G1957" s="40">
        <v>115.4444943820225</v>
      </c>
      <c r="H1957" s="41">
        <v>-0.13309753674025751</v>
      </c>
      <c r="I1957" s="40">
        <v>9.2355595505617973</v>
      </c>
      <c r="J1957" s="41">
        <v>8.0000000000000016E-2</v>
      </c>
      <c r="K1957" s="9" t="s">
        <v>2800</v>
      </c>
    </row>
    <row r="1958" spans="1:11" x14ac:dyDescent="0.2">
      <c r="A1958" s="9" t="s">
        <v>40</v>
      </c>
      <c r="B1958" s="9" t="s">
        <v>243</v>
      </c>
      <c r="C1958" s="9"/>
      <c r="D1958" s="9" t="s">
        <v>82</v>
      </c>
      <c r="E1958" s="38">
        <v>1706</v>
      </c>
      <c r="F1958" s="39">
        <v>1045022.01</v>
      </c>
      <c r="G1958" s="40">
        <v>612.55686400937861</v>
      </c>
      <c r="H1958" s="41">
        <v>-0.25054903986819138</v>
      </c>
      <c r="I1958" s="40">
        <v>61.909999765533414</v>
      </c>
      <c r="J1958" s="41">
        <v>0.1010681675498873</v>
      </c>
      <c r="K1958" s="9" t="s">
        <v>2801</v>
      </c>
    </row>
    <row r="1959" spans="1:11" x14ac:dyDescent="0.2">
      <c r="A1959" s="9" t="s">
        <v>40</v>
      </c>
      <c r="B1959" s="9" t="s">
        <v>1788</v>
      </c>
      <c r="C1959" s="9"/>
      <c r="D1959" s="9" t="s">
        <v>76</v>
      </c>
      <c r="E1959" s="38">
        <v>12690</v>
      </c>
      <c r="F1959" s="39">
        <v>1511994.91</v>
      </c>
      <c r="G1959" s="40">
        <v>119.14853506698191</v>
      </c>
      <c r="H1959" s="41">
        <v>0.1184162469924087</v>
      </c>
      <c r="I1959" s="40">
        <v>4.7659414026792746</v>
      </c>
      <c r="J1959" s="41">
        <v>3.9999999999999987E-2</v>
      </c>
      <c r="K1959" s="9" t="s">
        <v>2802</v>
      </c>
    </row>
    <row r="1960" spans="1:11" x14ac:dyDescent="0.2">
      <c r="A1960" s="9" t="s">
        <v>40</v>
      </c>
      <c r="B1960" s="9" t="s">
        <v>2803</v>
      </c>
      <c r="C1960" s="9"/>
      <c r="D1960" s="9" t="s">
        <v>81</v>
      </c>
      <c r="E1960" s="38">
        <v>613</v>
      </c>
      <c r="F1960" s="39">
        <v>455143.11</v>
      </c>
      <c r="G1960" s="40">
        <v>742.48468189233279</v>
      </c>
      <c r="H1960" s="41">
        <v>5.9224082970277432E-2</v>
      </c>
      <c r="I1960" s="40">
        <v>127.1368796084829</v>
      </c>
      <c r="J1960" s="41">
        <v>0.17123165327055051</v>
      </c>
      <c r="K1960" s="9" t="s">
        <v>2804</v>
      </c>
    </row>
    <row r="1961" spans="1:11" x14ac:dyDescent="0.2">
      <c r="A1961" s="9" t="s">
        <v>40</v>
      </c>
      <c r="B1961" s="9" t="s">
        <v>247</v>
      </c>
      <c r="C1961" s="9"/>
      <c r="D1961" s="9" t="s">
        <v>76</v>
      </c>
      <c r="E1961" s="38">
        <v>20180</v>
      </c>
      <c r="F1961" s="39">
        <v>2762285.24</v>
      </c>
      <c r="G1961" s="40">
        <v>136.88232111000991</v>
      </c>
      <c r="H1961" s="41">
        <v>-0.12862642329764201</v>
      </c>
      <c r="I1961" s="40">
        <v>6.8441160555004963</v>
      </c>
      <c r="J1961" s="41">
        <v>0.05</v>
      </c>
      <c r="K1961" s="9" t="s">
        <v>2805</v>
      </c>
    </row>
    <row r="1962" spans="1:11" x14ac:dyDescent="0.2">
      <c r="A1962" s="9" t="s">
        <v>40</v>
      </c>
      <c r="B1962" s="9" t="s">
        <v>467</v>
      </c>
      <c r="C1962" s="9"/>
      <c r="D1962" s="9" t="s">
        <v>78</v>
      </c>
      <c r="E1962" s="38">
        <v>2241</v>
      </c>
      <c r="F1962" s="39">
        <v>2088191.1</v>
      </c>
      <c r="G1962" s="40">
        <v>931.81218206157951</v>
      </c>
      <c r="H1962" s="41">
        <v>-2.6877473998885459E-2</v>
      </c>
      <c r="I1962" s="40">
        <v>149.53991967871491</v>
      </c>
      <c r="J1962" s="41">
        <v>0.16048289833243709</v>
      </c>
      <c r="K1962" s="9" t="s">
        <v>2806</v>
      </c>
    </row>
    <row r="1963" spans="1:11" x14ac:dyDescent="0.2">
      <c r="A1963" s="9" t="s">
        <v>40</v>
      </c>
      <c r="B1963" s="9" t="s">
        <v>2807</v>
      </c>
      <c r="C1963" s="9"/>
      <c r="D1963" s="9" t="s">
        <v>82</v>
      </c>
      <c r="E1963" s="38">
        <v>3720</v>
      </c>
      <c r="F1963" s="39">
        <v>355074</v>
      </c>
      <c r="G1963" s="40">
        <v>95.45</v>
      </c>
      <c r="H1963" s="41">
        <v>-4.5624754613270507E-2</v>
      </c>
      <c r="I1963" s="40">
        <v>15.511053870967739</v>
      </c>
      <c r="J1963" s="41">
        <v>0.16250449314790719</v>
      </c>
      <c r="K1963" s="9" t="s">
        <v>2808</v>
      </c>
    </row>
    <row r="1964" spans="1:11" x14ac:dyDescent="0.2">
      <c r="A1964" s="9" t="s">
        <v>40</v>
      </c>
      <c r="B1964" s="9" t="s">
        <v>140</v>
      </c>
      <c r="C1964" s="9"/>
      <c r="D1964" s="9" t="s">
        <v>83</v>
      </c>
      <c r="E1964" s="38">
        <v>6002.6</v>
      </c>
      <c r="F1964" s="39">
        <v>3329337.08</v>
      </c>
      <c r="G1964" s="40">
        <v>554.64916536167664</v>
      </c>
      <c r="H1964" s="41">
        <v>0.17573355270707769</v>
      </c>
      <c r="I1964" s="40">
        <v>55.464916536167657</v>
      </c>
      <c r="J1964" s="41">
        <v>0.1</v>
      </c>
      <c r="K1964" s="9" t="s">
        <v>2809</v>
      </c>
    </row>
    <row r="1965" spans="1:11" x14ac:dyDescent="0.2">
      <c r="A1965" s="9" t="s">
        <v>40</v>
      </c>
      <c r="B1965" s="9" t="s">
        <v>256</v>
      </c>
      <c r="C1965" s="9"/>
      <c r="D1965" s="9" t="s">
        <v>76</v>
      </c>
      <c r="E1965" s="38">
        <v>1327</v>
      </c>
      <c r="F1965" s="39">
        <v>984954.86999999988</v>
      </c>
      <c r="G1965" s="40">
        <v>742.24180105501125</v>
      </c>
      <c r="H1965" s="41">
        <v>-2.8673630176445059E-2</v>
      </c>
      <c r="I1965" s="40">
        <v>81.709148455162008</v>
      </c>
      <c r="J1965" s="41">
        <v>0.11008427218599361</v>
      </c>
      <c r="K1965" s="9" t="s">
        <v>2810</v>
      </c>
    </row>
    <row r="1966" spans="1:11" x14ac:dyDescent="0.2">
      <c r="A1966" s="9" t="s">
        <v>40</v>
      </c>
      <c r="B1966" s="9" t="s">
        <v>1251</v>
      </c>
      <c r="C1966" s="9"/>
      <c r="D1966" s="9" t="s">
        <v>77</v>
      </c>
      <c r="E1966" s="38">
        <v>9102</v>
      </c>
      <c r="F1966" s="39">
        <v>4637290.8499999996</v>
      </c>
      <c r="G1966" s="40">
        <v>509.48042737859811</v>
      </c>
      <c r="H1966" s="41">
        <v>2.266429030303806E-2</v>
      </c>
      <c r="I1966" s="40">
        <v>72.048825642715883</v>
      </c>
      <c r="J1966" s="41">
        <v>0.141416277782102</v>
      </c>
      <c r="K1966" s="9" t="s">
        <v>2811</v>
      </c>
    </row>
    <row r="1967" spans="1:11" x14ac:dyDescent="0.2">
      <c r="A1967" s="9" t="s">
        <v>40</v>
      </c>
      <c r="B1967" s="9" t="s">
        <v>260</v>
      </c>
      <c r="C1967" s="9"/>
      <c r="D1967" s="9" t="s">
        <v>76</v>
      </c>
      <c r="E1967" s="38">
        <v>3296</v>
      </c>
      <c r="F1967" s="39">
        <v>859792.88</v>
      </c>
      <c r="G1967" s="40">
        <v>260.85949029126209</v>
      </c>
      <c r="H1967" s="41">
        <v>5.5563485282725852E-2</v>
      </c>
      <c r="I1967" s="40">
        <v>26.085949029126219</v>
      </c>
      <c r="J1967" s="41">
        <v>0.1</v>
      </c>
      <c r="K1967" s="9" t="s">
        <v>2812</v>
      </c>
    </row>
    <row r="1968" spans="1:11" x14ac:dyDescent="0.2">
      <c r="A1968" s="9" t="s">
        <v>40</v>
      </c>
      <c r="B1968" s="9" t="s">
        <v>473</v>
      </c>
      <c r="C1968" s="9"/>
      <c r="D1968" s="9" t="s">
        <v>86</v>
      </c>
      <c r="E1968" s="38">
        <v>187511</v>
      </c>
      <c r="F1968" s="39">
        <v>0</v>
      </c>
      <c r="G1968" s="40"/>
      <c r="H1968" s="41">
        <v>-6.2734069944872295E-2</v>
      </c>
      <c r="I1968" s="40">
        <v>7.25589432086651E-2</v>
      </c>
      <c r="J1968" s="41"/>
      <c r="K1968" s="9" t="s">
        <v>2813</v>
      </c>
    </row>
    <row r="1969" spans="1:11" x14ac:dyDescent="0.2">
      <c r="A1969" s="9" t="s">
        <v>40</v>
      </c>
      <c r="B1969" s="9" t="s">
        <v>267</v>
      </c>
      <c r="C1969" s="9"/>
      <c r="D1969" s="9" t="s">
        <v>77</v>
      </c>
      <c r="E1969" s="38">
        <v>2410</v>
      </c>
      <c r="F1969" s="39">
        <v>918373.09999999986</v>
      </c>
      <c r="G1969" s="40">
        <v>381.06767634854759</v>
      </c>
      <c r="H1969" s="41">
        <v>-4.6541705935865922E-3</v>
      </c>
      <c r="I1969" s="40">
        <v>91.12037576763484</v>
      </c>
      <c r="J1969" s="41">
        <v>0.2391186170413746</v>
      </c>
      <c r="K1969" s="9" t="s">
        <v>2814</v>
      </c>
    </row>
    <row r="1970" spans="1:11" x14ac:dyDescent="0.2">
      <c r="A1970" s="9" t="s">
        <v>40</v>
      </c>
      <c r="B1970" s="9" t="s">
        <v>484</v>
      </c>
      <c r="C1970" s="9"/>
      <c r="D1970" s="9" t="s">
        <v>77</v>
      </c>
      <c r="E1970" s="38">
        <v>1558</v>
      </c>
      <c r="F1970" s="39">
        <v>874128.24</v>
      </c>
      <c r="G1970" s="40">
        <v>561.05792041078303</v>
      </c>
      <c r="H1970" s="41">
        <v>-2.52125573027084E-2</v>
      </c>
      <c r="I1970" s="40">
        <v>107.11502695763799</v>
      </c>
      <c r="J1970" s="41">
        <v>0.19091616580194229</v>
      </c>
      <c r="K1970" s="9" t="s">
        <v>2815</v>
      </c>
    </row>
    <row r="1971" spans="1:11" x14ac:dyDescent="0.2">
      <c r="A1971" s="9" t="s">
        <v>40</v>
      </c>
      <c r="B1971" s="9" t="s">
        <v>271</v>
      </c>
      <c r="C1971" s="9"/>
      <c r="D1971" s="9" t="s">
        <v>78</v>
      </c>
      <c r="E1971" s="38">
        <v>2580</v>
      </c>
      <c r="F1971" s="39">
        <v>2913292.63</v>
      </c>
      <c r="G1971" s="40">
        <v>1129.183189922481</v>
      </c>
      <c r="H1971" s="41">
        <v>5.6272431227916239E-2</v>
      </c>
      <c r="I1971" s="40">
        <v>132.47929023255821</v>
      </c>
      <c r="J1971" s="41">
        <v>0.11732311587250339</v>
      </c>
      <c r="K1971" s="9" t="s">
        <v>2816</v>
      </c>
    </row>
    <row r="1972" spans="1:11" x14ac:dyDescent="0.2">
      <c r="A1972" s="9" t="s">
        <v>40</v>
      </c>
      <c r="B1972" s="9" t="s">
        <v>487</v>
      </c>
      <c r="C1972" s="9"/>
      <c r="D1972" s="9" t="s">
        <v>77</v>
      </c>
      <c r="E1972" s="38">
        <v>4342</v>
      </c>
      <c r="F1972" s="39">
        <v>1429229.24</v>
      </c>
      <c r="G1972" s="40">
        <v>329.16380469829568</v>
      </c>
      <c r="H1972" s="41">
        <v>3.773085858243122E-2</v>
      </c>
      <c r="I1972" s="40">
        <v>47.916380469829569</v>
      </c>
      <c r="J1972" s="41">
        <v>0.14557001646565809</v>
      </c>
      <c r="K1972" s="9" t="s">
        <v>2817</v>
      </c>
    </row>
    <row r="1973" spans="1:11" x14ac:dyDescent="0.2">
      <c r="A1973" s="9" t="s">
        <v>40</v>
      </c>
      <c r="B1973" s="9" t="s">
        <v>1915</v>
      </c>
      <c r="C1973" s="9"/>
      <c r="D1973" s="9" t="s">
        <v>83</v>
      </c>
      <c r="E1973" s="38">
        <v>816</v>
      </c>
      <c r="F1973" s="39">
        <v>0</v>
      </c>
      <c r="G1973" s="40"/>
      <c r="H1973" s="41">
        <v>-9.4487154590420494E-2</v>
      </c>
      <c r="I1973" s="40">
        <v>54.147120588235303</v>
      </c>
      <c r="J1973" s="41"/>
      <c r="K1973" s="9" t="s">
        <v>2818</v>
      </c>
    </row>
    <row r="1974" spans="1:11" x14ac:dyDescent="0.2">
      <c r="A1974" s="9" t="s">
        <v>40</v>
      </c>
      <c r="B1974" s="9" t="s">
        <v>275</v>
      </c>
      <c r="C1974" s="9"/>
      <c r="D1974" s="9" t="s">
        <v>83</v>
      </c>
      <c r="E1974" s="38">
        <v>2400</v>
      </c>
      <c r="F1974" s="39">
        <v>3290839.28</v>
      </c>
      <c r="G1974" s="40">
        <v>1371.183033333333</v>
      </c>
      <c r="H1974" s="41">
        <v>-1.9513954496980471E-2</v>
      </c>
      <c r="I1974" s="40">
        <v>101.74174600000001</v>
      </c>
      <c r="J1974" s="41">
        <v>7.4199974421114853E-2</v>
      </c>
      <c r="K1974" s="9" t="s">
        <v>2819</v>
      </c>
    </row>
    <row r="1975" spans="1:11" x14ac:dyDescent="0.2">
      <c r="A1975" s="9" t="s">
        <v>40</v>
      </c>
      <c r="B1975" s="9" t="s">
        <v>277</v>
      </c>
      <c r="C1975" s="9"/>
      <c r="D1975" s="9" t="s">
        <v>76</v>
      </c>
      <c r="E1975" s="38">
        <v>900</v>
      </c>
      <c r="F1975" s="39">
        <v>650280.5</v>
      </c>
      <c r="G1975" s="40">
        <v>722.5338888888889</v>
      </c>
      <c r="H1975" s="41">
        <v>0.39794908083081088</v>
      </c>
      <c r="I1975" s="40">
        <v>86.704066666666677</v>
      </c>
      <c r="J1975" s="41">
        <v>0.12</v>
      </c>
      <c r="K1975" s="9" t="s">
        <v>2820</v>
      </c>
    </row>
    <row r="1976" spans="1:11" x14ac:dyDescent="0.2">
      <c r="A1976" s="9" t="s">
        <v>40</v>
      </c>
      <c r="B1976" s="9" t="s">
        <v>2536</v>
      </c>
      <c r="C1976" s="9"/>
      <c r="D1976" s="9" t="s">
        <v>76</v>
      </c>
      <c r="E1976" s="38">
        <v>3137</v>
      </c>
      <c r="F1976" s="39">
        <v>477868.27</v>
      </c>
      <c r="G1976" s="40">
        <v>152.33288810965891</v>
      </c>
      <c r="H1976" s="41">
        <v>-8.5256531033201313E-2</v>
      </c>
      <c r="I1976" s="40">
        <v>16.756617405164171</v>
      </c>
      <c r="J1976" s="41">
        <v>0.1099999981166358</v>
      </c>
      <c r="K1976" s="9" t="s">
        <v>2821</v>
      </c>
    </row>
    <row r="1977" spans="1:11" x14ac:dyDescent="0.2">
      <c r="A1977" s="9" t="s">
        <v>40</v>
      </c>
      <c r="B1977" s="9" t="s">
        <v>295</v>
      </c>
      <c r="C1977" s="9"/>
      <c r="D1977" s="9" t="s">
        <v>76</v>
      </c>
      <c r="E1977" s="38">
        <v>4823</v>
      </c>
      <c r="F1977" s="39">
        <v>495896.33</v>
      </c>
      <c r="G1977" s="40">
        <v>102.8190607505702</v>
      </c>
      <c r="H1977" s="41">
        <v>-0.1092297715334757</v>
      </c>
      <c r="I1977" s="40">
        <v>10.3669915820029</v>
      </c>
      <c r="J1977" s="41">
        <v>0.1008275265921004</v>
      </c>
      <c r="K1977" s="9" t="s">
        <v>2822</v>
      </c>
    </row>
    <row r="1978" spans="1:11" x14ac:dyDescent="0.2">
      <c r="A1978" s="9" t="s">
        <v>40</v>
      </c>
      <c r="B1978" s="9" t="s">
        <v>2698</v>
      </c>
      <c r="C1978" s="9"/>
      <c r="D1978" s="9" t="s">
        <v>81</v>
      </c>
      <c r="E1978" s="38">
        <v>3822</v>
      </c>
      <c r="F1978" s="39">
        <v>0</v>
      </c>
      <c r="G1978" s="40"/>
      <c r="H1978" s="41"/>
      <c r="I1978" s="40">
        <v>29.70540031397174</v>
      </c>
      <c r="J1978" s="41"/>
      <c r="K1978" s="9" t="s">
        <v>2823</v>
      </c>
    </row>
    <row r="1979" spans="1:11" x14ac:dyDescent="0.2">
      <c r="A1979" s="9" t="s">
        <v>40</v>
      </c>
      <c r="B1979" s="9" t="s">
        <v>2824</v>
      </c>
      <c r="C1979" s="9"/>
      <c r="D1979" s="9" t="s">
        <v>79</v>
      </c>
      <c r="E1979" s="38">
        <v>2015</v>
      </c>
      <c r="F1979" s="39">
        <v>514889.90000000008</v>
      </c>
      <c r="G1979" s="40">
        <v>255.52848635235739</v>
      </c>
      <c r="H1979" s="41"/>
      <c r="I1979" s="40">
        <v>37.41300029776675</v>
      </c>
      <c r="J1979" s="41">
        <v>0.14641420544469799</v>
      </c>
      <c r="K1979" s="9" t="s">
        <v>2825</v>
      </c>
    </row>
    <row r="1980" spans="1:11" x14ac:dyDescent="0.2">
      <c r="A1980" s="9" t="s">
        <v>40</v>
      </c>
      <c r="B1980" s="9" t="s">
        <v>2826</v>
      </c>
      <c r="C1980" s="9"/>
      <c r="D1980" s="9" t="s">
        <v>80</v>
      </c>
      <c r="E1980" s="38">
        <v>588</v>
      </c>
      <c r="F1980" s="39">
        <v>0</v>
      </c>
      <c r="G1980" s="40"/>
      <c r="H1980" s="41"/>
      <c r="I1980" s="40">
        <v>119.0476183673469</v>
      </c>
      <c r="J1980" s="41"/>
      <c r="K1980" s="9" t="s">
        <v>2827</v>
      </c>
    </row>
    <row r="1981" spans="1:11" x14ac:dyDescent="0.2">
      <c r="A1981" s="9" t="s">
        <v>40</v>
      </c>
      <c r="B1981" s="9" t="s">
        <v>301</v>
      </c>
      <c r="C1981" s="9"/>
      <c r="D1981" s="9" t="s">
        <v>82</v>
      </c>
      <c r="E1981" s="38">
        <v>2482</v>
      </c>
      <c r="F1981" s="39">
        <v>839295.52999999991</v>
      </c>
      <c r="G1981" s="40">
        <v>338.15291297340849</v>
      </c>
      <c r="H1981" s="41">
        <v>5.8111278907036337E-2</v>
      </c>
      <c r="I1981" s="40">
        <v>41.4987911361805</v>
      </c>
      <c r="J1981" s="41">
        <v>0.12272196850613511</v>
      </c>
      <c r="K1981" s="9" t="s">
        <v>2828</v>
      </c>
    </row>
    <row r="1982" spans="1:11" x14ac:dyDescent="0.2">
      <c r="A1982" s="9" t="s">
        <v>40</v>
      </c>
      <c r="B1982" s="9" t="s">
        <v>1663</v>
      </c>
      <c r="C1982" s="9"/>
      <c r="D1982" s="9" t="s">
        <v>76</v>
      </c>
      <c r="E1982" s="38">
        <v>3880</v>
      </c>
      <c r="F1982" s="39">
        <v>0</v>
      </c>
      <c r="G1982" s="40"/>
      <c r="H1982" s="41"/>
      <c r="I1982" s="40">
        <v>23.19587628865979</v>
      </c>
      <c r="J1982" s="41"/>
      <c r="K1982" s="9" t="s">
        <v>2829</v>
      </c>
    </row>
    <row r="1983" spans="1:11" x14ac:dyDescent="0.2">
      <c r="A1983" s="9" t="s">
        <v>40</v>
      </c>
      <c r="B1983" s="9" t="s">
        <v>2830</v>
      </c>
      <c r="C1983" s="9"/>
      <c r="D1983" s="9" t="s">
        <v>80</v>
      </c>
      <c r="E1983" s="38">
        <v>144</v>
      </c>
      <c r="F1983" s="39">
        <v>203718</v>
      </c>
      <c r="G1983" s="40">
        <v>1414.708333333333</v>
      </c>
      <c r="H1983" s="41">
        <v>-2.0644736532718849E-2</v>
      </c>
      <c r="I1983" s="40">
        <v>315.10000000000002</v>
      </c>
      <c r="J1983" s="41">
        <v>0.22273142284923281</v>
      </c>
      <c r="K1983" s="9" t="s">
        <v>2831</v>
      </c>
    </row>
    <row r="1984" spans="1:11" x14ac:dyDescent="0.2">
      <c r="A1984" s="9" t="s">
        <v>40</v>
      </c>
      <c r="B1984" s="9" t="s">
        <v>2832</v>
      </c>
      <c r="C1984" s="9"/>
      <c r="D1984" s="9" t="s">
        <v>76</v>
      </c>
      <c r="E1984" s="38">
        <v>5371</v>
      </c>
      <c r="F1984" s="39">
        <v>0</v>
      </c>
      <c r="G1984" s="40"/>
      <c r="H1984" s="41"/>
      <c r="I1984" s="40">
        <v>18.8</v>
      </c>
      <c r="J1984" s="41"/>
      <c r="K1984" s="9" t="s">
        <v>2833</v>
      </c>
    </row>
    <row r="1985" spans="1:11" x14ac:dyDescent="0.2">
      <c r="A1985" s="9" t="s">
        <v>40</v>
      </c>
      <c r="B1985" s="9" t="s">
        <v>2834</v>
      </c>
      <c r="C1985" s="9"/>
      <c r="D1985" s="9" t="s">
        <v>78</v>
      </c>
      <c r="E1985" s="38">
        <v>1000</v>
      </c>
      <c r="F1985" s="39">
        <v>558853.6</v>
      </c>
      <c r="G1985" s="40">
        <v>558.85360000000003</v>
      </c>
      <c r="H1985" s="41">
        <v>-1.021474508843404E-2</v>
      </c>
      <c r="I1985" s="40">
        <v>90.93480000000001</v>
      </c>
      <c r="J1985" s="41">
        <v>0.1627166757089871</v>
      </c>
      <c r="K1985" s="9" t="s">
        <v>2835</v>
      </c>
    </row>
    <row r="1986" spans="1:11" x14ac:dyDescent="0.2">
      <c r="A1986" s="9" t="s">
        <v>40</v>
      </c>
      <c r="B1986" s="9" t="s">
        <v>2836</v>
      </c>
      <c r="C1986" s="9"/>
      <c r="D1986" s="9" t="s">
        <v>79</v>
      </c>
      <c r="E1986" s="38">
        <v>2310</v>
      </c>
      <c r="F1986" s="39">
        <v>181440.5</v>
      </c>
      <c r="G1986" s="40">
        <v>78.545670995670989</v>
      </c>
      <c r="H1986" s="41">
        <v>5.6242578456318908E-2</v>
      </c>
      <c r="I1986" s="40">
        <v>18.015584415584421</v>
      </c>
      <c r="J1986" s="41">
        <v>0.22936444729815009</v>
      </c>
      <c r="K1986" s="9" t="s">
        <v>2837</v>
      </c>
    </row>
    <row r="1987" spans="1:11" x14ac:dyDescent="0.2">
      <c r="A1987" s="9" t="s">
        <v>40</v>
      </c>
      <c r="B1987" s="9" t="s">
        <v>1149</v>
      </c>
      <c r="C1987" s="9"/>
      <c r="D1987" s="9" t="s">
        <v>76</v>
      </c>
      <c r="E1987" s="38">
        <v>14050</v>
      </c>
      <c r="F1987" s="39">
        <v>4545244.6100000003</v>
      </c>
      <c r="G1987" s="40">
        <v>323.50495444839862</v>
      </c>
      <c r="H1987" s="41">
        <v>8.4455527590638235E-2</v>
      </c>
      <c r="I1987" s="40">
        <v>26.886802049822069</v>
      </c>
      <c r="J1987" s="41">
        <v>8.3110943681422675E-2</v>
      </c>
      <c r="K1987" s="9" t="s">
        <v>2838</v>
      </c>
    </row>
    <row r="1988" spans="1:11" x14ac:dyDescent="0.2">
      <c r="A1988" s="9" t="s">
        <v>40</v>
      </c>
      <c r="B1988" s="9" t="s">
        <v>2400</v>
      </c>
      <c r="C1988" s="9"/>
      <c r="D1988" s="9" t="s">
        <v>81</v>
      </c>
      <c r="E1988" s="38">
        <v>9330</v>
      </c>
      <c r="F1988" s="39">
        <v>0</v>
      </c>
      <c r="G1988" s="40"/>
      <c r="H1988" s="41"/>
      <c r="I1988" s="40">
        <v>20.131819935691318</v>
      </c>
      <c r="J1988" s="41"/>
      <c r="K1988" s="9" t="s">
        <v>2839</v>
      </c>
    </row>
    <row r="1989" spans="1:11" x14ac:dyDescent="0.2">
      <c r="A1989" s="9" t="s">
        <v>40</v>
      </c>
      <c r="B1989" s="9" t="s">
        <v>317</v>
      </c>
      <c r="C1989" s="9"/>
      <c r="D1989" s="9" t="s">
        <v>76</v>
      </c>
      <c r="E1989" s="38">
        <v>4386</v>
      </c>
      <c r="F1989" s="39">
        <v>1342568.15</v>
      </c>
      <c r="G1989" s="40">
        <v>306.10308937528498</v>
      </c>
      <c r="H1989" s="41">
        <v>0.24911870767295241</v>
      </c>
      <c r="I1989" s="40">
        <v>18.577239056087549</v>
      </c>
      <c r="J1989" s="41">
        <v>6.0689485669684622E-2</v>
      </c>
      <c r="K1989" s="9" t="s">
        <v>2840</v>
      </c>
    </row>
    <row r="1990" spans="1:11" x14ac:dyDescent="0.2">
      <c r="A1990" s="9" t="s">
        <v>40</v>
      </c>
      <c r="B1990" s="9" t="s">
        <v>1517</v>
      </c>
      <c r="C1990" s="9"/>
      <c r="D1990" s="9" t="s">
        <v>76</v>
      </c>
      <c r="E1990" s="38">
        <v>8850</v>
      </c>
      <c r="F1990" s="39">
        <v>2053569.24</v>
      </c>
      <c r="G1990" s="40">
        <v>232.04172203389831</v>
      </c>
      <c r="H1990" s="41"/>
      <c r="I1990" s="40">
        <v>28.5</v>
      </c>
      <c r="J1990" s="41">
        <v>0.1228227395926519</v>
      </c>
      <c r="K1990" s="9" t="s">
        <v>2841</v>
      </c>
    </row>
    <row r="1991" spans="1:11" x14ac:dyDescent="0.2">
      <c r="A1991" s="9" t="s">
        <v>40</v>
      </c>
      <c r="B1991" s="9" t="s">
        <v>321</v>
      </c>
      <c r="C1991" s="9"/>
      <c r="D1991" s="9" t="s">
        <v>78</v>
      </c>
      <c r="E1991" s="38">
        <v>1031</v>
      </c>
      <c r="F1991" s="39">
        <v>2041989.66</v>
      </c>
      <c r="G1991" s="40">
        <v>1980.591328806983</v>
      </c>
      <c r="H1991" s="41">
        <v>0.1202252584395339</v>
      </c>
      <c r="I1991" s="40">
        <v>154.9854791464598</v>
      </c>
      <c r="J1991" s="41">
        <v>7.8252124450032726E-2</v>
      </c>
      <c r="K1991" s="9" t="s">
        <v>2842</v>
      </c>
    </row>
    <row r="1992" spans="1:11" x14ac:dyDescent="0.2">
      <c r="A1992" s="9" t="s">
        <v>40</v>
      </c>
      <c r="B1992" s="9" t="s">
        <v>1824</v>
      </c>
      <c r="C1992" s="9"/>
      <c r="D1992" s="9" t="s">
        <v>79</v>
      </c>
      <c r="E1992" s="38">
        <v>1426</v>
      </c>
      <c r="F1992" s="39">
        <v>266094.14</v>
      </c>
      <c r="G1992" s="40">
        <v>186.6017812061711</v>
      </c>
      <c r="H1992" s="41">
        <v>0.84644818572959946</v>
      </c>
      <c r="I1992" s="40">
        <v>71.887852734922873</v>
      </c>
      <c r="J1992" s="41">
        <v>0.3852474090560582</v>
      </c>
      <c r="K1992" s="9" t="s">
        <v>2843</v>
      </c>
    </row>
    <row r="1993" spans="1:11" x14ac:dyDescent="0.2">
      <c r="A1993" s="9" t="s">
        <v>40</v>
      </c>
      <c r="B1993" s="9" t="s">
        <v>2844</v>
      </c>
      <c r="C1993" s="9"/>
      <c r="D1993" s="9" t="s">
        <v>78</v>
      </c>
      <c r="E1993" s="38">
        <v>144</v>
      </c>
      <c r="F1993" s="39">
        <v>241734.91</v>
      </c>
      <c r="G1993" s="40">
        <v>1678.7146527777779</v>
      </c>
      <c r="H1993" s="41">
        <v>-3.9255673984526687E-2</v>
      </c>
      <c r="I1993" s="40">
        <v>581.23952083333336</v>
      </c>
      <c r="J1993" s="41">
        <v>0.34624080981931821</v>
      </c>
      <c r="K1993" s="9" t="s">
        <v>2845</v>
      </c>
    </row>
    <row r="1994" spans="1:11" x14ac:dyDescent="0.2">
      <c r="A1994" s="9" t="s">
        <v>40</v>
      </c>
      <c r="B1994" s="9" t="s">
        <v>520</v>
      </c>
      <c r="C1994" s="9"/>
      <c r="D1994" s="9" t="s">
        <v>77</v>
      </c>
      <c r="E1994" s="38">
        <v>7149</v>
      </c>
      <c r="F1994" s="39">
        <v>1511683.38</v>
      </c>
      <c r="G1994" s="40">
        <v>211.45382291229541</v>
      </c>
      <c r="H1994" s="41">
        <v>-7.8671421096447189E-2</v>
      </c>
      <c r="I1994" s="40">
        <v>30.773534704154429</v>
      </c>
      <c r="J1994" s="41">
        <v>0.14553312056655671</v>
      </c>
      <c r="K1994" s="9" t="s">
        <v>2846</v>
      </c>
    </row>
    <row r="1995" spans="1:11" x14ac:dyDescent="0.2">
      <c r="A1995" s="9" t="s">
        <v>40</v>
      </c>
      <c r="B1995" s="9" t="s">
        <v>944</v>
      </c>
      <c r="C1995" s="9"/>
      <c r="D1995" s="9" t="s">
        <v>81</v>
      </c>
      <c r="E1995" s="38">
        <v>7000</v>
      </c>
      <c r="F1995" s="39">
        <v>1801461.61</v>
      </c>
      <c r="G1995" s="40">
        <v>257.35165857142857</v>
      </c>
      <c r="H1995" s="41">
        <v>-5.6919340124539624E-3</v>
      </c>
      <c r="I1995" s="40">
        <v>26.575626857142861</v>
      </c>
      <c r="J1995" s="41">
        <v>0.10326580759053761</v>
      </c>
      <c r="K1995" s="9" t="s">
        <v>2847</v>
      </c>
    </row>
    <row r="1996" spans="1:11" x14ac:dyDescent="0.2">
      <c r="A1996" s="9" t="s">
        <v>40</v>
      </c>
      <c r="B1996" s="9" t="s">
        <v>2848</v>
      </c>
      <c r="C1996" s="9"/>
      <c r="D1996" s="9" t="s">
        <v>84</v>
      </c>
      <c r="E1996" s="38">
        <v>150</v>
      </c>
      <c r="F1996" s="39">
        <v>0</v>
      </c>
      <c r="G1996" s="40"/>
      <c r="H1996" s="41"/>
      <c r="I1996" s="40">
        <v>533.33000000000004</v>
      </c>
      <c r="J1996" s="41"/>
      <c r="K1996" s="9" t="s">
        <v>2849</v>
      </c>
    </row>
    <row r="1997" spans="1:11" x14ac:dyDescent="0.2">
      <c r="A1997" s="9" t="s">
        <v>40</v>
      </c>
      <c r="B1997" s="9" t="s">
        <v>2848</v>
      </c>
      <c r="C1997" s="9"/>
      <c r="D1997" s="9" t="s">
        <v>84</v>
      </c>
      <c r="E1997" s="38">
        <v>150</v>
      </c>
      <c r="F1997" s="39">
        <v>0</v>
      </c>
      <c r="G1997" s="40"/>
      <c r="H1997" s="41"/>
      <c r="I1997" s="40">
        <v>533.33000000000004</v>
      </c>
      <c r="J1997" s="41"/>
      <c r="K1997" s="9" t="s">
        <v>2849</v>
      </c>
    </row>
    <row r="1998" spans="1:11" x14ac:dyDescent="0.2">
      <c r="A1998" s="9" t="s">
        <v>40</v>
      </c>
      <c r="B1998" s="9" t="s">
        <v>2848</v>
      </c>
      <c r="C1998" s="9"/>
      <c r="D1998" s="9" t="s">
        <v>84</v>
      </c>
      <c r="E1998" s="38">
        <v>317</v>
      </c>
      <c r="F1998" s="39">
        <v>0</v>
      </c>
      <c r="G1998" s="40"/>
      <c r="H1998" s="41"/>
      <c r="I1998" s="40">
        <v>248.45</v>
      </c>
      <c r="J1998" s="41"/>
      <c r="K1998" s="9" t="s">
        <v>2849</v>
      </c>
    </row>
    <row r="1999" spans="1:11" x14ac:dyDescent="0.2">
      <c r="A1999" s="9" t="s">
        <v>40</v>
      </c>
      <c r="B1999" s="9" t="s">
        <v>819</v>
      </c>
      <c r="C1999" s="9"/>
      <c r="D1999" s="9" t="s">
        <v>80</v>
      </c>
      <c r="E1999" s="38">
        <v>647</v>
      </c>
      <c r="F1999" s="39">
        <v>469930.07000000012</v>
      </c>
      <c r="G1999" s="40">
        <v>726.32159196290581</v>
      </c>
      <c r="H1999" s="41">
        <v>-0.1230838817744805</v>
      </c>
      <c r="I1999" s="40">
        <v>103.1086738794436</v>
      </c>
      <c r="J1999" s="41">
        <v>0.14196008355030351</v>
      </c>
      <c r="K1999" s="9" t="s">
        <v>2850</v>
      </c>
    </row>
    <row r="2000" spans="1:11" x14ac:dyDescent="0.2">
      <c r="A2000" s="9" t="s">
        <v>40</v>
      </c>
      <c r="B2000" s="9" t="s">
        <v>2851</v>
      </c>
      <c r="C2000" s="9"/>
      <c r="D2000" s="9" t="s">
        <v>80</v>
      </c>
      <c r="E2000" s="38">
        <v>685</v>
      </c>
      <c r="F2000" s="39">
        <v>1234446.08</v>
      </c>
      <c r="G2000" s="40">
        <v>1802.1110656934311</v>
      </c>
      <c r="H2000" s="41">
        <v>-4.347703867657976E-2</v>
      </c>
      <c r="I2000" s="40">
        <v>267.20888934306572</v>
      </c>
      <c r="J2000" s="41">
        <v>0.14827548336497609</v>
      </c>
      <c r="K2000" s="9" t="s">
        <v>2852</v>
      </c>
    </row>
    <row r="2001" spans="1:11" x14ac:dyDescent="0.2">
      <c r="A2001" s="9" t="s">
        <v>40</v>
      </c>
      <c r="B2001" s="9" t="s">
        <v>948</v>
      </c>
      <c r="C2001" s="9"/>
      <c r="D2001" s="9" t="s">
        <v>76</v>
      </c>
      <c r="E2001" s="38">
        <v>6824</v>
      </c>
      <c r="F2001" s="39">
        <v>668084.96</v>
      </c>
      <c r="G2001" s="40">
        <v>97.902250879249706</v>
      </c>
      <c r="H2001" s="41">
        <v>-0.66684818097101373</v>
      </c>
      <c r="I2001" s="40">
        <v>9.7902250879249699</v>
      </c>
      <c r="J2001" s="41">
        <v>0.1</v>
      </c>
      <c r="K2001" s="9" t="s">
        <v>2853</v>
      </c>
    </row>
    <row r="2002" spans="1:11" x14ac:dyDescent="0.2">
      <c r="A2002" s="9" t="s">
        <v>40</v>
      </c>
      <c r="B2002" s="9" t="s">
        <v>2854</v>
      </c>
      <c r="C2002" s="9"/>
      <c r="D2002" s="9" t="s">
        <v>76</v>
      </c>
      <c r="E2002" s="38">
        <v>2338</v>
      </c>
      <c r="F2002" s="39">
        <v>346969.2</v>
      </c>
      <c r="G2002" s="40">
        <v>148.4042771599658</v>
      </c>
      <c r="H2002" s="41">
        <v>-9.7587153303268972E-3</v>
      </c>
      <c r="I2002" s="40">
        <v>24.380000171086401</v>
      </c>
      <c r="J2002" s="41">
        <v>0.1642809805596577</v>
      </c>
      <c r="K2002" s="9" t="s">
        <v>2855</v>
      </c>
    </row>
    <row r="2003" spans="1:11" x14ac:dyDescent="0.2">
      <c r="A2003" s="9" t="s">
        <v>40</v>
      </c>
      <c r="B2003" s="9" t="s">
        <v>950</v>
      </c>
      <c r="C2003" s="9"/>
      <c r="D2003" s="9" t="s">
        <v>80</v>
      </c>
      <c r="E2003" s="38">
        <v>719</v>
      </c>
      <c r="F2003" s="39">
        <v>1903921.62</v>
      </c>
      <c r="G2003" s="40">
        <v>2648.013379694019</v>
      </c>
      <c r="H2003" s="41">
        <v>1.8910915856851881E-2</v>
      </c>
      <c r="I2003" s="40">
        <v>327.00697802503481</v>
      </c>
      <c r="J2003" s="41">
        <v>0.123491437215782</v>
      </c>
      <c r="K2003" s="9" t="s">
        <v>2856</v>
      </c>
    </row>
    <row r="2004" spans="1:11" x14ac:dyDescent="0.2">
      <c r="A2004" s="9" t="s">
        <v>40</v>
      </c>
      <c r="B2004" s="9" t="s">
        <v>339</v>
      </c>
      <c r="C2004" s="9"/>
      <c r="D2004" s="9" t="s">
        <v>80</v>
      </c>
      <c r="E2004" s="38">
        <v>799</v>
      </c>
      <c r="F2004" s="39">
        <v>632201.29</v>
      </c>
      <c r="G2004" s="40">
        <v>791.24066332916152</v>
      </c>
      <c r="H2004" s="41">
        <v>3.5411825684870031E-3</v>
      </c>
      <c r="I2004" s="40">
        <v>118.9</v>
      </c>
      <c r="J2004" s="41">
        <v>0.15027033557618971</v>
      </c>
      <c r="K2004" s="9" t="s">
        <v>2857</v>
      </c>
    </row>
    <row r="2005" spans="1:11" x14ac:dyDescent="0.2">
      <c r="A2005" s="9" t="s">
        <v>40</v>
      </c>
      <c r="B2005" s="9" t="s">
        <v>343</v>
      </c>
      <c r="C2005" s="9"/>
      <c r="D2005" s="9" t="s">
        <v>79</v>
      </c>
      <c r="E2005" s="38">
        <v>4994</v>
      </c>
      <c r="F2005" s="39">
        <v>4210958.2300000004</v>
      </c>
      <c r="G2005" s="40">
        <v>843.20349018822583</v>
      </c>
      <c r="H2005" s="41">
        <v>0.14512928120363411</v>
      </c>
      <c r="I2005" s="40">
        <v>42.160174509411291</v>
      </c>
      <c r="J2005" s="41">
        <v>0.05</v>
      </c>
      <c r="K2005" s="9" t="s">
        <v>2858</v>
      </c>
    </row>
    <row r="2006" spans="1:11" x14ac:dyDescent="0.2">
      <c r="A2006" s="9" t="s">
        <v>40</v>
      </c>
      <c r="B2006" s="9" t="s">
        <v>1412</v>
      </c>
      <c r="C2006" s="9"/>
      <c r="D2006" s="9" t="s">
        <v>77</v>
      </c>
      <c r="E2006" s="38">
        <v>23506</v>
      </c>
      <c r="F2006" s="39">
        <v>2973423.9</v>
      </c>
      <c r="G2006" s="40">
        <v>126.49637964774951</v>
      </c>
      <c r="H2006" s="41">
        <v>4.8599783730281003E-2</v>
      </c>
      <c r="I2006" s="40">
        <v>26.53927606568536</v>
      </c>
      <c r="J2006" s="41">
        <v>0.20980265316358021</v>
      </c>
      <c r="K2006" s="9" t="s">
        <v>2859</v>
      </c>
    </row>
    <row r="2007" spans="1:11" x14ac:dyDescent="0.2">
      <c r="A2007" s="9" t="s">
        <v>40</v>
      </c>
      <c r="B2007" s="9" t="s">
        <v>1533</v>
      </c>
      <c r="C2007" s="9"/>
      <c r="D2007" s="9" t="s">
        <v>76</v>
      </c>
      <c r="E2007" s="38">
        <v>3785</v>
      </c>
      <c r="F2007" s="39">
        <v>813283.34000000008</v>
      </c>
      <c r="G2007" s="40">
        <v>214.87010303830911</v>
      </c>
      <c r="H2007" s="41">
        <v>-0.29154179309315009</v>
      </c>
      <c r="I2007" s="40">
        <v>28.31</v>
      </c>
      <c r="J2007" s="41">
        <v>0.13175402068361561</v>
      </c>
      <c r="K2007" s="9" t="s">
        <v>2860</v>
      </c>
    </row>
    <row r="2008" spans="1:11" x14ac:dyDescent="0.2">
      <c r="A2008" s="9" t="s">
        <v>40</v>
      </c>
      <c r="B2008" s="9" t="s">
        <v>1536</v>
      </c>
      <c r="C2008" s="9"/>
      <c r="D2008" s="9" t="s">
        <v>77</v>
      </c>
      <c r="E2008" s="38">
        <v>4765</v>
      </c>
      <c r="F2008" s="39">
        <v>1911266.87</v>
      </c>
      <c r="G2008" s="40">
        <v>401.10532423924451</v>
      </c>
      <c r="H2008" s="41">
        <v>4.5257447479402956E-3</v>
      </c>
      <c r="I2008" s="40">
        <v>39.819999916054563</v>
      </c>
      <c r="J2008" s="41">
        <v>9.9275670278321723E-2</v>
      </c>
      <c r="K2008" s="9" t="s">
        <v>2861</v>
      </c>
    </row>
    <row r="2009" spans="1:11" x14ac:dyDescent="0.2">
      <c r="A2009" s="9" t="s">
        <v>40</v>
      </c>
      <c r="B2009" s="9" t="s">
        <v>957</v>
      </c>
      <c r="C2009" s="9"/>
      <c r="D2009" s="9" t="s">
        <v>84</v>
      </c>
      <c r="E2009" s="38">
        <v>4162</v>
      </c>
      <c r="F2009" s="39">
        <v>0</v>
      </c>
      <c r="G2009" s="40"/>
      <c r="H2009" s="41"/>
      <c r="I2009" s="40">
        <v>93.914367131186921</v>
      </c>
      <c r="J2009" s="41"/>
      <c r="K2009" s="9" t="s">
        <v>2862</v>
      </c>
    </row>
    <row r="2010" spans="1:11" x14ac:dyDescent="0.2">
      <c r="A2010" s="9" t="s">
        <v>40</v>
      </c>
      <c r="B2010" s="9" t="s">
        <v>355</v>
      </c>
      <c r="C2010" s="9"/>
      <c r="D2010" s="9" t="s">
        <v>82</v>
      </c>
      <c r="E2010" s="38">
        <v>2899</v>
      </c>
      <c r="F2010" s="39">
        <v>1560836.81</v>
      </c>
      <c r="G2010" s="40">
        <v>538.40524663677127</v>
      </c>
      <c r="H2010" s="41">
        <v>-3.4806263054584563E-2</v>
      </c>
      <c r="I2010" s="40">
        <v>58.906578751293551</v>
      </c>
      <c r="J2010" s="41">
        <v>0.10940936983668401</v>
      </c>
      <c r="K2010" s="9" t="s">
        <v>2863</v>
      </c>
    </row>
    <row r="2011" spans="1:11" x14ac:dyDescent="0.2">
      <c r="A2011" s="9" t="s">
        <v>40</v>
      </c>
      <c r="B2011" s="9" t="s">
        <v>2864</v>
      </c>
      <c r="C2011" s="9"/>
      <c r="D2011" s="9" t="s">
        <v>83</v>
      </c>
      <c r="E2011" s="38">
        <v>1556</v>
      </c>
      <c r="F2011" s="39">
        <v>1172426</v>
      </c>
      <c r="G2011" s="40">
        <v>753.48714652956301</v>
      </c>
      <c r="H2011" s="41">
        <v>5.1618895361290343E-2</v>
      </c>
      <c r="I2011" s="40">
        <v>71.02977917737789</v>
      </c>
      <c r="J2011" s="41">
        <v>9.4268070138328566E-2</v>
      </c>
      <c r="K2011" s="9" t="s">
        <v>2865</v>
      </c>
    </row>
    <row r="2012" spans="1:11" x14ac:dyDescent="0.2">
      <c r="A2012" s="9" t="s">
        <v>40</v>
      </c>
      <c r="B2012" s="9" t="s">
        <v>2866</v>
      </c>
      <c r="C2012" s="9"/>
      <c r="D2012" s="9" t="s">
        <v>80</v>
      </c>
      <c r="E2012" s="38">
        <v>591</v>
      </c>
      <c r="F2012" s="39">
        <v>508517.84</v>
      </c>
      <c r="G2012" s="40">
        <v>860.4362774957699</v>
      </c>
      <c r="H2012" s="41">
        <v>0.18949146037684961</v>
      </c>
      <c r="I2012" s="40">
        <v>89.780710659898475</v>
      </c>
      <c r="J2012" s="41">
        <v>0.1043432419204801</v>
      </c>
      <c r="K2012" s="9" t="s">
        <v>2867</v>
      </c>
    </row>
    <row r="2013" spans="1:11" x14ac:dyDescent="0.2">
      <c r="A2013" s="9" t="s">
        <v>40</v>
      </c>
      <c r="B2013" s="9" t="s">
        <v>2868</v>
      </c>
      <c r="C2013" s="9"/>
      <c r="D2013" s="9" t="s">
        <v>82</v>
      </c>
      <c r="E2013" s="38">
        <v>2100</v>
      </c>
      <c r="F2013" s="39">
        <v>245199.04</v>
      </c>
      <c r="G2013" s="40">
        <v>116.7614476190476</v>
      </c>
      <c r="H2013" s="41">
        <v>1.985283874973294E-2</v>
      </c>
      <c r="I2013" s="40">
        <v>22.979235238095239</v>
      </c>
      <c r="J2013" s="41">
        <v>0.1968049874909788</v>
      </c>
      <c r="K2013" s="9" t="s">
        <v>2869</v>
      </c>
    </row>
    <row r="2014" spans="1:11" x14ac:dyDescent="0.2">
      <c r="A2014" s="9" t="s">
        <v>40</v>
      </c>
      <c r="B2014" s="9" t="s">
        <v>357</v>
      </c>
      <c r="C2014" s="9"/>
      <c r="D2014" s="9" t="s">
        <v>76</v>
      </c>
      <c r="E2014" s="38">
        <v>1206</v>
      </c>
      <c r="F2014" s="39">
        <v>675042.23</v>
      </c>
      <c r="G2014" s="40">
        <v>559.73650912106132</v>
      </c>
      <c r="H2014" s="41">
        <v>-0.1361334186884797</v>
      </c>
      <c r="I2014" s="40">
        <v>73.575889552238806</v>
      </c>
      <c r="J2014" s="41">
        <v>0.13144736559666789</v>
      </c>
      <c r="K2014" s="9" t="s">
        <v>2870</v>
      </c>
    </row>
    <row r="2015" spans="1:11" x14ac:dyDescent="0.2">
      <c r="A2015" s="9" t="s">
        <v>40</v>
      </c>
      <c r="B2015" s="9" t="s">
        <v>357</v>
      </c>
      <c r="C2015" s="9"/>
      <c r="D2015" s="9" t="s">
        <v>76</v>
      </c>
      <c r="E2015" s="38">
        <v>726</v>
      </c>
      <c r="F2015" s="39">
        <v>393256.68</v>
      </c>
      <c r="G2015" s="40">
        <v>541.67586776859503</v>
      </c>
      <c r="H2015" s="41">
        <v>-0.23895743835724209</v>
      </c>
      <c r="I2015" s="40">
        <v>202.68347107438021</v>
      </c>
      <c r="J2015" s="41">
        <v>0.37417851363643712</v>
      </c>
      <c r="K2015" s="9" t="s">
        <v>2870</v>
      </c>
    </row>
    <row r="2016" spans="1:11" x14ac:dyDescent="0.2">
      <c r="A2016" s="9" t="s">
        <v>40</v>
      </c>
      <c r="B2016" s="9" t="s">
        <v>2871</v>
      </c>
      <c r="C2016" s="9"/>
      <c r="D2016" s="9" t="s">
        <v>83</v>
      </c>
      <c r="E2016" s="38">
        <v>1418</v>
      </c>
      <c r="F2016" s="39">
        <v>0</v>
      </c>
      <c r="G2016" s="40"/>
      <c r="H2016" s="41"/>
      <c r="I2016" s="40">
        <v>35.370406205923842</v>
      </c>
      <c r="J2016" s="41"/>
      <c r="K2016" s="9" t="s">
        <v>2872</v>
      </c>
    </row>
    <row r="2017" spans="1:11" x14ac:dyDescent="0.2">
      <c r="A2017" s="9" t="s">
        <v>40</v>
      </c>
      <c r="B2017" s="9" t="s">
        <v>1965</v>
      </c>
      <c r="C2017" s="9"/>
      <c r="D2017" s="9" t="s">
        <v>76</v>
      </c>
      <c r="E2017" s="38">
        <v>1646</v>
      </c>
      <c r="F2017" s="39">
        <v>697182</v>
      </c>
      <c r="G2017" s="40">
        <v>423.56136087484811</v>
      </c>
      <c r="H2017" s="41">
        <v>-0.38380299865863882</v>
      </c>
      <c r="I2017" s="40">
        <v>65.271324422843264</v>
      </c>
      <c r="J2017" s="41">
        <v>0.154101224644354</v>
      </c>
      <c r="K2017" s="9" t="s">
        <v>2873</v>
      </c>
    </row>
    <row r="2018" spans="1:11" x14ac:dyDescent="0.2">
      <c r="A2018" s="9" t="s">
        <v>40</v>
      </c>
      <c r="B2018" s="9" t="s">
        <v>550</v>
      </c>
      <c r="C2018" s="9"/>
      <c r="D2018" s="9" t="s">
        <v>76</v>
      </c>
      <c r="E2018" s="38">
        <v>4673</v>
      </c>
      <c r="F2018" s="39">
        <v>1020927.02</v>
      </c>
      <c r="G2018" s="40">
        <v>218.47357586133111</v>
      </c>
      <c r="H2018" s="41">
        <v>-7.2034055185484031E-2</v>
      </c>
      <c r="I2018" s="40">
        <v>31.611494157928529</v>
      </c>
      <c r="J2018" s="41">
        <v>0.1446925287568547</v>
      </c>
      <c r="K2018" s="9" t="s">
        <v>2874</v>
      </c>
    </row>
    <row r="2019" spans="1:11" x14ac:dyDescent="0.2">
      <c r="A2019" s="9" t="s">
        <v>40</v>
      </c>
      <c r="B2019" s="9" t="s">
        <v>371</v>
      </c>
      <c r="C2019" s="9"/>
      <c r="D2019" s="9" t="s">
        <v>76</v>
      </c>
      <c r="E2019" s="38">
        <v>3965</v>
      </c>
      <c r="F2019" s="39">
        <v>713096.32</v>
      </c>
      <c r="G2019" s="40">
        <v>179.84774779319039</v>
      </c>
      <c r="H2019" s="41">
        <v>1.891456936668038E-2</v>
      </c>
      <c r="I2019" s="40">
        <v>18.91551071878941</v>
      </c>
      <c r="J2019" s="41">
        <v>0.1051751325823698</v>
      </c>
      <c r="K2019" s="9" t="s">
        <v>2875</v>
      </c>
    </row>
    <row r="2020" spans="1:11" x14ac:dyDescent="0.2">
      <c r="A2020" s="9" t="s">
        <v>40</v>
      </c>
      <c r="B2020" s="9" t="s">
        <v>1050</v>
      </c>
      <c r="C2020" s="9"/>
      <c r="D2020" s="9" t="s">
        <v>77</v>
      </c>
      <c r="E2020" s="38">
        <v>3225</v>
      </c>
      <c r="F2020" s="39">
        <v>0</v>
      </c>
      <c r="G2020" s="40"/>
      <c r="H2020" s="41"/>
      <c r="I2020" s="40">
        <v>33.76</v>
      </c>
      <c r="J2020" s="41"/>
      <c r="K2020" s="9" t="s">
        <v>2876</v>
      </c>
    </row>
    <row r="2021" spans="1:11" x14ac:dyDescent="0.2">
      <c r="A2021" s="9" t="s">
        <v>40</v>
      </c>
      <c r="B2021" s="9" t="s">
        <v>2877</v>
      </c>
      <c r="C2021" s="9"/>
      <c r="D2021" s="9" t="s">
        <v>83</v>
      </c>
      <c r="E2021" s="38">
        <v>150447</v>
      </c>
      <c r="F2021" s="39">
        <v>0</v>
      </c>
      <c r="G2021" s="40"/>
      <c r="H2021" s="41"/>
      <c r="I2021" s="40">
        <v>0.55000019940577083</v>
      </c>
      <c r="J2021" s="41"/>
      <c r="K2021" s="9" t="s">
        <v>2878</v>
      </c>
    </row>
    <row r="2022" spans="1:11" x14ac:dyDescent="0.2">
      <c r="A2022" s="9" t="s">
        <v>40</v>
      </c>
      <c r="B2022" s="9" t="s">
        <v>2879</v>
      </c>
      <c r="C2022" s="9"/>
      <c r="D2022" s="9" t="s">
        <v>79</v>
      </c>
      <c r="E2022" s="38">
        <v>1628</v>
      </c>
      <c r="F2022" s="39">
        <v>130135</v>
      </c>
      <c r="G2022" s="40">
        <v>79.93550368550369</v>
      </c>
      <c r="H2022" s="41">
        <v>4.5237575003781713E-2</v>
      </c>
      <c r="I2022" s="40">
        <v>31.633906879606879</v>
      </c>
      <c r="J2022" s="41">
        <v>0.3957428854650939</v>
      </c>
      <c r="K2022" s="9" t="s">
        <v>2880</v>
      </c>
    </row>
    <row r="2023" spans="1:11" x14ac:dyDescent="0.2">
      <c r="A2023" s="9" t="s">
        <v>40</v>
      </c>
      <c r="B2023" s="9" t="s">
        <v>2881</v>
      </c>
      <c r="C2023" s="9"/>
      <c r="D2023" s="9" t="s">
        <v>83</v>
      </c>
      <c r="E2023" s="38">
        <v>2420.04</v>
      </c>
      <c r="F2023" s="39">
        <v>0</v>
      </c>
      <c r="G2023" s="40"/>
      <c r="H2023" s="41"/>
      <c r="I2023" s="40">
        <v>51.07</v>
      </c>
      <c r="J2023" s="41"/>
      <c r="K2023" s="9" t="s">
        <v>2882</v>
      </c>
    </row>
    <row r="2024" spans="1:11" x14ac:dyDescent="0.2">
      <c r="A2024" s="9" t="s">
        <v>40</v>
      </c>
      <c r="B2024" s="9" t="s">
        <v>384</v>
      </c>
      <c r="C2024" s="9"/>
      <c r="D2024" s="9" t="s">
        <v>77</v>
      </c>
      <c r="E2024" s="38">
        <v>3716</v>
      </c>
      <c r="F2024" s="39">
        <v>995835.3600000001</v>
      </c>
      <c r="G2024" s="40">
        <v>267.98583423035518</v>
      </c>
      <c r="H2024" s="41">
        <v>-0.1967897189060332</v>
      </c>
      <c r="I2024" s="40">
        <v>44.158473196986002</v>
      </c>
      <c r="J2024" s="41">
        <v>0.1647791321649795</v>
      </c>
      <c r="K2024" s="9" t="s">
        <v>2883</v>
      </c>
    </row>
    <row r="2025" spans="1:11" x14ac:dyDescent="0.2">
      <c r="A2025" s="9" t="s">
        <v>40</v>
      </c>
      <c r="B2025" s="9" t="s">
        <v>1560</v>
      </c>
      <c r="C2025" s="9"/>
      <c r="D2025" s="9" t="s">
        <v>76</v>
      </c>
      <c r="E2025" s="38">
        <v>8992</v>
      </c>
      <c r="F2025" s="39">
        <v>630509</v>
      </c>
      <c r="G2025" s="40">
        <v>70.118883451957302</v>
      </c>
      <c r="H2025" s="41">
        <v>1.227498233577002E-2</v>
      </c>
      <c r="I2025" s="40">
        <v>19.355881983985761</v>
      </c>
      <c r="J2025" s="41">
        <v>0.27604378494200721</v>
      </c>
      <c r="K2025" s="9" t="s">
        <v>2884</v>
      </c>
    </row>
    <row r="2026" spans="1:11" x14ac:dyDescent="0.2">
      <c r="A2026" s="9" t="s">
        <v>40</v>
      </c>
      <c r="B2026" s="9" t="s">
        <v>388</v>
      </c>
      <c r="C2026" s="9"/>
      <c r="D2026" s="9" t="s">
        <v>76</v>
      </c>
      <c r="E2026" s="38">
        <v>9997</v>
      </c>
      <c r="F2026" s="39">
        <v>4338267.1900000004</v>
      </c>
      <c r="G2026" s="40">
        <v>433.95690607182161</v>
      </c>
      <c r="H2026" s="41">
        <v>-2.3582941597741752E-2</v>
      </c>
      <c r="I2026" s="40">
        <v>67.142697329198768</v>
      </c>
      <c r="J2026" s="41">
        <v>0.154722038962289</v>
      </c>
      <c r="K2026" s="9" t="s">
        <v>2885</v>
      </c>
    </row>
    <row r="2027" spans="1:11" x14ac:dyDescent="0.2">
      <c r="A2027" s="9" t="s">
        <v>40</v>
      </c>
      <c r="B2027" s="9" t="s">
        <v>2886</v>
      </c>
      <c r="C2027" s="9"/>
      <c r="D2027" s="9" t="s">
        <v>82</v>
      </c>
      <c r="E2027" s="38">
        <v>3997</v>
      </c>
      <c r="F2027" s="39">
        <v>720300.89</v>
      </c>
      <c r="G2027" s="40">
        <v>180.21038028521389</v>
      </c>
      <c r="H2027" s="41">
        <v>4.4611907320824408E-2</v>
      </c>
      <c r="I2027" s="40">
        <v>29.499999899924941</v>
      </c>
      <c r="J2027" s="41">
        <v>0.16369756200079111</v>
      </c>
      <c r="K2027" s="9" t="s">
        <v>2887</v>
      </c>
    </row>
    <row r="2028" spans="1:11" x14ac:dyDescent="0.2">
      <c r="A2028" s="9" t="s">
        <v>40</v>
      </c>
      <c r="B2028" s="9" t="s">
        <v>1564</v>
      </c>
      <c r="C2028" s="9"/>
      <c r="D2028" s="9" t="s">
        <v>83</v>
      </c>
      <c r="E2028" s="38">
        <v>1</v>
      </c>
      <c r="F2028" s="39">
        <v>0</v>
      </c>
      <c r="G2028" s="40"/>
      <c r="H2028" s="41"/>
      <c r="I2028" s="40">
        <v>35775</v>
      </c>
      <c r="J2028" s="41"/>
      <c r="K2028" s="9" t="s">
        <v>2888</v>
      </c>
    </row>
    <row r="2029" spans="1:11" x14ac:dyDescent="0.2">
      <c r="A2029" s="9" t="s">
        <v>40</v>
      </c>
      <c r="B2029" s="9" t="s">
        <v>2889</v>
      </c>
      <c r="C2029" s="9"/>
      <c r="D2029" s="9" t="s">
        <v>78</v>
      </c>
      <c r="E2029" s="38">
        <v>80</v>
      </c>
      <c r="F2029" s="39">
        <v>168564.14</v>
      </c>
      <c r="G2029" s="40">
        <v>2107.0517500000001</v>
      </c>
      <c r="H2029" s="41">
        <v>5.8136360118210433E-2</v>
      </c>
      <c r="I2029" s="40">
        <v>538.23017499999992</v>
      </c>
      <c r="J2029" s="41">
        <v>0.25544231412446322</v>
      </c>
      <c r="K2029" s="9" t="s">
        <v>2890</v>
      </c>
    </row>
    <row r="2030" spans="1:11" x14ac:dyDescent="0.2">
      <c r="A2030" s="9" t="s">
        <v>40</v>
      </c>
      <c r="B2030" s="9" t="s">
        <v>2891</v>
      </c>
      <c r="C2030" s="9"/>
      <c r="D2030" s="9" t="s">
        <v>78</v>
      </c>
      <c r="E2030" s="38">
        <v>1210</v>
      </c>
      <c r="F2030" s="39">
        <v>198484.71</v>
      </c>
      <c r="G2030" s="40">
        <v>164.03695041322311</v>
      </c>
      <c r="H2030" s="41">
        <v>6.3142567990348092E-2</v>
      </c>
      <c r="I2030" s="40">
        <v>30.975182975206611</v>
      </c>
      <c r="J2030" s="41">
        <v>0.18883052200847111</v>
      </c>
      <c r="K2030" s="9" t="s">
        <v>2892</v>
      </c>
    </row>
    <row r="2031" spans="1:11" x14ac:dyDescent="0.2">
      <c r="A2031" s="9" t="s">
        <v>40</v>
      </c>
      <c r="B2031" s="9" t="s">
        <v>392</v>
      </c>
      <c r="C2031" s="9"/>
      <c r="D2031" s="9" t="s">
        <v>76</v>
      </c>
      <c r="E2031" s="38">
        <v>4223</v>
      </c>
      <c r="F2031" s="39">
        <v>1504350.7</v>
      </c>
      <c r="G2031" s="40">
        <v>356.22796590101819</v>
      </c>
      <c r="H2031" s="41">
        <v>-2.2506513437668851E-2</v>
      </c>
      <c r="I2031" s="40">
        <v>40.771106156760602</v>
      </c>
      <c r="J2031" s="41">
        <v>0.1144522891503956</v>
      </c>
      <c r="K2031" s="9" t="s">
        <v>2893</v>
      </c>
    </row>
    <row r="2032" spans="1:11" x14ac:dyDescent="0.2">
      <c r="A2032" s="9" t="s">
        <v>40</v>
      </c>
      <c r="B2032" s="9" t="s">
        <v>2894</v>
      </c>
      <c r="C2032" s="9"/>
      <c r="D2032" s="9" t="s">
        <v>86</v>
      </c>
      <c r="E2032" s="38">
        <v>1</v>
      </c>
      <c r="F2032" s="39">
        <v>0</v>
      </c>
      <c r="G2032" s="40"/>
      <c r="H2032" s="41"/>
      <c r="I2032" s="40">
        <v>7258.6619999999994</v>
      </c>
      <c r="J2032" s="41"/>
      <c r="K2032" s="9" t="s">
        <v>2895</v>
      </c>
    </row>
    <row r="2033" spans="1:11" x14ac:dyDescent="0.2">
      <c r="A2033" s="9" t="s">
        <v>40</v>
      </c>
      <c r="B2033" s="9" t="s">
        <v>2896</v>
      </c>
      <c r="C2033" s="9"/>
      <c r="D2033" s="9" t="s">
        <v>79</v>
      </c>
      <c r="E2033" s="38">
        <v>399</v>
      </c>
      <c r="F2033" s="39">
        <v>279932</v>
      </c>
      <c r="G2033" s="40">
        <v>701.5839598997494</v>
      </c>
      <c r="H2033" s="41">
        <v>-6.7141599295605536E-2</v>
      </c>
      <c r="I2033" s="40">
        <v>187.43443809523811</v>
      </c>
      <c r="J2033" s="41">
        <v>0.26715895574639559</v>
      </c>
      <c r="K2033" s="9" t="s">
        <v>2897</v>
      </c>
    </row>
    <row r="2034" spans="1:11" x14ac:dyDescent="0.2">
      <c r="A2034" s="9" t="s">
        <v>40</v>
      </c>
      <c r="B2034" s="9" t="s">
        <v>574</v>
      </c>
      <c r="C2034" s="9"/>
      <c r="D2034" s="9" t="s">
        <v>82</v>
      </c>
      <c r="E2034" s="38">
        <v>1468</v>
      </c>
      <c r="F2034" s="39">
        <v>399349</v>
      </c>
      <c r="G2034" s="40">
        <v>272.03610354223429</v>
      </c>
      <c r="H2034" s="41">
        <v>-0.17702978612490769</v>
      </c>
      <c r="I2034" s="40">
        <v>75.950619891008174</v>
      </c>
      <c r="J2034" s="41">
        <v>0.27919316187094501</v>
      </c>
      <c r="K2034" s="9" t="s">
        <v>2898</v>
      </c>
    </row>
    <row r="2035" spans="1:11" x14ac:dyDescent="0.2">
      <c r="A2035" s="9" t="s">
        <v>40</v>
      </c>
      <c r="B2035" s="9" t="s">
        <v>2899</v>
      </c>
      <c r="C2035" s="9"/>
      <c r="D2035" s="9" t="s">
        <v>80</v>
      </c>
      <c r="E2035" s="38">
        <v>588</v>
      </c>
      <c r="F2035" s="39">
        <v>239096.93</v>
      </c>
      <c r="G2035" s="40">
        <v>406.62743197278911</v>
      </c>
      <c r="H2035" s="41">
        <v>-7.2220889999348642E-2</v>
      </c>
      <c r="I2035" s="40">
        <v>114.7959183673469</v>
      </c>
      <c r="J2035" s="41">
        <v>0.28231228230324829</v>
      </c>
      <c r="K2035" s="9" t="s">
        <v>2900</v>
      </c>
    </row>
    <row r="2036" spans="1:11" x14ac:dyDescent="0.2">
      <c r="A2036" s="9" t="s">
        <v>40</v>
      </c>
      <c r="B2036" s="9" t="s">
        <v>396</v>
      </c>
      <c r="C2036" s="9"/>
      <c r="D2036" s="9" t="s">
        <v>78</v>
      </c>
      <c r="E2036" s="38">
        <v>1479</v>
      </c>
      <c r="F2036" s="39">
        <v>1520296.8</v>
      </c>
      <c r="G2036" s="40">
        <v>1027.922109533469</v>
      </c>
      <c r="H2036" s="41">
        <v>-0.14671099231911541</v>
      </c>
      <c r="I2036" s="40">
        <v>110.4152397565923</v>
      </c>
      <c r="J2036" s="41">
        <v>0.1074159595678949</v>
      </c>
      <c r="K2036" s="9" t="s">
        <v>2901</v>
      </c>
    </row>
    <row r="2037" spans="1:11" x14ac:dyDescent="0.2">
      <c r="A2037" s="9" t="s">
        <v>40</v>
      </c>
      <c r="B2037" s="9" t="s">
        <v>398</v>
      </c>
      <c r="C2037" s="9"/>
      <c r="D2037" s="9" t="s">
        <v>76</v>
      </c>
      <c r="E2037" s="38">
        <v>2950</v>
      </c>
      <c r="F2037" s="39">
        <v>952425.04</v>
      </c>
      <c r="G2037" s="40">
        <v>322.85594576271188</v>
      </c>
      <c r="H2037" s="41">
        <v>0.1227458175874528</v>
      </c>
      <c r="I2037" s="40">
        <v>39.065255728813547</v>
      </c>
      <c r="J2037" s="41">
        <v>0.1209990283329804</v>
      </c>
      <c r="K2037" s="9" t="s">
        <v>2902</v>
      </c>
    </row>
    <row r="2038" spans="1:11" x14ac:dyDescent="0.2">
      <c r="A2038" s="9" t="s">
        <v>51</v>
      </c>
      <c r="B2038" s="9" t="s">
        <v>2903</v>
      </c>
      <c r="C2038" s="9" t="s">
        <v>78</v>
      </c>
      <c r="D2038" s="9" t="s">
        <v>79</v>
      </c>
      <c r="E2038" s="38">
        <v>2258</v>
      </c>
      <c r="F2038" s="39">
        <v>0</v>
      </c>
      <c r="G2038" s="40"/>
      <c r="H2038" s="41"/>
      <c r="I2038" s="40">
        <v>43.689464967582033</v>
      </c>
      <c r="J2038" s="41"/>
      <c r="K2038" s="9" t="s">
        <v>2904</v>
      </c>
    </row>
    <row r="2039" spans="1:11" x14ac:dyDescent="0.2">
      <c r="A2039" s="9" t="s">
        <v>51</v>
      </c>
      <c r="B2039" s="9" t="s">
        <v>1739</v>
      </c>
      <c r="C2039" s="9"/>
      <c r="D2039" s="9" t="s">
        <v>77</v>
      </c>
      <c r="E2039" s="38">
        <v>1280</v>
      </c>
      <c r="F2039" s="39">
        <v>523397.54</v>
      </c>
      <c r="G2039" s="40">
        <v>408.90432812500001</v>
      </c>
      <c r="H2039" s="41">
        <v>3.8691231903127503E-2</v>
      </c>
      <c r="I2039" s="40">
        <v>79.864915181881116</v>
      </c>
      <c r="J2039" s="41">
        <v>0.19531442855617509</v>
      </c>
      <c r="K2039" s="9" t="s">
        <v>2905</v>
      </c>
    </row>
    <row r="2040" spans="1:11" x14ac:dyDescent="0.2">
      <c r="A2040" s="9" t="s">
        <v>51</v>
      </c>
      <c r="B2040" s="9" t="s">
        <v>981</v>
      </c>
      <c r="C2040" s="9"/>
      <c r="D2040" s="9" t="s">
        <v>76</v>
      </c>
      <c r="E2040" s="38">
        <v>6888</v>
      </c>
      <c r="F2040" s="39">
        <v>3008105</v>
      </c>
      <c r="G2040" s="40">
        <v>436.71675377468063</v>
      </c>
      <c r="H2040" s="41">
        <v>6.6901633482521566E-2</v>
      </c>
      <c r="I2040" s="40">
        <v>48.758400000000002</v>
      </c>
      <c r="J2040" s="41">
        <v>0.1116476516610956</v>
      </c>
      <c r="K2040" s="9" t="s">
        <v>2906</v>
      </c>
    </row>
    <row r="2041" spans="1:11" x14ac:dyDescent="0.2">
      <c r="A2041" s="9" t="s">
        <v>51</v>
      </c>
      <c r="B2041" s="9" t="s">
        <v>2907</v>
      </c>
      <c r="C2041" s="9"/>
      <c r="D2041" s="9" t="s">
        <v>83</v>
      </c>
      <c r="E2041" s="38">
        <v>1540</v>
      </c>
      <c r="F2041" s="39">
        <v>484869.02</v>
      </c>
      <c r="G2041" s="40">
        <v>314.85001298701297</v>
      </c>
      <c r="H2041" s="41">
        <v>4.6135713026979198E-2</v>
      </c>
      <c r="I2041" s="40">
        <v>46.859754967581971</v>
      </c>
      <c r="J2041" s="41">
        <v>0.1488319931227535</v>
      </c>
      <c r="K2041" s="9" t="s">
        <v>2908</v>
      </c>
    </row>
    <row r="2042" spans="1:11" x14ac:dyDescent="0.2">
      <c r="A2042" s="9" t="s">
        <v>51</v>
      </c>
      <c r="B2042" s="9" t="s">
        <v>169</v>
      </c>
      <c r="C2042" s="9"/>
      <c r="D2042" s="9" t="s">
        <v>76</v>
      </c>
      <c r="E2042" s="38">
        <v>5505</v>
      </c>
      <c r="F2042" s="39">
        <v>1523413.97</v>
      </c>
      <c r="G2042" s="40">
        <v>276.73278292461401</v>
      </c>
      <c r="H2042" s="41">
        <v>-3.8438969992060631E-2</v>
      </c>
      <c r="I2042" s="40">
        <v>31.35382492279745</v>
      </c>
      <c r="J2042" s="41">
        <v>0.1133000022311729</v>
      </c>
      <c r="K2042" s="9" t="s">
        <v>2909</v>
      </c>
    </row>
    <row r="2043" spans="1:11" x14ac:dyDescent="0.2">
      <c r="A2043" s="9" t="s">
        <v>51</v>
      </c>
      <c r="B2043" s="9" t="s">
        <v>2910</v>
      </c>
      <c r="C2043" s="9"/>
      <c r="D2043" s="9" t="s">
        <v>83</v>
      </c>
      <c r="E2043" s="38">
        <v>5000</v>
      </c>
      <c r="F2043" s="39">
        <v>1934605</v>
      </c>
      <c r="G2043" s="40">
        <v>386.92099999999999</v>
      </c>
      <c r="H2043" s="41">
        <v>3.6751066605107817E-2</v>
      </c>
      <c r="I2043" s="40">
        <v>29.809999999999921</v>
      </c>
      <c r="J2043" s="41">
        <v>7.7044151131626146E-2</v>
      </c>
      <c r="K2043" s="9" t="s">
        <v>2911</v>
      </c>
    </row>
    <row r="2044" spans="1:11" x14ac:dyDescent="0.2">
      <c r="A2044" s="9" t="s">
        <v>51</v>
      </c>
      <c r="B2044" s="9" t="s">
        <v>582</v>
      </c>
      <c r="C2044" s="9"/>
      <c r="D2044" s="9" t="s">
        <v>76</v>
      </c>
      <c r="E2044" s="38">
        <v>11202</v>
      </c>
      <c r="F2044" s="39">
        <v>5452009</v>
      </c>
      <c r="G2044" s="40">
        <v>486.69960721299771</v>
      </c>
      <c r="H2044" s="41">
        <v>-1</v>
      </c>
      <c r="I2044" s="40">
        <v>34.650000000000013</v>
      </c>
      <c r="J2044" s="41">
        <v>7.119381130882213E-2</v>
      </c>
      <c r="K2044" s="9" t="s">
        <v>2912</v>
      </c>
    </row>
    <row r="2045" spans="1:11" x14ac:dyDescent="0.2">
      <c r="A2045" s="9" t="s">
        <v>51</v>
      </c>
      <c r="B2045" s="9" t="s">
        <v>87</v>
      </c>
      <c r="C2045" s="9"/>
      <c r="D2045" s="9" t="s">
        <v>87</v>
      </c>
      <c r="E2045" s="38">
        <v>6167</v>
      </c>
      <c r="F2045" s="39">
        <v>40639942.460000001</v>
      </c>
      <c r="G2045" s="40">
        <v>6589.9047283930604</v>
      </c>
      <c r="H2045" s="41">
        <v>0.2399637117966045</v>
      </c>
      <c r="I2045" s="40">
        <v>64.56</v>
      </c>
      <c r="J2045" s="41">
        <v>9.7968032408478952E-3</v>
      </c>
      <c r="K2045" s="9" t="s">
        <v>2913</v>
      </c>
    </row>
    <row r="2046" spans="1:11" x14ac:dyDescent="0.2">
      <c r="A2046" s="9" t="s">
        <v>51</v>
      </c>
      <c r="B2046" s="9" t="s">
        <v>1074</v>
      </c>
      <c r="C2046" s="9"/>
      <c r="D2046" s="9" t="s">
        <v>87</v>
      </c>
      <c r="E2046" s="38">
        <v>1838</v>
      </c>
      <c r="F2046" s="39">
        <v>0</v>
      </c>
      <c r="G2046" s="40"/>
      <c r="H2046" s="41"/>
      <c r="I2046" s="40">
        <v>34.999978237214357</v>
      </c>
      <c r="J2046" s="41"/>
      <c r="K2046" s="9" t="s">
        <v>2914</v>
      </c>
    </row>
    <row r="2047" spans="1:11" x14ac:dyDescent="0.2">
      <c r="A2047" s="9" t="s">
        <v>51</v>
      </c>
      <c r="B2047" s="9" t="s">
        <v>2915</v>
      </c>
      <c r="C2047" s="9"/>
      <c r="D2047" s="9" t="s">
        <v>87</v>
      </c>
      <c r="E2047" s="38">
        <v>511</v>
      </c>
      <c r="F2047" s="39">
        <v>0</v>
      </c>
      <c r="G2047" s="40"/>
      <c r="H2047" s="41"/>
      <c r="I2047" s="40">
        <v>30</v>
      </c>
      <c r="J2047" s="41"/>
      <c r="K2047" s="9" t="s">
        <v>2916</v>
      </c>
    </row>
    <row r="2048" spans="1:11" x14ac:dyDescent="0.2">
      <c r="A2048" s="9" t="s">
        <v>51</v>
      </c>
      <c r="B2048" s="9" t="s">
        <v>2917</v>
      </c>
      <c r="C2048" s="9"/>
      <c r="D2048" s="9" t="s">
        <v>85</v>
      </c>
      <c r="E2048" s="38">
        <v>16000</v>
      </c>
      <c r="F2048" s="39">
        <v>10269194.25</v>
      </c>
      <c r="G2048" s="40">
        <v>641.82464062500003</v>
      </c>
      <c r="H2048" s="41">
        <v>-7.9694706878973273E-2</v>
      </c>
      <c r="I2048" s="40">
        <v>57.108204018082724</v>
      </c>
      <c r="J2048" s="41">
        <v>8.8977892719219284E-2</v>
      </c>
      <c r="K2048" s="9" t="s">
        <v>2918</v>
      </c>
    </row>
    <row r="2049" spans="1:11" x14ac:dyDescent="0.2">
      <c r="A2049" s="9" t="s">
        <v>51</v>
      </c>
      <c r="B2049" s="9" t="s">
        <v>2919</v>
      </c>
      <c r="C2049" s="9"/>
      <c r="D2049" s="9" t="s">
        <v>76</v>
      </c>
      <c r="E2049" s="38">
        <v>13423</v>
      </c>
      <c r="F2049" s="39">
        <v>0</v>
      </c>
      <c r="G2049" s="40"/>
      <c r="H2049" s="41"/>
      <c r="I2049" s="40">
        <v>53.860405218243081</v>
      </c>
      <c r="J2049" s="41"/>
      <c r="K2049" s="9" t="s">
        <v>2920</v>
      </c>
    </row>
    <row r="2050" spans="1:11" x14ac:dyDescent="0.2">
      <c r="A2050" s="9" t="s">
        <v>51</v>
      </c>
      <c r="B2050" s="9" t="s">
        <v>2331</v>
      </c>
      <c r="C2050" s="9"/>
      <c r="D2050" s="9" t="s">
        <v>79</v>
      </c>
      <c r="E2050" s="38">
        <v>1465</v>
      </c>
      <c r="F2050" s="39">
        <v>401342</v>
      </c>
      <c r="G2050" s="40">
        <v>273.95358361774743</v>
      </c>
      <c r="H2050" s="41"/>
      <c r="I2050" s="40">
        <v>48.986934967582037</v>
      </c>
      <c r="J2050" s="41">
        <v>0.17881472591333</v>
      </c>
      <c r="K2050" s="9" t="s">
        <v>2921</v>
      </c>
    </row>
    <row r="2051" spans="1:11" x14ac:dyDescent="0.2">
      <c r="A2051" s="9" t="s">
        <v>51</v>
      </c>
      <c r="B2051" s="9" t="s">
        <v>177</v>
      </c>
      <c r="C2051" s="9"/>
      <c r="D2051" s="9" t="s">
        <v>85</v>
      </c>
      <c r="E2051" s="38">
        <v>30000</v>
      </c>
      <c r="F2051" s="39">
        <v>5739631.040000001</v>
      </c>
      <c r="G2051" s="40">
        <v>191.32103466666669</v>
      </c>
      <c r="H2051" s="41">
        <v>1.4662698231804321E-2</v>
      </c>
      <c r="I2051" s="40">
        <v>20</v>
      </c>
      <c r="J2051" s="41">
        <v>0.10453633618930321</v>
      </c>
      <c r="K2051" s="9" t="s">
        <v>2922</v>
      </c>
    </row>
    <row r="2052" spans="1:11" x14ac:dyDescent="0.2">
      <c r="A2052" s="9" t="s">
        <v>51</v>
      </c>
      <c r="B2052" s="9" t="s">
        <v>179</v>
      </c>
      <c r="C2052" s="9"/>
      <c r="D2052" s="9" t="s">
        <v>79</v>
      </c>
      <c r="E2052" s="38">
        <v>4220</v>
      </c>
      <c r="F2052" s="39">
        <v>2695991</v>
      </c>
      <c r="G2052" s="40">
        <v>638.86042654028438</v>
      </c>
      <c r="H2052" s="41"/>
      <c r="I2052" s="40">
        <v>58.165426706686937</v>
      </c>
      <c r="J2052" s="41">
        <v>9.1045593513561035E-2</v>
      </c>
      <c r="K2052" s="9" t="s">
        <v>2923</v>
      </c>
    </row>
    <row r="2053" spans="1:11" x14ac:dyDescent="0.2">
      <c r="A2053" s="9" t="s">
        <v>51</v>
      </c>
      <c r="B2053" s="9" t="s">
        <v>2924</v>
      </c>
      <c r="C2053" s="9"/>
      <c r="D2053" s="9" t="s">
        <v>80</v>
      </c>
      <c r="E2053" s="38">
        <v>1200</v>
      </c>
      <c r="F2053" s="39">
        <v>825192</v>
      </c>
      <c r="G2053" s="40">
        <v>687.66</v>
      </c>
      <c r="H2053" s="41">
        <v>4.967141209324915E-2</v>
      </c>
      <c r="I2053" s="40">
        <v>79.293879652348792</v>
      </c>
      <c r="J2053" s="41">
        <v>0.1153097165057569</v>
      </c>
      <c r="K2053" s="9" t="s">
        <v>2925</v>
      </c>
    </row>
    <row r="2054" spans="1:11" x14ac:dyDescent="0.2">
      <c r="A2054" s="9" t="s">
        <v>51</v>
      </c>
      <c r="B2054" s="9" t="s">
        <v>1208</v>
      </c>
      <c r="C2054" s="9"/>
      <c r="D2054" s="9" t="s">
        <v>79</v>
      </c>
      <c r="E2054" s="38">
        <v>1672</v>
      </c>
      <c r="F2054" s="39">
        <v>814738.32000000007</v>
      </c>
      <c r="G2054" s="40">
        <v>487.28368421052642</v>
      </c>
      <c r="H2054" s="41">
        <v>-6.6237957634594835E-2</v>
      </c>
      <c r="I2054" s="40">
        <v>74.637502515637749</v>
      </c>
      <c r="J2054" s="41">
        <v>0.1531705348118968</v>
      </c>
      <c r="K2054" s="9" t="s">
        <v>2926</v>
      </c>
    </row>
    <row r="2055" spans="1:11" x14ac:dyDescent="0.2">
      <c r="A2055" s="9" t="s">
        <v>51</v>
      </c>
      <c r="B2055" s="9" t="s">
        <v>420</v>
      </c>
      <c r="C2055" s="9"/>
      <c r="D2055" s="9" t="s">
        <v>78</v>
      </c>
      <c r="E2055" s="38">
        <v>1440</v>
      </c>
      <c r="F2055" s="39">
        <v>905937.94000000006</v>
      </c>
      <c r="G2055" s="40">
        <v>629.12356944444446</v>
      </c>
      <c r="H2055" s="41">
        <v>0.1199937629578172</v>
      </c>
      <c r="I2055" s="40">
        <v>123.47186496758199</v>
      </c>
      <c r="J2055" s="41">
        <v>0.1962601163975074</v>
      </c>
      <c r="K2055" s="9" t="s">
        <v>2927</v>
      </c>
    </row>
    <row r="2056" spans="1:11" x14ac:dyDescent="0.2">
      <c r="A2056" s="9" t="s">
        <v>51</v>
      </c>
      <c r="B2056" s="9" t="s">
        <v>2928</v>
      </c>
      <c r="C2056" s="9"/>
      <c r="D2056" s="9" t="s">
        <v>81</v>
      </c>
      <c r="E2056" s="38">
        <v>6538</v>
      </c>
      <c r="F2056" s="39">
        <v>8674834.8000000007</v>
      </c>
      <c r="G2056" s="40">
        <v>1326.8330988069749</v>
      </c>
      <c r="H2056" s="41">
        <v>7.9839981243091565E-2</v>
      </c>
      <c r="I2056" s="40">
        <v>73.77817550168902</v>
      </c>
      <c r="J2056" s="41">
        <v>5.5604714389493937E-2</v>
      </c>
      <c r="K2056" s="9" t="s">
        <v>2929</v>
      </c>
    </row>
    <row r="2057" spans="1:11" x14ac:dyDescent="0.2">
      <c r="A2057" s="9" t="s">
        <v>51</v>
      </c>
      <c r="B2057" s="9" t="s">
        <v>1758</v>
      </c>
      <c r="C2057" s="9"/>
      <c r="D2057" s="9" t="s">
        <v>76</v>
      </c>
      <c r="E2057" s="38">
        <v>7000</v>
      </c>
      <c r="F2057" s="39">
        <v>1840879.49</v>
      </c>
      <c r="G2057" s="40">
        <v>262.98278428571427</v>
      </c>
      <c r="H2057" s="41">
        <v>0.12889781167709799</v>
      </c>
      <c r="I2057" s="40">
        <v>50.000000000000057</v>
      </c>
      <c r="J2057" s="41">
        <v>0.19012651393057811</v>
      </c>
      <c r="K2057" s="9" t="s">
        <v>2930</v>
      </c>
    </row>
    <row r="2058" spans="1:11" x14ac:dyDescent="0.2">
      <c r="A2058" s="9" t="s">
        <v>51</v>
      </c>
      <c r="B2058" s="9" t="s">
        <v>2931</v>
      </c>
      <c r="C2058" s="9"/>
      <c r="D2058" s="9" t="s">
        <v>83</v>
      </c>
      <c r="E2058" s="38">
        <v>1405</v>
      </c>
      <c r="F2058" s="39">
        <v>196862</v>
      </c>
      <c r="G2058" s="40">
        <v>140.11530249110319</v>
      </c>
      <c r="H2058" s="41">
        <v>-0.18103229781945671</v>
      </c>
      <c r="I2058" s="40">
        <v>39.660130455208147</v>
      </c>
      <c r="J2058" s="41">
        <v>0.28305352627509339</v>
      </c>
      <c r="K2058" s="9" t="s">
        <v>2932</v>
      </c>
    </row>
    <row r="2059" spans="1:11" x14ac:dyDescent="0.2">
      <c r="A2059" s="9" t="s">
        <v>51</v>
      </c>
      <c r="B2059" s="9" t="s">
        <v>191</v>
      </c>
      <c r="C2059" s="9"/>
      <c r="D2059" s="9" t="s">
        <v>76</v>
      </c>
      <c r="E2059" s="38">
        <v>4800</v>
      </c>
      <c r="F2059" s="39">
        <v>1317673.1299999999</v>
      </c>
      <c r="G2059" s="40">
        <v>274.51523541666671</v>
      </c>
      <c r="H2059" s="41">
        <v>-0.12304781729355049</v>
      </c>
      <c r="I2059" s="40">
        <v>39.734996876454233</v>
      </c>
      <c r="J2059" s="41">
        <v>0.1447460532241257</v>
      </c>
      <c r="K2059" s="9" t="s">
        <v>2933</v>
      </c>
    </row>
    <row r="2060" spans="1:11" x14ac:dyDescent="0.2">
      <c r="A2060" s="9" t="s">
        <v>51</v>
      </c>
      <c r="B2060" s="9" t="s">
        <v>759</v>
      </c>
      <c r="C2060" s="9"/>
      <c r="D2060" s="9" t="s">
        <v>76</v>
      </c>
      <c r="E2060" s="38">
        <v>5789</v>
      </c>
      <c r="F2060" s="39">
        <v>2072032.59</v>
      </c>
      <c r="G2060" s="40">
        <v>357.92582311280017</v>
      </c>
      <c r="H2060" s="41">
        <v>2.6339569494446699E-2</v>
      </c>
      <c r="I2060" s="40">
        <v>85.982872091492553</v>
      </c>
      <c r="J2060" s="41">
        <v>0.24022539459075321</v>
      </c>
      <c r="K2060" s="9" t="s">
        <v>2934</v>
      </c>
    </row>
    <row r="2061" spans="1:11" x14ac:dyDescent="0.2">
      <c r="A2061" s="9" t="s">
        <v>51</v>
      </c>
      <c r="B2061" s="9" t="s">
        <v>208</v>
      </c>
      <c r="C2061" s="9"/>
      <c r="D2061" s="9" t="s">
        <v>78</v>
      </c>
      <c r="E2061" s="38">
        <v>1652</v>
      </c>
      <c r="F2061" s="39">
        <v>369475.14000000007</v>
      </c>
      <c r="G2061" s="40">
        <v>223.65323244552059</v>
      </c>
      <c r="H2061" s="41">
        <v>-1.3459377831902251E-3</v>
      </c>
      <c r="I2061" s="40">
        <v>35.322566585956423</v>
      </c>
      <c r="J2061" s="41">
        <v>0.15793452301012731</v>
      </c>
      <c r="K2061" s="9" t="s">
        <v>2935</v>
      </c>
    </row>
    <row r="2062" spans="1:11" x14ac:dyDescent="0.2">
      <c r="A2062" s="9" t="s">
        <v>51</v>
      </c>
      <c r="B2062" s="9" t="s">
        <v>674</v>
      </c>
      <c r="C2062" s="9"/>
      <c r="D2062" s="9" t="s">
        <v>80</v>
      </c>
      <c r="E2062" s="38">
        <v>815</v>
      </c>
      <c r="F2062" s="39">
        <v>374722.27</v>
      </c>
      <c r="G2062" s="40">
        <v>459.78192638036808</v>
      </c>
      <c r="H2062" s="41">
        <v>0.64687451374191562</v>
      </c>
      <c r="I2062" s="40">
        <v>56.129986065637688</v>
      </c>
      <c r="J2062" s="41">
        <v>0.1220795834832414</v>
      </c>
      <c r="K2062" s="9" t="s">
        <v>2936</v>
      </c>
    </row>
    <row r="2063" spans="1:11" x14ac:dyDescent="0.2">
      <c r="A2063" s="9" t="s">
        <v>51</v>
      </c>
      <c r="B2063" s="9" t="s">
        <v>2937</v>
      </c>
      <c r="C2063" s="9"/>
      <c r="D2063" s="9" t="s">
        <v>83</v>
      </c>
      <c r="E2063" s="38">
        <v>9945</v>
      </c>
      <c r="F2063" s="39">
        <v>0</v>
      </c>
      <c r="G2063" s="40"/>
      <c r="H2063" s="41"/>
      <c r="I2063" s="40">
        <v>44.035406208164737</v>
      </c>
      <c r="J2063" s="41"/>
      <c r="K2063" s="9" t="s">
        <v>2938</v>
      </c>
    </row>
    <row r="2064" spans="1:11" x14ac:dyDescent="0.2">
      <c r="A2064" s="9" t="s">
        <v>51</v>
      </c>
      <c r="B2064" s="9" t="s">
        <v>2939</v>
      </c>
      <c r="C2064" s="9"/>
      <c r="D2064" s="9" t="s">
        <v>83</v>
      </c>
      <c r="E2064" s="38">
        <v>5096</v>
      </c>
      <c r="F2064" s="39">
        <v>0</v>
      </c>
      <c r="G2064" s="40"/>
      <c r="H2064" s="41">
        <v>-1</v>
      </c>
      <c r="I2064" s="40">
        <v>71.444826065637827</v>
      </c>
      <c r="J2064" s="41"/>
      <c r="K2064" s="9" t="s">
        <v>2940</v>
      </c>
    </row>
    <row r="2065" spans="1:11" x14ac:dyDescent="0.2">
      <c r="A2065" s="9" t="s">
        <v>51</v>
      </c>
      <c r="B2065" s="9" t="s">
        <v>2939</v>
      </c>
      <c r="C2065" s="9"/>
      <c r="D2065" s="9" t="s">
        <v>83</v>
      </c>
      <c r="E2065" s="38">
        <v>4072</v>
      </c>
      <c r="F2065" s="39">
        <v>0</v>
      </c>
      <c r="G2065" s="40"/>
      <c r="H2065" s="41"/>
      <c r="I2065" s="40">
        <v>124.97912084760679</v>
      </c>
      <c r="J2065" s="41"/>
      <c r="K2065" s="9" t="s">
        <v>2940</v>
      </c>
    </row>
    <row r="2066" spans="1:11" x14ac:dyDescent="0.2">
      <c r="A2066" s="9" t="s">
        <v>51</v>
      </c>
      <c r="B2066" s="9" t="s">
        <v>439</v>
      </c>
      <c r="C2066" s="9"/>
      <c r="D2066" s="9" t="s">
        <v>85</v>
      </c>
      <c r="E2066" s="38">
        <v>33875</v>
      </c>
      <c r="F2066" s="39">
        <v>11129265.880000001</v>
      </c>
      <c r="G2066" s="40">
        <v>328.53921416974168</v>
      </c>
      <c r="H2066" s="41">
        <v>6.5763738429586646E-2</v>
      </c>
      <c r="I2066" s="40">
        <v>34.095940959409603</v>
      </c>
      <c r="J2066" s="41">
        <v>0.1037804301248305</v>
      </c>
      <c r="K2066" s="9" t="s">
        <v>2941</v>
      </c>
    </row>
    <row r="2067" spans="1:11" x14ac:dyDescent="0.2">
      <c r="A2067" s="9" t="s">
        <v>51</v>
      </c>
      <c r="B2067" s="9" t="s">
        <v>2942</v>
      </c>
      <c r="C2067" s="9"/>
      <c r="D2067" s="9" t="s">
        <v>83</v>
      </c>
      <c r="E2067" s="38">
        <v>2400</v>
      </c>
      <c r="F2067" s="39">
        <v>424456</v>
      </c>
      <c r="G2067" s="40">
        <v>176.85666666666671</v>
      </c>
      <c r="H2067" s="41"/>
      <c r="I2067" s="40">
        <v>46.048875101986702</v>
      </c>
      <c r="J2067" s="41">
        <v>0.26037398515928167</v>
      </c>
      <c r="K2067" s="9" t="s">
        <v>2943</v>
      </c>
    </row>
    <row r="2068" spans="1:11" x14ac:dyDescent="0.2">
      <c r="A2068" s="9" t="s">
        <v>51</v>
      </c>
      <c r="B2068" s="9" t="s">
        <v>1001</v>
      </c>
      <c r="C2068" s="9"/>
      <c r="D2068" s="9" t="s">
        <v>76</v>
      </c>
      <c r="E2068" s="38">
        <v>3071</v>
      </c>
      <c r="F2068" s="39">
        <v>814305.49</v>
      </c>
      <c r="G2068" s="40">
        <v>265.15971670465638</v>
      </c>
      <c r="H2068" s="41">
        <v>-1</v>
      </c>
      <c r="I2068" s="40">
        <v>59.211614967581987</v>
      </c>
      <c r="J2068" s="41">
        <v>0.22330546926000011</v>
      </c>
      <c r="K2068" s="9" t="s">
        <v>2944</v>
      </c>
    </row>
    <row r="2069" spans="1:11" x14ac:dyDescent="0.2">
      <c r="A2069" s="9" t="s">
        <v>51</v>
      </c>
      <c r="B2069" s="9" t="s">
        <v>2945</v>
      </c>
      <c r="C2069" s="9"/>
      <c r="D2069" s="9" t="s">
        <v>83</v>
      </c>
      <c r="E2069" s="38">
        <v>1637</v>
      </c>
      <c r="F2069" s="39">
        <v>0</v>
      </c>
      <c r="G2069" s="40"/>
      <c r="H2069" s="41">
        <v>-1</v>
      </c>
      <c r="I2069" s="40">
        <v>51.844826065637783</v>
      </c>
      <c r="J2069" s="41"/>
      <c r="K2069" s="9" t="s">
        <v>2946</v>
      </c>
    </row>
    <row r="2070" spans="1:11" x14ac:dyDescent="0.2">
      <c r="A2070" s="9" t="s">
        <v>51</v>
      </c>
      <c r="B2070" s="9" t="s">
        <v>2947</v>
      </c>
      <c r="C2070" s="9"/>
      <c r="D2070" s="9" t="s">
        <v>83</v>
      </c>
      <c r="E2070" s="38">
        <v>9389</v>
      </c>
      <c r="F2070" s="39">
        <v>0</v>
      </c>
      <c r="G2070" s="40"/>
      <c r="H2070" s="41"/>
      <c r="I2070" s="40">
        <v>0.43143600520953629</v>
      </c>
      <c r="J2070" s="41"/>
      <c r="K2070" s="9" t="s">
        <v>2948</v>
      </c>
    </row>
    <row r="2071" spans="1:11" x14ac:dyDescent="0.2">
      <c r="A2071" s="9" t="s">
        <v>51</v>
      </c>
      <c r="B2071" s="9" t="s">
        <v>2949</v>
      </c>
      <c r="C2071" s="9"/>
      <c r="D2071" s="9" t="s">
        <v>83</v>
      </c>
      <c r="E2071" s="38">
        <v>3975</v>
      </c>
      <c r="F2071" s="39">
        <v>0</v>
      </c>
      <c r="G2071" s="40"/>
      <c r="H2071" s="41"/>
      <c r="I2071" s="40">
        <v>35.918964967582014</v>
      </c>
      <c r="J2071" s="41"/>
      <c r="K2071" s="9" t="s">
        <v>2950</v>
      </c>
    </row>
    <row r="2072" spans="1:11" x14ac:dyDescent="0.2">
      <c r="A2072" s="9" t="s">
        <v>51</v>
      </c>
      <c r="B2072" s="9" t="s">
        <v>1231</v>
      </c>
      <c r="C2072" s="9"/>
      <c r="D2072" s="9" t="s">
        <v>76</v>
      </c>
      <c r="E2072" s="38">
        <v>7060</v>
      </c>
      <c r="F2072" s="39">
        <v>2660707.0099999998</v>
      </c>
      <c r="G2072" s="40">
        <v>376.8706813031161</v>
      </c>
      <c r="H2072" s="41">
        <v>6.2874101727211307E-2</v>
      </c>
      <c r="I2072" s="40">
        <v>59.816312049690772</v>
      </c>
      <c r="J2072" s="41">
        <v>0.15871840134356499</v>
      </c>
      <c r="K2072" s="9" t="s">
        <v>2951</v>
      </c>
    </row>
    <row r="2073" spans="1:11" x14ac:dyDescent="0.2">
      <c r="A2073" s="9" t="s">
        <v>51</v>
      </c>
      <c r="B2073" s="9" t="s">
        <v>1236</v>
      </c>
      <c r="C2073" s="9"/>
      <c r="D2073" s="9" t="s">
        <v>76</v>
      </c>
      <c r="E2073" s="38">
        <v>2348</v>
      </c>
      <c r="F2073" s="39">
        <v>1284935.45</v>
      </c>
      <c r="G2073" s="40">
        <v>547.24678449744476</v>
      </c>
      <c r="H2073" s="41">
        <v>-0.21789655911210409</v>
      </c>
      <c r="I2073" s="40">
        <v>108.1792828988789</v>
      </c>
      <c r="J2073" s="41">
        <v>0.19767915675963929</v>
      </c>
      <c r="K2073" s="9" t="s">
        <v>2952</v>
      </c>
    </row>
    <row r="2074" spans="1:11" x14ac:dyDescent="0.2">
      <c r="A2074" s="9" t="s">
        <v>51</v>
      </c>
      <c r="B2074" s="9" t="s">
        <v>456</v>
      </c>
      <c r="C2074" s="9"/>
      <c r="D2074" s="9" t="s">
        <v>76</v>
      </c>
      <c r="E2074" s="38">
        <v>1290</v>
      </c>
      <c r="F2074" s="39">
        <v>394141.95</v>
      </c>
      <c r="G2074" s="40">
        <v>305.53639534883717</v>
      </c>
      <c r="H2074" s="41">
        <v>9.8426428024458671E-3</v>
      </c>
      <c r="I2074" s="40">
        <v>65.093761104734597</v>
      </c>
      <c r="J2074" s="41">
        <v>0.21304748663548151</v>
      </c>
      <c r="K2074" s="9" t="s">
        <v>2953</v>
      </c>
    </row>
    <row r="2075" spans="1:11" x14ac:dyDescent="0.2">
      <c r="A2075" s="9" t="s">
        <v>51</v>
      </c>
      <c r="B2075" s="9" t="s">
        <v>1788</v>
      </c>
      <c r="C2075" s="9"/>
      <c r="D2075" s="9" t="s">
        <v>76</v>
      </c>
      <c r="E2075" s="38">
        <v>10000</v>
      </c>
      <c r="F2075" s="39">
        <v>2621134.6800000002</v>
      </c>
      <c r="G2075" s="40">
        <v>262.11346800000001</v>
      </c>
      <c r="H2075" s="41">
        <v>7.4967409800221124E-2</v>
      </c>
      <c r="I2075" s="40">
        <v>71.71825955202587</v>
      </c>
      <c r="J2075" s="41">
        <v>0.27361531667661532</v>
      </c>
      <c r="K2075" s="9" t="s">
        <v>2954</v>
      </c>
    </row>
    <row r="2076" spans="1:11" x14ac:dyDescent="0.2">
      <c r="A2076" s="9" t="s">
        <v>51</v>
      </c>
      <c r="B2076" s="9" t="s">
        <v>2955</v>
      </c>
      <c r="C2076" s="9"/>
      <c r="D2076" s="9" t="s">
        <v>78</v>
      </c>
      <c r="E2076" s="38">
        <v>1430</v>
      </c>
      <c r="F2076" s="39">
        <v>0</v>
      </c>
      <c r="G2076" s="40"/>
      <c r="H2076" s="41"/>
      <c r="I2076" s="40">
        <v>78.734964967582073</v>
      </c>
      <c r="J2076" s="41"/>
      <c r="K2076" s="9" t="s">
        <v>2956</v>
      </c>
    </row>
    <row r="2077" spans="1:11" x14ac:dyDescent="0.2">
      <c r="A2077" s="9" t="s">
        <v>51</v>
      </c>
      <c r="B2077" s="9" t="s">
        <v>2957</v>
      </c>
      <c r="C2077" s="9"/>
      <c r="D2077" s="9" t="s">
        <v>83</v>
      </c>
      <c r="E2077" s="38">
        <v>6989</v>
      </c>
      <c r="F2077" s="39">
        <v>0</v>
      </c>
      <c r="G2077" s="40"/>
      <c r="H2077" s="41"/>
      <c r="I2077" s="40">
        <v>0.62324653026184063</v>
      </c>
      <c r="J2077" s="41"/>
      <c r="K2077" s="9" t="s">
        <v>2958</v>
      </c>
    </row>
    <row r="2078" spans="1:11" x14ac:dyDescent="0.2">
      <c r="A2078" s="9" t="s">
        <v>51</v>
      </c>
      <c r="B2078" s="9" t="s">
        <v>2959</v>
      </c>
      <c r="C2078" s="9"/>
      <c r="D2078" s="9" t="s">
        <v>85</v>
      </c>
      <c r="E2078" s="38">
        <v>11055</v>
      </c>
      <c r="F2078" s="39">
        <v>0</v>
      </c>
      <c r="G2078" s="40"/>
      <c r="H2078" s="41"/>
      <c r="I2078" s="40">
        <v>4.0313362770176719E-2</v>
      </c>
      <c r="J2078" s="41"/>
      <c r="K2078" s="9" t="s">
        <v>2960</v>
      </c>
    </row>
    <row r="2079" spans="1:11" x14ac:dyDescent="0.2">
      <c r="A2079" s="9" t="s">
        <v>51</v>
      </c>
      <c r="B2079" s="9" t="s">
        <v>2961</v>
      </c>
      <c r="C2079" s="9"/>
      <c r="D2079" s="9" t="s">
        <v>81</v>
      </c>
      <c r="E2079" s="38">
        <v>6158</v>
      </c>
      <c r="F2079" s="39">
        <v>0</v>
      </c>
      <c r="G2079" s="40"/>
      <c r="H2079" s="41">
        <v>-1</v>
      </c>
      <c r="I2079" s="40">
        <v>2.4705901460611051</v>
      </c>
      <c r="J2079" s="41"/>
      <c r="K2079" s="9" t="s">
        <v>2962</v>
      </c>
    </row>
    <row r="2080" spans="1:11" x14ac:dyDescent="0.2">
      <c r="A2080" s="9" t="s">
        <v>51</v>
      </c>
      <c r="B2080" s="9" t="s">
        <v>2963</v>
      </c>
      <c r="C2080" s="9"/>
      <c r="D2080" s="9" t="s">
        <v>83</v>
      </c>
      <c r="E2080" s="38">
        <v>1125</v>
      </c>
      <c r="F2080" s="39">
        <v>535346.80000000005</v>
      </c>
      <c r="G2080" s="40">
        <v>475.86382222222232</v>
      </c>
      <c r="H2080" s="41">
        <v>0.1161875191074363</v>
      </c>
      <c r="I2080" s="40">
        <v>44.408395200000001</v>
      </c>
      <c r="J2080" s="41">
        <v>9.3321646080634077E-2</v>
      </c>
      <c r="K2080" s="9" t="s">
        <v>2964</v>
      </c>
    </row>
    <row r="2081" spans="1:11" x14ac:dyDescent="0.2">
      <c r="A2081" s="9" t="s">
        <v>51</v>
      </c>
      <c r="B2081" s="9" t="s">
        <v>260</v>
      </c>
      <c r="C2081" s="9"/>
      <c r="D2081" s="9" t="s">
        <v>76</v>
      </c>
      <c r="E2081" s="38">
        <v>4700</v>
      </c>
      <c r="F2081" s="39">
        <v>2898200.91</v>
      </c>
      <c r="G2081" s="40">
        <v>616.63849148936163</v>
      </c>
      <c r="H2081" s="41">
        <v>1.03422913704977E-2</v>
      </c>
      <c r="I2081" s="40">
        <v>110.45368740380979</v>
      </c>
      <c r="J2081" s="41">
        <v>0.1791222716847142</v>
      </c>
      <c r="K2081" s="9" t="s">
        <v>2965</v>
      </c>
    </row>
    <row r="2082" spans="1:11" x14ac:dyDescent="0.2">
      <c r="A2082" s="9" t="s">
        <v>51</v>
      </c>
      <c r="B2082" s="9" t="s">
        <v>262</v>
      </c>
      <c r="C2082" s="9"/>
      <c r="D2082" s="9" t="s">
        <v>76</v>
      </c>
      <c r="E2082" s="38">
        <v>5226</v>
      </c>
      <c r="F2082" s="39">
        <v>0</v>
      </c>
      <c r="G2082" s="40"/>
      <c r="H2082" s="41"/>
      <c r="I2082" s="40">
        <v>95</v>
      </c>
      <c r="J2082" s="41"/>
      <c r="K2082" s="9" t="s">
        <v>2966</v>
      </c>
    </row>
    <row r="2083" spans="1:11" x14ac:dyDescent="0.2">
      <c r="A2083" s="9" t="s">
        <v>51</v>
      </c>
      <c r="B2083" s="9" t="s">
        <v>2967</v>
      </c>
      <c r="C2083" s="9"/>
      <c r="D2083" s="9" t="s">
        <v>76</v>
      </c>
      <c r="E2083" s="38">
        <v>7791</v>
      </c>
      <c r="F2083" s="39">
        <v>3916134</v>
      </c>
      <c r="G2083" s="40">
        <v>502.64844050827878</v>
      </c>
      <c r="H2083" s="41">
        <v>7.5228276174274786E-2</v>
      </c>
      <c r="I2083" s="40">
        <v>38.487753829125793</v>
      </c>
      <c r="J2083" s="41">
        <v>7.6569925871463815E-2</v>
      </c>
      <c r="K2083" s="9" t="s">
        <v>2968</v>
      </c>
    </row>
    <row r="2084" spans="1:11" x14ac:dyDescent="0.2">
      <c r="A2084" s="9" t="s">
        <v>51</v>
      </c>
      <c r="B2084" s="9" t="s">
        <v>597</v>
      </c>
      <c r="C2084" s="9"/>
      <c r="D2084" s="9" t="s">
        <v>78</v>
      </c>
      <c r="E2084" s="38">
        <v>1703</v>
      </c>
      <c r="F2084" s="39">
        <v>2676510.5699999998</v>
      </c>
      <c r="G2084" s="40">
        <v>1571.6444920728129</v>
      </c>
      <c r="H2084" s="41">
        <v>4.59991327329248E-4</v>
      </c>
      <c r="I2084" s="40">
        <v>108.9804435472264</v>
      </c>
      <c r="J2084" s="41">
        <v>6.9341663523087307E-2</v>
      </c>
      <c r="K2084" s="9" t="s">
        <v>2969</v>
      </c>
    </row>
    <row r="2085" spans="1:11" x14ac:dyDescent="0.2">
      <c r="A2085" s="9" t="s">
        <v>51</v>
      </c>
      <c r="B2085" s="9" t="s">
        <v>2970</v>
      </c>
      <c r="C2085" s="9"/>
      <c r="D2085" s="9" t="s">
        <v>83</v>
      </c>
      <c r="E2085" s="38">
        <v>1766</v>
      </c>
      <c r="F2085" s="39">
        <v>801639.87</v>
      </c>
      <c r="G2085" s="40">
        <v>453.929711211778</v>
      </c>
      <c r="H2085" s="41">
        <v>0.71825125854738869</v>
      </c>
      <c r="I2085" s="40">
        <v>65.468016181881197</v>
      </c>
      <c r="J2085" s="41">
        <v>0.14422500789188811</v>
      </c>
      <c r="K2085" s="9" t="s">
        <v>2971</v>
      </c>
    </row>
    <row r="2086" spans="1:11" x14ac:dyDescent="0.2">
      <c r="A2086" s="9" t="s">
        <v>51</v>
      </c>
      <c r="B2086" s="9" t="s">
        <v>279</v>
      </c>
      <c r="C2086" s="9"/>
      <c r="D2086" s="9" t="s">
        <v>76</v>
      </c>
      <c r="E2086" s="38">
        <v>6500</v>
      </c>
      <c r="F2086" s="39">
        <v>1982383.83</v>
      </c>
      <c r="G2086" s="40">
        <v>304.98212769230759</v>
      </c>
      <c r="H2086" s="41">
        <v>7.4900875990785111E-3</v>
      </c>
      <c r="I2086" s="40">
        <v>56.626972140967091</v>
      </c>
      <c r="J2086" s="41">
        <v>0.18567308376213201</v>
      </c>
      <c r="K2086" s="9" t="s">
        <v>2972</v>
      </c>
    </row>
    <row r="2087" spans="1:11" x14ac:dyDescent="0.2">
      <c r="A2087" s="9" t="s">
        <v>51</v>
      </c>
      <c r="B2087" s="9" t="s">
        <v>494</v>
      </c>
      <c r="C2087" s="9"/>
      <c r="D2087" s="9" t="s">
        <v>85</v>
      </c>
      <c r="E2087" s="38">
        <v>1813</v>
      </c>
      <c r="F2087" s="39">
        <v>2258895.67</v>
      </c>
      <c r="G2087" s="40">
        <v>1245.9435576392721</v>
      </c>
      <c r="H2087" s="41">
        <v>-0.31816998331856911</v>
      </c>
      <c r="I2087" s="40">
        <v>124.01567490057229</v>
      </c>
      <c r="J2087" s="41">
        <v>9.9535548091398807E-2</v>
      </c>
      <c r="K2087" s="9" t="s">
        <v>2973</v>
      </c>
    </row>
    <row r="2088" spans="1:11" x14ac:dyDescent="0.2">
      <c r="A2088" s="9" t="s">
        <v>51</v>
      </c>
      <c r="B2088" s="9" t="s">
        <v>285</v>
      </c>
      <c r="C2088" s="9"/>
      <c r="D2088" s="9" t="s">
        <v>76</v>
      </c>
      <c r="E2088" s="38">
        <v>6603</v>
      </c>
      <c r="F2088" s="39">
        <v>13116304.220000001</v>
      </c>
      <c r="G2088" s="40">
        <v>1986.4159048917161</v>
      </c>
      <c r="H2088" s="41">
        <v>7.5547089055224684E-2</v>
      </c>
      <c r="I2088" s="40">
        <v>67.343062556929624</v>
      </c>
      <c r="J2088" s="41">
        <v>3.3901793874632033E-2</v>
      </c>
      <c r="K2088" s="9" t="s">
        <v>2974</v>
      </c>
    </row>
    <row r="2089" spans="1:11" x14ac:dyDescent="0.2">
      <c r="A2089" s="9" t="s">
        <v>51</v>
      </c>
      <c r="B2089" s="9" t="s">
        <v>502</v>
      </c>
      <c r="C2089" s="9"/>
      <c r="D2089" s="9" t="s">
        <v>86</v>
      </c>
      <c r="E2089" s="38">
        <v>121233</v>
      </c>
      <c r="F2089" s="39">
        <v>0</v>
      </c>
      <c r="G2089" s="40"/>
      <c r="H2089" s="41"/>
      <c r="I2089" s="40">
        <v>1.472588486633174</v>
      </c>
      <c r="J2089" s="41"/>
      <c r="K2089" s="9" t="s">
        <v>2975</v>
      </c>
    </row>
    <row r="2090" spans="1:11" x14ac:dyDescent="0.2">
      <c r="A2090" s="9" t="s">
        <v>51</v>
      </c>
      <c r="B2090" s="9" t="s">
        <v>2976</v>
      </c>
      <c r="C2090" s="9"/>
      <c r="D2090" s="9" t="s">
        <v>76</v>
      </c>
      <c r="E2090" s="38">
        <v>3360</v>
      </c>
      <c r="F2090" s="39">
        <v>2499382.1</v>
      </c>
      <c r="G2090" s="40">
        <v>743.86372023809508</v>
      </c>
      <c r="H2090" s="41">
        <v>-0.1287969010930553</v>
      </c>
      <c r="I2090" s="40">
        <v>84.862465552025867</v>
      </c>
      <c r="J2090" s="41">
        <v>0.11408335054284301</v>
      </c>
      <c r="K2090" s="9" t="s">
        <v>2977</v>
      </c>
    </row>
    <row r="2091" spans="1:11" x14ac:dyDescent="0.2">
      <c r="A2091" s="9" t="s">
        <v>51</v>
      </c>
      <c r="B2091" s="9" t="s">
        <v>2978</v>
      </c>
      <c r="C2091" s="9"/>
      <c r="D2091" s="9" t="s">
        <v>76</v>
      </c>
      <c r="E2091" s="38">
        <v>2396</v>
      </c>
      <c r="F2091" s="39">
        <v>0</v>
      </c>
      <c r="G2091" s="40"/>
      <c r="H2091" s="41"/>
      <c r="I2091" s="40">
        <v>69.388964967582012</v>
      </c>
      <c r="J2091" s="41"/>
      <c r="K2091" s="9" t="s">
        <v>2979</v>
      </c>
    </row>
    <row r="2092" spans="1:11" x14ac:dyDescent="0.2">
      <c r="A2092" s="9" t="s">
        <v>51</v>
      </c>
      <c r="B2092" s="9" t="s">
        <v>2980</v>
      </c>
      <c r="C2092" s="9"/>
      <c r="D2092" s="9" t="s">
        <v>83</v>
      </c>
      <c r="E2092" s="38">
        <v>2033</v>
      </c>
      <c r="F2092" s="39">
        <v>0</v>
      </c>
      <c r="G2092" s="40"/>
      <c r="H2092" s="41"/>
      <c r="I2092" s="40">
        <v>47.327464967582031</v>
      </c>
      <c r="J2092" s="41"/>
      <c r="K2092" s="9" t="s">
        <v>2981</v>
      </c>
    </row>
    <row r="2093" spans="1:11" x14ac:dyDescent="0.2">
      <c r="A2093" s="9" t="s">
        <v>51</v>
      </c>
      <c r="B2093" s="9" t="s">
        <v>2982</v>
      </c>
      <c r="C2093" s="9"/>
      <c r="D2093" s="9" t="s">
        <v>81</v>
      </c>
      <c r="E2093" s="38">
        <v>5871</v>
      </c>
      <c r="F2093" s="39">
        <v>0</v>
      </c>
      <c r="G2093" s="40"/>
      <c r="H2093" s="41"/>
      <c r="I2093" s="40">
        <v>72.804393254659786</v>
      </c>
      <c r="J2093" s="41"/>
      <c r="K2093" s="9" t="s">
        <v>2983</v>
      </c>
    </row>
    <row r="2094" spans="1:11" x14ac:dyDescent="0.2">
      <c r="A2094" s="9" t="s">
        <v>51</v>
      </c>
      <c r="B2094" s="9" t="s">
        <v>1816</v>
      </c>
      <c r="C2094" s="9"/>
      <c r="D2094" s="9" t="s">
        <v>76</v>
      </c>
      <c r="E2094" s="38">
        <v>7311</v>
      </c>
      <c r="F2094" s="39">
        <v>4693267.790000001</v>
      </c>
      <c r="G2094" s="40">
        <v>641.94607987963354</v>
      </c>
      <c r="H2094" s="41">
        <v>0.37607447748035688</v>
      </c>
      <c r="I2094" s="40">
        <v>51.885150145104667</v>
      </c>
      <c r="J2094" s="41">
        <v>8.0824779169666822E-2</v>
      </c>
      <c r="K2094" s="9" t="s">
        <v>2984</v>
      </c>
    </row>
    <row r="2095" spans="1:11" x14ac:dyDescent="0.2">
      <c r="A2095" s="9" t="s">
        <v>51</v>
      </c>
      <c r="B2095" s="9" t="s">
        <v>321</v>
      </c>
      <c r="C2095" s="9"/>
      <c r="D2095" s="9" t="s">
        <v>78</v>
      </c>
      <c r="E2095" s="38">
        <v>2000</v>
      </c>
      <c r="F2095" s="39">
        <v>0</v>
      </c>
      <c r="G2095" s="40"/>
      <c r="H2095" s="41"/>
      <c r="I2095" s="40">
        <v>68.675124967582036</v>
      </c>
      <c r="J2095" s="41"/>
      <c r="K2095" s="9" t="s">
        <v>2985</v>
      </c>
    </row>
    <row r="2096" spans="1:11" x14ac:dyDescent="0.2">
      <c r="A2096" s="9" t="s">
        <v>51</v>
      </c>
      <c r="B2096" s="9" t="s">
        <v>323</v>
      </c>
      <c r="C2096" s="9"/>
      <c r="D2096" s="9" t="s">
        <v>81</v>
      </c>
      <c r="E2096" s="38">
        <v>4775</v>
      </c>
      <c r="F2096" s="39">
        <v>2449857.6</v>
      </c>
      <c r="G2096" s="40">
        <v>513.0591832460733</v>
      </c>
      <c r="H2096" s="41">
        <v>5.7614022418696412E-2</v>
      </c>
      <c r="I2096" s="40">
        <v>68.558375752271488</v>
      </c>
      <c r="J2096" s="41">
        <v>0.1336266418983276</v>
      </c>
      <c r="K2096" s="9" t="s">
        <v>2986</v>
      </c>
    </row>
    <row r="2097" spans="1:11" x14ac:dyDescent="0.2">
      <c r="A2097" s="9" t="s">
        <v>51</v>
      </c>
      <c r="B2097" s="9" t="s">
        <v>605</v>
      </c>
      <c r="C2097" s="9"/>
      <c r="D2097" s="9" t="s">
        <v>82</v>
      </c>
      <c r="E2097" s="38">
        <v>3309</v>
      </c>
      <c r="F2097" s="39">
        <v>802184.75</v>
      </c>
      <c r="G2097" s="40">
        <v>242.42512843759451</v>
      </c>
      <c r="H2097" s="41">
        <v>-9.9488564185134423E-2</v>
      </c>
      <c r="I2097" s="40">
        <v>80.580799999999996</v>
      </c>
      <c r="J2097" s="41">
        <v>0.33239458516258252</v>
      </c>
      <c r="K2097" s="9" t="s">
        <v>2987</v>
      </c>
    </row>
    <row r="2098" spans="1:11" x14ac:dyDescent="0.2">
      <c r="A2098" s="9" t="s">
        <v>51</v>
      </c>
      <c r="B2098" s="9" t="s">
        <v>2988</v>
      </c>
      <c r="C2098" s="9"/>
      <c r="D2098" s="9" t="s">
        <v>82</v>
      </c>
      <c r="E2098" s="38">
        <v>2900</v>
      </c>
      <c r="F2098" s="39">
        <v>328787.63</v>
      </c>
      <c r="G2098" s="40">
        <v>113.37504482758619</v>
      </c>
      <c r="H2098" s="41">
        <v>-1</v>
      </c>
      <c r="I2098" s="40">
        <v>24.63705999999998</v>
      </c>
      <c r="J2098" s="41">
        <v>0.2173058457217503</v>
      </c>
      <c r="K2098" s="9" t="s">
        <v>2989</v>
      </c>
    </row>
    <row r="2099" spans="1:11" x14ac:dyDescent="0.2">
      <c r="A2099" s="9" t="s">
        <v>51</v>
      </c>
      <c r="B2099" s="9" t="s">
        <v>607</v>
      </c>
      <c r="C2099" s="9"/>
      <c r="D2099" s="9" t="s">
        <v>85</v>
      </c>
      <c r="E2099" s="38">
        <v>16200</v>
      </c>
      <c r="F2099" s="39">
        <v>10522972.34</v>
      </c>
      <c r="G2099" s="40">
        <v>649.56619382716053</v>
      </c>
      <c r="H2099" s="41">
        <v>-0.1508099639514679</v>
      </c>
      <c r="I2099" s="40">
        <v>66.914915181881184</v>
      </c>
      <c r="J2099" s="41">
        <v>0.10301477481090431</v>
      </c>
      <c r="K2099" s="9" t="s">
        <v>2990</v>
      </c>
    </row>
    <row r="2100" spans="1:11" x14ac:dyDescent="0.2">
      <c r="A2100" s="9" t="s">
        <v>51</v>
      </c>
      <c r="B2100" s="9" t="s">
        <v>607</v>
      </c>
      <c r="C2100" s="9"/>
      <c r="D2100" s="9" t="s">
        <v>85</v>
      </c>
      <c r="E2100" s="38">
        <v>8516</v>
      </c>
      <c r="F2100" s="39">
        <v>2446823.21</v>
      </c>
      <c r="G2100" s="40">
        <v>287.32071512447158</v>
      </c>
      <c r="H2100" s="41">
        <v>0.23525093906542641</v>
      </c>
      <c r="I2100" s="40">
        <v>53.129779181881219</v>
      </c>
      <c r="J2100" s="41">
        <v>0.18491454456691231</v>
      </c>
      <c r="K2100" s="9" t="s">
        <v>2990</v>
      </c>
    </row>
    <row r="2101" spans="1:11" x14ac:dyDescent="0.2">
      <c r="A2101" s="9" t="s">
        <v>51</v>
      </c>
      <c r="B2101" s="9" t="s">
        <v>2991</v>
      </c>
      <c r="C2101" s="9"/>
      <c r="D2101" s="9" t="s">
        <v>83</v>
      </c>
      <c r="E2101" s="38">
        <v>4000</v>
      </c>
      <c r="F2101" s="39">
        <v>0</v>
      </c>
      <c r="G2101" s="40"/>
      <c r="H2101" s="41"/>
      <c r="I2101" s="40">
        <v>36.688964967582002</v>
      </c>
      <c r="J2101" s="41"/>
      <c r="K2101" s="9" t="s">
        <v>2992</v>
      </c>
    </row>
    <row r="2102" spans="1:11" x14ac:dyDescent="0.2">
      <c r="A2102" s="9" t="s">
        <v>51</v>
      </c>
      <c r="B2102" s="9" t="s">
        <v>2993</v>
      </c>
      <c r="C2102" s="9"/>
      <c r="D2102" s="9" t="s">
        <v>82</v>
      </c>
      <c r="E2102" s="38">
        <v>4200</v>
      </c>
      <c r="F2102" s="39">
        <v>1612639.66</v>
      </c>
      <c r="G2102" s="40">
        <v>383.96182380952382</v>
      </c>
      <c r="H2102" s="41">
        <v>3.5764135392398373E-2</v>
      </c>
      <c r="I2102" s="40">
        <v>64.24866331284592</v>
      </c>
      <c r="J2102" s="41">
        <v>0.167330862936828</v>
      </c>
      <c r="K2102" s="9" t="s">
        <v>2994</v>
      </c>
    </row>
    <row r="2103" spans="1:11" x14ac:dyDescent="0.2">
      <c r="A2103" s="9" t="s">
        <v>51</v>
      </c>
      <c r="B2103" s="9" t="s">
        <v>609</v>
      </c>
      <c r="C2103" s="9"/>
      <c r="D2103" s="9" t="s">
        <v>82</v>
      </c>
      <c r="E2103" s="38">
        <v>51549</v>
      </c>
      <c r="F2103" s="39">
        <v>16226397.42</v>
      </c>
      <c r="G2103" s="40">
        <v>314.77618227317703</v>
      </c>
      <c r="H2103" s="41">
        <v>-0.1595090046915717</v>
      </c>
      <c r="I2103" s="40">
        <v>25.350759273700749</v>
      </c>
      <c r="J2103" s="41">
        <v>8.0535824186660401E-2</v>
      </c>
      <c r="K2103" s="9" t="s">
        <v>2995</v>
      </c>
    </row>
    <row r="2104" spans="1:11" x14ac:dyDescent="0.2">
      <c r="A2104" s="9" t="s">
        <v>51</v>
      </c>
      <c r="B2104" s="9" t="s">
        <v>2996</v>
      </c>
      <c r="C2104" s="9"/>
      <c r="D2104" s="9" t="s">
        <v>80</v>
      </c>
      <c r="E2104" s="38">
        <v>1500</v>
      </c>
      <c r="F2104" s="39">
        <v>353942.87</v>
      </c>
      <c r="G2104" s="40">
        <v>235.96191333333331</v>
      </c>
      <c r="H2104" s="41">
        <v>-1</v>
      </c>
      <c r="I2104" s="40">
        <v>35</v>
      </c>
      <c r="J2104" s="41">
        <v>0.14832902270357931</v>
      </c>
      <c r="K2104" s="9" t="s">
        <v>2997</v>
      </c>
    </row>
    <row r="2105" spans="1:11" x14ac:dyDescent="0.2">
      <c r="A2105" s="9" t="s">
        <v>51</v>
      </c>
      <c r="B2105" s="9" t="s">
        <v>2998</v>
      </c>
      <c r="C2105" s="9"/>
      <c r="D2105" s="9" t="s">
        <v>80</v>
      </c>
      <c r="E2105" s="38">
        <v>1769</v>
      </c>
      <c r="F2105" s="39">
        <v>977466.76</v>
      </c>
      <c r="G2105" s="40">
        <v>552.55328434143587</v>
      </c>
      <c r="H2105" s="41">
        <v>-3.3563167458889459E-2</v>
      </c>
      <c r="I2105" s="40">
        <v>89.25621204969076</v>
      </c>
      <c r="J2105" s="41">
        <v>0.16153412635321021</v>
      </c>
      <c r="K2105" s="9" t="s">
        <v>2999</v>
      </c>
    </row>
    <row r="2106" spans="1:11" x14ac:dyDescent="0.2">
      <c r="A2106" s="9" t="s">
        <v>51</v>
      </c>
      <c r="B2106" s="9" t="s">
        <v>611</v>
      </c>
      <c r="C2106" s="9"/>
      <c r="D2106" s="9" t="s">
        <v>78</v>
      </c>
      <c r="E2106" s="38">
        <v>1020</v>
      </c>
      <c r="F2106" s="39">
        <v>0</v>
      </c>
      <c r="G2106" s="40"/>
      <c r="H2106" s="41"/>
      <c r="I2106" s="40">
        <v>62.688964967582002</v>
      </c>
      <c r="J2106" s="41"/>
      <c r="K2106" s="9" t="s">
        <v>3000</v>
      </c>
    </row>
    <row r="2107" spans="1:11" x14ac:dyDescent="0.2">
      <c r="A2107" s="9" t="s">
        <v>51</v>
      </c>
      <c r="B2107" s="9" t="s">
        <v>3001</v>
      </c>
      <c r="C2107" s="9"/>
      <c r="D2107" s="9" t="s">
        <v>83</v>
      </c>
      <c r="E2107" s="38">
        <v>2001</v>
      </c>
      <c r="F2107" s="39">
        <v>1058406.5</v>
      </c>
      <c r="G2107" s="40">
        <v>528.93878060969519</v>
      </c>
      <c r="H2107" s="41">
        <v>-9.9375821678319751E-2</v>
      </c>
      <c r="I2107" s="40">
        <v>55.017614488327681</v>
      </c>
      <c r="J2107" s="41">
        <v>0.10401508927916039</v>
      </c>
      <c r="K2107" s="9" t="s">
        <v>3002</v>
      </c>
    </row>
    <row r="2108" spans="1:11" x14ac:dyDescent="0.2">
      <c r="A2108" s="9" t="s">
        <v>51</v>
      </c>
      <c r="B2108" s="9" t="s">
        <v>3003</v>
      </c>
      <c r="C2108" s="9"/>
      <c r="D2108" s="9" t="s">
        <v>84</v>
      </c>
      <c r="E2108" s="38">
        <v>5125</v>
      </c>
      <c r="F2108" s="39">
        <v>809811.72</v>
      </c>
      <c r="G2108" s="40">
        <v>158.01204292682931</v>
      </c>
      <c r="H2108" s="41"/>
      <c r="I2108" s="40">
        <v>61.948255552025927</v>
      </c>
      <c r="J2108" s="41">
        <v>0.39204768449650612</v>
      </c>
      <c r="K2108" s="9" t="s">
        <v>3004</v>
      </c>
    </row>
    <row r="2109" spans="1:11" x14ac:dyDescent="0.2">
      <c r="A2109" s="9" t="s">
        <v>51</v>
      </c>
      <c r="B2109" s="9" t="s">
        <v>3005</v>
      </c>
      <c r="C2109" s="9"/>
      <c r="D2109" s="9" t="s">
        <v>76</v>
      </c>
      <c r="E2109" s="38">
        <v>2000</v>
      </c>
      <c r="F2109" s="39">
        <v>844559.35</v>
      </c>
      <c r="G2109" s="40">
        <v>422.279675</v>
      </c>
      <c r="H2109" s="41">
        <v>2.2775432867358551E-2</v>
      </c>
      <c r="I2109" s="40">
        <v>41.588964967582022</v>
      </c>
      <c r="J2109" s="41">
        <v>9.8486778857121232E-2</v>
      </c>
      <c r="K2109" s="9" t="s">
        <v>3006</v>
      </c>
    </row>
    <row r="2110" spans="1:11" x14ac:dyDescent="0.2">
      <c r="A2110" s="9" t="s">
        <v>51</v>
      </c>
      <c r="B2110" s="9" t="s">
        <v>343</v>
      </c>
      <c r="C2110" s="9"/>
      <c r="D2110" s="9" t="s">
        <v>79</v>
      </c>
      <c r="E2110" s="38">
        <v>5538</v>
      </c>
      <c r="F2110" s="39">
        <v>11264548.859999999</v>
      </c>
      <c r="G2110" s="40">
        <v>2034.046381365114</v>
      </c>
      <c r="H2110" s="41">
        <v>0.40015900778516023</v>
      </c>
      <c r="I2110" s="40">
        <v>122.9633221774255</v>
      </c>
      <c r="J2110" s="41">
        <v>6.0452565538304408E-2</v>
      </c>
      <c r="K2110" s="9" t="s">
        <v>3007</v>
      </c>
    </row>
    <row r="2111" spans="1:11" x14ac:dyDescent="0.2">
      <c r="A2111" s="9" t="s">
        <v>51</v>
      </c>
      <c r="B2111" s="9" t="s">
        <v>1292</v>
      </c>
      <c r="C2111" s="9"/>
      <c r="D2111" s="9" t="s">
        <v>81</v>
      </c>
      <c r="E2111" s="38">
        <v>3000</v>
      </c>
      <c r="F2111" s="39">
        <v>0</v>
      </c>
      <c r="G2111" s="40"/>
      <c r="H2111" s="41"/>
      <c r="I2111" s="40">
        <v>0.83333333333333193</v>
      </c>
      <c r="J2111" s="41"/>
      <c r="K2111" s="9" t="s">
        <v>3008</v>
      </c>
    </row>
    <row r="2112" spans="1:11" x14ac:dyDescent="0.2">
      <c r="A2112" s="9" t="s">
        <v>51</v>
      </c>
      <c r="B2112" s="9" t="s">
        <v>535</v>
      </c>
      <c r="C2112" s="9"/>
      <c r="D2112" s="9" t="s">
        <v>83</v>
      </c>
      <c r="E2112" s="38">
        <v>6763</v>
      </c>
      <c r="F2112" s="39">
        <v>0</v>
      </c>
      <c r="G2112" s="40"/>
      <c r="H2112" s="41"/>
      <c r="I2112" s="40">
        <v>27.550000000000011</v>
      </c>
      <c r="J2112" s="41"/>
      <c r="K2112" s="9" t="s">
        <v>3009</v>
      </c>
    </row>
    <row r="2113" spans="1:11" x14ac:dyDescent="0.2">
      <c r="A2113" s="9" t="s">
        <v>51</v>
      </c>
      <c r="B2113" s="9" t="s">
        <v>353</v>
      </c>
      <c r="C2113" s="9"/>
      <c r="D2113" s="9" t="s">
        <v>76</v>
      </c>
      <c r="E2113" s="38">
        <v>3206</v>
      </c>
      <c r="F2113" s="39">
        <v>1596088.68</v>
      </c>
      <c r="G2113" s="40">
        <v>497.84425452276992</v>
      </c>
      <c r="H2113" s="41">
        <v>8.3417322730135163E-2</v>
      </c>
      <c r="I2113" s="40">
        <v>85.983150191492555</v>
      </c>
      <c r="J2113" s="41">
        <v>0.1727109420473586</v>
      </c>
      <c r="K2113" s="9" t="s">
        <v>3010</v>
      </c>
    </row>
    <row r="2114" spans="1:11" x14ac:dyDescent="0.2">
      <c r="A2114" s="9" t="s">
        <v>51</v>
      </c>
      <c r="B2114" s="9" t="s">
        <v>3011</v>
      </c>
      <c r="C2114" s="9"/>
      <c r="D2114" s="9" t="s">
        <v>81</v>
      </c>
      <c r="E2114" s="38">
        <v>8790</v>
      </c>
      <c r="F2114" s="39">
        <v>6031878.4400000004</v>
      </c>
      <c r="G2114" s="40">
        <v>686.22052787258258</v>
      </c>
      <c r="H2114" s="41">
        <v>5.7473539228071059E-2</v>
      </c>
      <c r="I2114" s="40">
        <v>39.991857809482447</v>
      </c>
      <c r="J2114" s="41">
        <v>5.8278434096783738E-2</v>
      </c>
      <c r="K2114" s="9" t="s">
        <v>3012</v>
      </c>
    </row>
    <row r="2115" spans="1:11" x14ac:dyDescent="0.2">
      <c r="A2115" s="9" t="s">
        <v>51</v>
      </c>
      <c r="B2115" s="9" t="s">
        <v>3013</v>
      </c>
      <c r="C2115" s="9"/>
      <c r="D2115" s="9" t="s">
        <v>83</v>
      </c>
      <c r="E2115" s="38">
        <v>4565</v>
      </c>
      <c r="F2115" s="39">
        <v>1635037</v>
      </c>
      <c r="G2115" s="40">
        <v>358.16801752464397</v>
      </c>
      <c r="H2115" s="41">
        <v>-0.1006980318483241</v>
      </c>
      <c r="I2115" s="40">
        <v>59.387806905208123</v>
      </c>
      <c r="J2115" s="41">
        <v>0.16580991043155299</v>
      </c>
      <c r="K2115" s="9" t="s">
        <v>3014</v>
      </c>
    </row>
    <row r="2116" spans="1:11" x14ac:dyDescent="0.2">
      <c r="A2116" s="9" t="s">
        <v>51</v>
      </c>
      <c r="B2116" s="9" t="s">
        <v>357</v>
      </c>
      <c r="C2116" s="9"/>
      <c r="D2116" s="9" t="s">
        <v>76</v>
      </c>
      <c r="E2116" s="38">
        <v>1710</v>
      </c>
      <c r="F2116" s="39">
        <v>566095.64</v>
      </c>
      <c r="G2116" s="40">
        <v>331.05008187134501</v>
      </c>
      <c r="H2116" s="41">
        <v>-4.9191318462463787E-2</v>
      </c>
      <c r="I2116" s="40">
        <v>71.251892020000568</v>
      </c>
      <c r="J2116" s="41">
        <v>0.2152299483426528</v>
      </c>
      <c r="K2116" s="9" t="s">
        <v>3015</v>
      </c>
    </row>
    <row r="2117" spans="1:11" x14ac:dyDescent="0.2">
      <c r="A2117" s="9" t="s">
        <v>51</v>
      </c>
      <c r="B2117" s="9" t="s">
        <v>3016</v>
      </c>
      <c r="C2117" s="9"/>
      <c r="D2117" s="9" t="s">
        <v>81</v>
      </c>
      <c r="E2117" s="38">
        <v>2000</v>
      </c>
      <c r="F2117" s="39">
        <v>1794579.66</v>
      </c>
      <c r="G2117" s="40">
        <v>897.28982999999994</v>
      </c>
      <c r="H2117" s="41">
        <v>2.2380232582333438E-2</v>
      </c>
      <c r="I2117" s="40">
        <v>63.89898249804024</v>
      </c>
      <c r="J2117" s="41">
        <v>7.1213314095001215E-2</v>
      </c>
      <c r="K2117" s="9" t="s">
        <v>3017</v>
      </c>
    </row>
    <row r="2118" spans="1:11" x14ac:dyDescent="0.2">
      <c r="A2118" s="9" t="s">
        <v>51</v>
      </c>
      <c r="B2118" s="9" t="s">
        <v>3018</v>
      </c>
      <c r="C2118" s="9"/>
      <c r="D2118" s="9" t="s">
        <v>83</v>
      </c>
      <c r="E2118" s="38">
        <v>2000</v>
      </c>
      <c r="F2118" s="39">
        <v>351061</v>
      </c>
      <c r="G2118" s="40">
        <v>175.53049999999999</v>
      </c>
      <c r="H2118" s="41">
        <v>1.0573618821041501E-3</v>
      </c>
      <c r="I2118" s="40">
        <v>40.515320967582063</v>
      </c>
      <c r="J2118" s="41">
        <v>0.23081641633552041</v>
      </c>
      <c r="K2118" s="9" t="s">
        <v>3019</v>
      </c>
    </row>
    <row r="2119" spans="1:11" x14ac:dyDescent="0.2">
      <c r="A2119" s="9" t="s">
        <v>51</v>
      </c>
      <c r="B2119" s="9" t="s">
        <v>3020</v>
      </c>
      <c r="C2119" s="9"/>
      <c r="D2119" s="9" t="s">
        <v>77</v>
      </c>
      <c r="E2119" s="38">
        <v>5352</v>
      </c>
      <c r="F2119" s="39">
        <v>1805504.04</v>
      </c>
      <c r="G2119" s="40">
        <v>337.35127802690579</v>
      </c>
      <c r="H2119" s="41">
        <v>1.848948420012464E-2</v>
      </c>
      <c r="I2119" s="40">
        <v>50.82587050724964</v>
      </c>
      <c r="J2119" s="41">
        <v>0.15066156205045109</v>
      </c>
      <c r="K2119" s="9" t="s">
        <v>3021</v>
      </c>
    </row>
    <row r="2120" spans="1:11" x14ac:dyDescent="0.2">
      <c r="A2120" s="9" t="s">
        <v>51</v>
      </c>
      <c r="B2120" s="9" t="s">
        <v>626</v>
      </c>
      <c r="C2120" s="9"/>
      <c r="D2120" s="9" t="s">
        <v>83</v>
      </c>
      <c r="E2120" s="38">
        <v>2711</v>
      </c>
      <c r="F2120" s="39">
        <v>1026189.36</v>
      </c>
      <c r="G2120" s="40">
        <v>378.52798229435638</v>
      </c>
      <c r="H2120" s="41">
        <v>-0.31593233133503051</v>
      </c>
      <c r="I2120" s="40">
        <v>88.572170727582034</v>
      </c>
      <c r="J2120" s="41">
        <v>0.23399107825720869</v>
      </c>
      <c r="K2120" s="9" t="s">
        <v>3022</v>
      </c>
    </row>
    <row r="2121" spans="1:11" x14ac:dyDescent="0.2">
      <c r="A2121" s="9" t="s">
        <v>51</v>
      </c>
      <c r="B2121" s="9" t="s">
        <v>3023</v>
      </c>
      <c r="C2121" s="9"/>
      <c r="D2121" s="9" t="s">
        <v>76</v>
      </c>
      <c r="E2121" s="38">
        <v>1206</v>
      </c>
      <c r="F2121" s="39">
        <v>1418446.4836363629</v>
      </c>
      <c r="G2121" s="40">
        <v>1176.157946630484</v>
      </c>
      <c r="H2121" s="41"/>
      <c r="I2121" s="40">
        <v>73.17980791948915</v>
      </c>
      <c r="J2121" s="41">
        <v>6.2219371241029608E-2</v>
      </c>
      <c r="K2121" s="9" t="s">
        <v>3024</v>
      </c>
    </row>
    <row r="2122" spans="1:11" x14ac:dyDescent="0.2">
      <c r="A2122" s="9" t="s">
        <v>51</v>
      </c>
      <c r="B2122" s="9" t="s">
        <v>554</v>
      </c>
      <c r="C2122" s="9"/>
      <c r="D2122" s="9" t="s">
        <v>76</v>
      </c>
      <c r="E2122" s="38">
        <v>4799</v>
      </c>
      <c r="F2122" s="39">
        <v>779093.72</v>
      </c>
      <c r="G2122" s="40">
        <v>162.34501354448841</v>
      </c>
      <c r="H2122" s="41"/>
      <c r="I2122" s="40">
        <v>70.134964967581922</v>
      </c>
      <c r="J2122" s="41">
        <v>0.43201182122149012</v>
      </c>
      <c r="K2122" s="9" t="s">
        <v>3025</v>
      </c>
    </row>
    <row r="2123" spans="1:11" x14ac:dyDescent="0.2">
      <c r="A2123" s="9" t="s">
        <v>51</v>
      </c>
      <c r="B2123" s="9" t="s">
        <v>628</v>
      </c>
      <c r="C2123" s="9"/>
      <c r="D2123" s="9" t="s">
        <v>82</v>
      </c>
      <c r="E2123" s="38">
        <v>1817</v>
      </c>
      <c r="F2123" s="39">
        <v>2071765</v>
      </c>
      <c r="G2123" s="40">
        <v>1140.211887727022</v>
      </c>
      <c r="H2123" s="41">
        <v>0.28944814481448139</v>
      </c>
      <c r="I2123" s="40">
        <v>84.545851063533846</v>
      </c>
      <c r="J2123" s="41">
        <v>7.4149245393392099E-2</v>
      </c>
      <c r="K2123" s="9" t="s">
        <v>3026</v>
      </c>
    </row>
    <row r="2124" spans="1:11" x14ac:dyDescent="0.2">
      <c r="A2124" s="9" t="s">
        <v>51</v>
      </c>
      <c r="B2124" s="9" t="s">
        <v>3027</v>
      </c>
      <c r="C2124" s="9"/>
      <c r="D2124" s="9" t="s">
        <v>79</v>
      </c>
      <c r="E2124" s="38">
        <v>4933</v>
      </c>
      <c r="F2124" s="39">
        <v>2853325.93</v>
      </c>
      <c r="G2124" s="40">
        <v>578.41595986215293</v>
      </c>
      <c r="H2124" s="41">
        <v>0.53743126490593895</v>
      </c>
      <c r="I2124" s="40">
        <v>46.785975898878817</v>
      </c>
      <c r="J2124" s="41">
        <v>8.0886384791368435E-2</v>
      </c>
      <c r="K2124" s="9" t="s">
        <v>3028</v>
      </c>
    </row>
    <row r="2125" spans="1:11" x14ac:dyDescent="0.2">
      <c r="A2125" s="9" t="s">
        <v>51</v>
      </c>
      <c r="B2125" s="9" t="s">
        <v>1844</v>
      </c>
      <c r="C2125" s="9"/>
      <c r="D2125" s="9" t="s">
        <v>76</v>
      </c>
      <c r="E2125" s="38">
        <v>3816</v>
      </c>
      <c r="F2125" s="39">
        <v>0</v>
      </c>
      <c r="G2125" s="40"/>
      <c r="H2125" s="41"/>
      <c r="I2125" s="40">
        <v>71.337055552025859</v>
      </c>
      <c r="J2125" s="41"/>
      <c r="K2125" s="9" t="s">
        <v>3029</v>
      </c>
    </row>
    <row r="2126" spans="1:11" x14ac:dyDescent="0.2">
      <c r="A2126" s="9" t="s">
        <v>51</v>
      </c>
      <c r="B2126" s="9" t="s">
        <v>3030</v>
      </c>
      <c r="C2126" s="9"/>
      <c r="D2126" s="9" t="s">
        <v>85</v>
      </c>
      <c r="E2126" s="38">
        <v>12262</v>
      </c>
      <c r="F2126" s="39">
        <v>0</v>
      </c>
      <c r="G2126" s="40"/>
      <c r="H2126" s="41"/>
      <c r="I2126" s="40">
        <v>44.815219350639047</v>
      </c>
      <c r="J2126" s="41"/>
      <c r="K2126" s="9" t="s">
        <v>3031</v>
      </c>
    </row>
    <row r="2127" spans="1:11" x14ac:dyDescent="0.2">
      <c r="A2127" s="9" t="s">
        <v>51</v>
      </c>
      <c r="B2127" s="9" t="s">
        <v>3032</v>
      </c>
      <c r="C2127" s="9"/>
      <c r="D2127" s="9" t="s">
        <v>80</v>
      </c>
      <c r="E2127" s="38">
        <v>2151</v>
      </c>
      <c r="F2127" s="39">
        <v>1509552.57</v>
      </c>
      <c r="G2127" s="40">
        <v>701.79105997210604</v>
      </c>
      <c r="H2127" s="41">
        <v>-0.11571322091481361</v>
      </c>
      <c r="I2127" s="40">
        <v>64.295269329690768</v>
      </c>
      <c r="J2127" s="41">
        <v>9.1615970902003657E-2</v>
      </c>
      <c r="K2127" s="9" t="s">
        <v>3033</v>
      </c>
    </row>
    <row r="2128" spans="1:11" x14ac:dyDescent="0.2">
      <c r="A2128" s="9" t="s">
        <v>51</v>
      </c>
      <c r="B2128" s="9" t="s">
        <v>568</v>
      </c>
      <c r="C2128" s="9"/>
      <c r="D2128" s="9" t="s">
        <v>76</v>
      </c>
      <c r="E2128" s="38">
        <v>1680</v>
      </c>
      <c r="F2128" s="39">
        <v>404014.4</v>
      </c>
      <c r="G2128" s="40">
        <v>240.48476190476191</v>
      </c>
      <c r="H2128" s="41">
        <v>4.9915321317990181E-2</v>
      </c>
      <c r="I2128" s="40">
        <v>116.0001137237774</v>
      </c>
      <c r="J2128" s="41">
        <v>0.48235951752201423</v>
      </c>
      <c r="K2128" s="9" t="s">
        <v>3034</v>
      </c>
    </row>
    <row r="2129" spans="1:11" x14ac:dyDescent="0.2">
      <c r="A2129" s="9" t="s">
        <v>51</v>
      </c>
      <c r="B2129" s="9" t="s">
        <v>3035</v>
      </c>
      <c r="C2129" s="9"/>
      <c r="D2129" s="9" t="s">
        <v>76</v>
      </c>
      <c r="E2129" s="38">
        <v>3080</v>
      </c>
      <c r="F2129" s="39">
        <v>1040523.89</v>
      </c>
      <c r="G2129" s="40">
        <v>337.83243181818182</v>
      </c>
      <c r="H2129" s="41">
        <v>0.34640479224290238</v>
      </c>
      <c r="I2129" s="40">
        <v>70.210492898878911</v>
      </c>
      <c r="J2129" s="41">
        <v>0.20782638458070099</v>
      </c>
      <c r="K2129" s="9" t="s">
        <v>3036</v>
      </c>
    </row>
    <row r="2130" spans="1:11" x14ac:dyDescent="0.2">
      <c r="A2130" s="9" t="s">
        <v>51</v>
      </c>
      <c r="B2130" s="9" t="s">
        <v>3037</v>
      </c>
      <c r="C2130" s="9"/>
      <c r="D2130" s="9" t="s">
        <v>85</v>
      </c>
      <c r="E2130" s="38">
        <v>14285</v>
      </c>
      <c r="F2130" s="39">
        <v>0</v>
      </c>
      <c r="G2130" s="40"/>
      <c r="H2130" s="41"/>
      <c r="I2130" s="40">
        <v>0.47304928256563639</v>
      </c>
      <c r="J2130" s="41"/>
      <c r="K2130" s="9" t="s">
        <v>3038</v>
      </c>
    </row>
    <row r="2131" spans="1:11" x14ac:dyDescent="0.2">
      <c r="A2131" s="9" t="s">
        <v>51</v>
      </c>
      <c r="B2131" s="9" t="s">
        <v>640</v>
      </c>
      <c r="C2131" s="9"/>
      <c r="D2131" s="9" t="s">
        <v>83</v>
      </c>
      <c r="E2131" s="38">
        <v>2000</v>
      </c>
      <c r="F2131" s="39">
        <v>2205590.52</v>
      </c>
      <c r="G2131" s="40">
        <v>1102.7952600000001</v>
      </c>
      <c r="H2131" s="41">
        <v>-1</v>
      </c>
      <c r="I2131" s="40">
        <v>84.955975065637745</v>
      </c>
      <c r="J2131" s="41">
        <v>7.7036942528786123E-2</v>
      </c>
      <c r="K2131" s="9" t="s">
        <v>3039</v>
      </c>
    </row>
    <row r="2132" spans="1:11" x14ac:dyDescent="0.2">
      <c r="A2132" s="9" t="s">
        <v>51</v>
      </c>
      <c r="B2132" s="9" t="s">
        <v>571</v>
      </c>
      <c r="C2132" s="9"/>
      <c r="D2132" s="9" t="s">
        <v>76</v>
      </c>
      <c r="E2132" s="38">
        <v>3100</v>
      </c>
      <c r="F2132" s="39">
        <v>1119208.76</v>
      </c>
      <c r="G2132" s="40">
        <v>361.03508387096781</v>
      </c>
      <c r="H2132" s="41">
        <v>0.12517372841603039</v>
      </c>
      <c r="I2132" s="40">
        <v>85.983150191492285</v>
      </c>
      <c r="J2132" s="41">
        <v>0.23815732606812881</v>
      </c>
      <c r="K2132" s="9" t="s">
        <v>3040</v>
      </c>
    </row>
    <row r="2133" spans="1:11" x14ac:dyDescent="0.2">
      <c r="A2133" s="9" t="s">
        <v>51</v>
      </c>
      <c r="B2133" s="9" t="s">
        <v>3041</v>
      </c>
      <c r="C2133" s="9"/>
      <c r="D2133" s="9" t="s">
        <v>80</v>
      </c>
      <c r="E2133" s="38">
        <v>3697</v>
      </c>
      <c r="F2133" s="39">
        <v>0</v>
      </c>
      <c r="G2133" s="40"/>
      <c r="H2133" s="41"/>
      <c r="I2133" s="40">
        <v>52.878964967582128</v>
      </c>
      <c r="J2133" s="41"/>
      <c r="K2133" s="9" t="s">
        <v>3042</v>
      </c>
    </row>
    <row r="2134" spans="1:11" x14ac:dyDescent="0.2">
      <c r="A2134" s="9" t="s">
        <v>51</v>
      </c>
      <c r="B2134" s="9" t="s">
        <v>644</v>
      </c>
      <c r="C2134" s="9"/>
      <c r="D2134" s="9" t="s">
        <v>82</v>
      </c>
      <c r="E2134" s="38">
        <v>8984</v>
      </c>
      <c r="F2134" s="39">
        <v>5636112.1799999997</v>
      </c>
      <c r="G2134" s="40">
        <v>627.34997551202139</v>
      </c>
      <c r="H2134" s="41">
        <v>5.6890246374357301E-2</v>
      </c>
      <c r="I2134" s="40">
        <v>68.069779181881131</v>
      </c>
      <c r="J2134" s="41">
        <v>0.1085036771163097</v>
      </c>
      <c r="K2134" s="9" t="s">
        <v>3043</v>
      </c>
    </row>
    <row r="2135" spans="1:11" x14ac:dyDescent="0.2">
      <c r="A2135" s="9" t="s">
        <v>51</v>
      </c>
      <c r="B2135" s="9" t="s">
        <v>3044</v>
      </c>
      <c r="C2135" s="9"/>
      <c r="D2135" s="9" t="s">
        <v>82</v>
      </c>
      <c r="E2135" s="38">
        <v>6172</v>
      </c>
      <c r="F2135" s="39">
        <v>0</v>
      </c>
      <c r="G2135" s="40"/>
      <c r="H2135" s="41">
        <v>-1</v>
      </c>
      <c r="I2135" s="40">
        <v>28.138658457550221</v>
      </c>
      <c r="J2135" s="41"/>
      <c r="K2135" s="9" t="s">
        <v>3045</v>
      </c>
    </row>
    <row r="2136" spans="1:11" x14ac:dyDescent="0.2">
      <c r="A2136" s="9" t="s">
        <v>51</v>
      </c>
      <c r="B2136" s="9" t="s">
        <v>574</v>
      </c>
      <c r="C2136" s="9"/>
      <c r="D2136" s="9" t="s">
        <v>82</v>
      </c>
      <c r="E2136" s="38">
        <v>1800</v>
      </c>
      <c r="F2136" s="39">
        <v>600108</v>
      </c>
      <c r="G2136" s="40">
        <v>333.39333333333332</v>
      </c>
      <c r="H2136" s="41">
        <v>-1.12084051820845E-2</v>
      </c>
      <c r="I2136" s="40">
        <v>69.493930552025859</v>
      </c>
      <c r="J2136" s="41">
        <v>0.20844427168717389</v>
      </c>
      <c r="K2136" s="9" t="s">
        <v>3046</v>
      </c>
    </row>
    <row r="2137" spans="1:11" x14ac:dyDescent="0.2">
      <c r="A2137" s="9" t="s">
        <v>51</v>
      </c>
      <c r="B2137" s="9" t="s">
        <v>3047</v>
      </c>
      <c r="C2137" s="9"/>
      <c r="D2137" s="9" t="s">
        <v>82</v>
      </c>
      <c r="E2137" s="38">
        <v>3396</v>
      </c>
      <c r="F2137" s="39">
        <v>0</v>
      </c>
      <c r="G2137" s="40"/>
      <c r="H2137" s="41"/>
      <c r="I2137" s="40">
        <v>109.50139331284591</v>
      </c>
      <c r="J2137" s="41"/>
      <c r="K2137" s="9" t="s">
        <v>3048</v>
      </c>
    </row>
    <row r="2138" spans="1:11" x14ac:dyDescent="0.2">
      <c r="A2138" s="9" t="s">
        <v>22</v>
      </c>
      <c r="B2138" s="9" t="s">
        <v>3049</v>
      </c>
      <c r="C2138" s="9" t="s">
        <v>80</v>
      </c>
      <c r="D2138" s="9" t="s">
        <v>79</v>
      </c>
      <c r="E2138" s="38">
        <v>3843</v>
      </c>
      <c r="F2138" s="39">
        <v>0</v>
      </c>
      <c r="G2138" s="40"/>
      <c r="H2138" s="41"/>
      <c r="I2138" s="40">
        <v>65.47</v>
      </c>
      <c r="J2138" s="41"/>
      <c r="K2138" s="9" t="s">
        <v>3050</v>
      </c>
    </row>
    <row r="2139" spans="1:11" x14ac:dyDescent="0.2">
      <c r="A2139" s="9" t="s">
        <v>22</v>
      </c>
      <c r="B2139" s="9" t="s">
        <v>3051</v>
      </c>
      <c r="C2139" s="9"/>
      <c r="D2139" s="9" t="s">
        <v>83</v>
      </c>
      <c r="E2139" s="38">
        <v>1267</v>
      </c>
      <c r="F2139" s="39">
        <v>0</v>
      </c>
      <c r="G2139" s="40"/>
      <c r="H2139" s="41"/>
      <c r="I2139" s="40">
        <v>40.5</v>
      </c>
      <c r="J2139" s="41"/>
      <c r="K2139" s="9" t="s">
        <v>3052</v>
      </c>
    </row>
    <row r="2140" spans="1:11" x14ac:dyDescent="0.2">
      <c r="A2140" s="9" t="s">
        <v>22</v>
      </c>
      <c r="B2140" s="9" t="s">
        <v>3053</v>
      </c>
      <c r="C2140" s="9"/>
      <c r="D2140" s="9" t="s">
        <v>83</v>
      </c>
      <c r="E2140" s="38">
        <v>8407</v>
      </c>
      <c r="F2140" s="39">
        <v>0</v>
      </c>
      <c r="G2140" s="40"/>
      <c r="H2140" s="41"/>
      <c r="I2140" s="40">
        <v>40</v>
      </c>
      <c r="J2140" s="41"/>
      <c r="K2140" s="9" t="s">
        <v>3054</v>
      </c>
    </row>
    <row r="2141" spans="1:11" x14ac:dyDescent="0.2">
      <c r="A2141" s="9" t="s">
        <v>22</v>
      </c>
      <c r="B2141" s="9" t="s">
        <v>3055</v>
      </c>
      <c r="C2141" s="9"/>
      <c r="D2141" s="9" t="s">
        <v>85</v>
      </c>
      <c r="E2141" s="38">
        <v>36866</v>
      </c>
      <c r="F2141" s="39">
        <v>6352445</v>
      </c>
      <c r="G2141" s="40">
        <v>172.31175066456899</v>
      </c>
      <c r="H2141" s="41">
        <v>-7.5268817204301078E-2</v>
      </c>
      <c r="I2141" s="40">
        <v>36.92</v>
      </c>
      <c r="J2141" s="41">
        <v>0.2142628106185886</v>
      </c>
      <c r="K2141" s="9" t="s">
        <v>3056</v>
      </c>
    </row>
    <row r="2142" spans="1:11" x14ac:dyDescent="0.2">
      <c r="A2142" s="9" t="s">
        <v>22</v>
      </c>
      <c r="B2142" s="9" t="s">
        <v>3057</v>
      </c>
      <c r="C2142" s="9"/>
      <c r="D2142" s="9" t="s">
        <v>81</v>
      </c>
      <c r="E2142" s="38">
        <v>5260</v>
      </c>
      <c r="F2142" s="39">
        <v>5385288</v>
      </c>
      <c r="G2142" s="40">
        <v>1023.819011406844</v>
      </c>
      <c r="H2142" s="41">
        <v>0.34559789750328518</v>
      </c>
      <c r="I2142" s="40">
        <v>58.98</v>
      </c>
      <c r="J2142" s="41">
        <v>5.7607838243748523E-2</v>
      </c>
      <c r="K2142" s="9" t="s">
        <v>3058</v>
      </c>
    </row>
    <row r="2143" spans="1:11" x14ac:dyDescent="0.2">
      <c r="A2143" s="9" t="s">
        <v>22</v>
      </c>
      <c r="B2143" s="9" t="s">
        <v>3059</v>
      </c>
      <c r="C2143" s="9"/>
      <c r="D2143" s="9" t="s">
        <v>79</v>
      </c>
      <c r="E2143" s="38">
        <v>1600</v>
      </c>
      <c r="F2143" s="39">
        <v>0</v>
      </c>
      <c r="G2143" s="40"/>
      <c r="H2143" s="41"/>
      <c r="I2143" s="40">
        <v>59.65</v>
      </c>
      <c r="J2143" s="41"/>
      <c r="K2143" s="9" t="s">
        <v>3060</v>
      </c>
    </row>
    <row r="2144" spans="1:11" x14ac:dyDescent="0.2">
      <c r="A2144" s="9" t="s">
        <v>22</v>
      </c>
      <c r="B2144" s="9" t="s">
        <v>3061</v>
      </c>
      <c r="C2144" s="9"/>
      <c r="D2144" s="9" t="s">
        <v>84</v>
      </c>
      <c r="E2144" s="38">
        <v>1631</v>
      </c>
      <c r="F2144" s="39">
        <v>0</v>
      </c>
      <c r="G2144" s="40"/>
      <c r="H2144" s="41"/>
      <c r="I2144" s="40">
        <v>37.5</v>
      </c>
      <c r="J2144" s="41"/>
      <c r="K2144" s="9" t="s">
        <v>3062</v>
      </c>
    </row>
    <row r="2145" spans="1:11" x14ac:dyDescent="0.2">
      <c r="A2145" s="9" t="s">
        <v>22</v>
      </c>
      <c r="B2145" s="9" t="s">
        <v>985</v>
      </c>
      <c r="C2145" s="9"/>
      <c r="D2145" s="9" t="s">
        <v>76</v>
      </c>
      <c r="E2145" s="38">
        <v>4000</v>
      </c>
      <c r="F2145" s="39">
        <v>2299628</v>
      </c>
      <c r="G2145" s="40">
        <v>574.90700000000004</v>
      </c>
      <c r="H2145" s="41">
        <v>-5.737704918032787E-2</v>
      </c>
      <c r="I2145" s="40">
        <v>58.39</v>
      </c>
      <c r="J2145" s="41">
        <v>0.1015642530009201</v>
      </c>
      <c r="K2145" s="9" t="s">
        <v>3063</v>
      </c>
    </row>
    <row r="2146" spans="1:11" x14ac:dyDescent="0.2">
      <c r="A2146" s="9" t="s">
        <v>22</v>
      </c>
      <c r="B2146" s="9" t="s">
        <v>3064</v>
      </c>
      <c r="C2146" s="9"/>
      <c r="D2146" s="9" t="s">
        <v>83</v>
      </c>
      <c r="E2146" s="38">
        <v>3086</v>
      </c>
      <c r="F2146" s="39">
        <v>2104078</v>
      </c>
      <c r="G2146" s="40">
        <v>681.8139987038237</v>
      </c>
      <c r="H2146" s="41">
        <v>7.2327044025157231E-2</v>
      </c>
      <c r="I2146" s="40">
        <v>77.86</v>
      </c>
      <c r="J2146" s="41">
        <v>0.11419536728201141</v>
      </c>
      <c r="K2146" s="9" t="s">
        <v>3065</v>
      </c>
    </row>
    <row r="2147" spans="1:11" x14ac:dyDescent="0.2">
      <c r="A2147" s="9" t="s">
        <v>22</v>
      </c>
      <c r="B2147" s="9" t="s">
        <v>3066</v>
      </c>
      <c r="C2147" s="9"/>
      <c r="D2147" s="9" t="s">
        <v>83</v>
      </c>
      <c r="E2147" s="38">
        <v>3294</v>
      </c>
      <c r="F2147" s="39">
        <v>0</v>
      </c>
      <c r="G2147" s="40"/>
      <c r="H2147" s="41"/>
      <c r="I2147" s="40">
        <v>40.5</v>
      </c>
      <c r="J2147" s="41"/>
      <c r="K2147" s="9" t="s">
        <v>3067</v>
      </c>
    </row>
    <row r="2148" spans="1:11" x14ac:dyDescent="0.2">
      <c r="A2148" s="9" t="s">
        <v>22</v>
      </c>
      <c r="B2148" s="9" t="s">
        <v>3068</v>
      </c>
      <c r="C2148" s="9"/>
      <c r="D2148" s="9" t="s">
        <v>83</v>
      </c>
      <c r="E2148" s="38">
        <v>1800</v>
      </c>
      <c r="F2148" s="39">
        <v>765724</v>
      </c>
      <c r="G2148" s="40">
        <v>425.40222222222218</v>
      </c>
      <c r="H2148" s="41">
        <v>-6.1810154525386317E-2</v>
      </c>
      <c r="I2148" s="40">
        <v>55.05</v>
      </c>
      <c r="J2148" s="41">
        <v>0.12940694035971179</v>
      </c>
      <c r="K2148" s="9" t="s">
        <v>3069</v>
      </c>
    </row>
    <row r="2149" spans="1:11" x14ac:dyDescent="0.2">
      <c r="A2149" s="9" t="s">
        <v>22</v>
      </c>
      <c r="B2149" s="9" t="s">
        <v>3070</v>
      </c>
      <c r="C2149" s="9"/>
      <c r="D2149" s="9" t="s">
        <v>79</v>
      </c>
      <c r="E2149" s="38">
        <v>2245</v>
      </c>
      <c r="F2149" s="39">
        <v>949636</v>
      </c>
      <c r="G2149" s="40">
        <v>423.00044543429851</v>
      </c>
      <c r="H2149" s="41">
        <v>0.23684210526315791</v>
      </c>
      <c r="I2149" s="40">
        <v>58.26</v>
      </c>
      <c r="J2149" s="41">
        <v>0.13773035141885939</v>
      </c>
      <c r="K2149" s="9" t="s">
        <v>3071</v>
      </c>
    </row>
    <row r="2150" spans="1:11" x14ac:dyDescent="0.2">
      <c r="A2150" s="9" t="s">
        <v>22</v>
      </c>
      <c r="B2150" s="9" t="s">
        <v>1215</v>
      </c>
      <c r="C2150" s="9"/>
      <c r="D2150" s="9" t="s">
        <v>81</v>
      </c>
      <c r="E2150" s="38">
        <v>2502</v>
      </c>
      <c r="F2150" s="39">
        <v>2905313</v>
      </c>
      <c r="G2150" s="40">
        <v>1161.196243005596</v>
      </c>
      <c r="H2150" s="41">
        <v>7.3012939001848423E-2</v>
      </c>
      <c r="I2150" s="40">
        <v>66.400000000000006</v>
      </c>
      <c r="J2150" s="41">
        <v>5.7182410294519037E-2</v>
      </c>
      <c r="K2150" s="9" t="s">
        <v>3072</v>
      </c>
    </row>
    <row r="2151" spans="1:11" x14ac:dyDescent="0.2">
      <c r="A2151" s="9" t="s">
        <v>22</v>
      </c>
      <c r="B2151" s="9" t="s">
        <v>3073</v>
      </c>
      <c r="C2151" s="9"/>
      <c r="D2151" s="9" t="s">
        <v>83</v>
      </c>
      <c r="E2151" s="38">
        <v>3002</v>
      </c>
      <c r="F2151" s="39">
        <v>0</v>
      </c>
      <c r="G2151" s="40"/>
      <c r="H2151" s="41"/>
      <c r="I2151" s="40">
        <v>60.61</v>
      </c>
      <c r="J2151" s="41"/>
      <c r="K2151" s="9" t="s">
        <v>3074</v>
      </c>
    </row>
    <row r="2152" spans="1:11" x14ac:dyDescent="0.2">
      <c r="A2152" s="9" t="s">
        <v>22</v>
      </c>
      <c r="B2152" s="9" t="s">
        <v>759</v>
      </c>
      <c r="C2152" s="9"/>
      <c r="D2152" s="9" t="s">
        <v>76</v>
      </c>
      <c r="E2152" s="38">
        <v>4045</v>
      </c>
      <c r="F2152" s="39">
        <v>1395897</v>
      </c>
      <c r="G2152" s="40">
        <v>345.09196538936959</v>
      </c>
      <c r="H2152" s="41">
        <v>-0.13098236775818639</v>
      </c>
      <c r="I2152" s="40">
        <v>46.45</v>
      </c>
      <c r="J2152" s="41">
        <v>0.13460180084920309</v>
      </c>
      <c r="K2152" s="9" t="s">
        <v>3075</v>
      </c>
    </row>
    <row r="2153" spans="1:11" x14ac:dyDescent="0.2">
      <c r="A2153" s="9" t="s">
        <v>22</v>
      </c>
      <c r="B2153" s="9" t="s">
        <v>3076</v>
      </c>
      <c r="C2153" s="9"/>
      <c r="D2153" s="9" t="s">
        <v>83</v>
      </c>
      <c r="E2153" s="38">
        <v>2373</v>
      </c>
      <c r="F2153" s="39">
        <v>0</v>
      </c>
      <c r="G2153" s="40"/>
      <c r="H2153" s="41"/>
      <c r="I2153" s="40">
        <v>40.770000000000003</v>
      </c>
      <c r="J2153" s="41"/>
      <c r="K2153" s="9" t="s">
        <v>3077</v>
      </c>
    </row>
    <row r="2154" spans="1:11" x14ac:dyDescent="0.2">
      <c r="A2154" s="9" t="s">
        <v>22</v>
      </c>
      <c r="B2154" s="9" t="s">
        <v>208</v>
      </c>
      <c r="C2154" s="9"/>
      <c r="D2154" s="9" t="s">
        <v>78</v>
      </c>
      <c r="E2154" s="38">
        <v>1250</v>
      </c>
      <c r="F2154" s="39">
        <v>683091</v>
      </c>
      <c r="G2154" s="40">
        <v>546.47280000000001</v>
      </c>
      <c r="H2154" s="41">
        <v>-0.1319554848966614</v>
      </c>
      <c r="I2154" s="40">
        <v>60.81</v>
      </c>
      <c r="J2154" s="41">
        <v>0.11127726759685019</v>
      </c>
      <c r="K2154" s="9" t="s">
        <v>3078</v>
      </c>
    </row>
    <row r="2155" spans="1:11" x14ac:dyDescent="0.2">
      <c r="A2155" s="9" t="s">
        <v>22</v>
      </c>
      <c r="B2155" s="9" t="s">
        <v>3079</v>
      </c>
      <c r="C2155" s="9"/>
      <c r="D2155" s="9" t="s">
        <v>79</v>
      </c>
      <c r="E2155" s="38">
        <v>6024</v>
      </c>
      <c r="F2155" s="39">
        <v>0</v>
      </c>
      <c r="G2155" s="40"/>
      <c r="H2155" s="41"/>
      <c r="I2155" s="40">
        <v>37.5</v>
      </c>
      <c r="J2155" s="41"/>
      <c r="K2155" s="9" t="s">
        <v>3080</v>
      </c>
    </row>
    <row r="2156" spans="1:11" x14ac:dyDescent="0.2">
      <c r="A2156" s="9" t="s">
        <v>22</v>
      </c>
      <c r="B2156" s="9" t="s">
        <v>3081</v>
      </c>
      <c r="C2156" s="9"/>
      <c r="D2156" s="9" t="s">
        <v>76</v>
      </c>
      <c r="E2156" s="38">
        <v>4157</v>
      </c>
      <c r="F2156" s="39">
        <v>0</v>
      </c>
      <c r="G2156" s="40"/>
      <c r="H2156" s="41"/>
      <c r="I2156" s="40">
        <v>64.37</v>
      </c>
      <c r="J2156" s="41"/>
      <c r="K2156" s="9" t="s">
        <v>3082</v>
      </c>
    </row>
    <row r="2157" spans="1:11" x14ac:dyDescent="0.2">
      <c r="A2157" s="9" t="s">
        <v>22</v>
      </c>
      <c r="B2157" s="9" t="s">
        <v>3083</v>
      </c>
      <c r="C2157" s="9"/>
      <c r="D2157" s="9" t="s">
        <v>81</v>
      </c>
      <c r="E2157" s="38">
        <v>4083</v>
      </c>
      <c r="F2157" s="39">
        <v>2735205</v>
      </c>
      <c r="G2157" s="40">
        <v>669.90080822924324</v>
      </c>
      <c r="H2157" s="41">
        <v>4.4977511244377807E-3</v>
      </c>
      <c r="I2157" s="40">
        <v>59.88</v>
      </c>
      <c r="J2157" s="41">
        <v>8.9386367749400869E-2</v>
      </c>
      <c r="K2157" s="9" t="s">
        <v>3084</v>
      </c>
    </row>
    <row r="2158" spans="1:11" x14ac:dyDescent="0.2">
      <c r="A2158" s="9" t="s">
        <v>22</v>
      </c>
      <c r="B2158" s="9" t="s">
        <v>3085</v>
      </c>
      <c r="C2158" s="9"/>
      <c r="D2158" s="9" t="s">
        <v>83</v>
      </c>
      <c r="E2158" s="38">
        <v>1153</v>
      </c>
      <c r="F2158" s="39">
        <v>0</v>
      </c>
      <c r="G2158" s="40"/>
      <c r="H2158" s="41"/>
      <c r="I2158" s="40">
        <v>41.5</v>
      </c>
      <c r="J2158" s="41"/>
      <c r="K2158" s="9" t="s">
        <v>3086</v>
      </c>
    </row>
    <row r="2159" spans="1:11" x14ac:dyDescent="0.2">
      <c r="A2159" s="9" t="s">
        <v>22</v>
      </c>
      <c r="B2159" s="9" t="s">
        <v>3087</v>
      </c>
      <c r="C2159" s="9"/>
      <c r="D2159" s="9" t="s">
        <v>83</v>
      </c>
      <c r="E2159" s="38">
        <v>2299</v>
      </c>
      <c r="F2159" s="39">
        <v>819692</v>
      </c>
      <c r="G2159" s="40">
        <v>356.54284471509351</v>
      </c>
      <c r="H2159" s="41">
        <v>0.43951612903225812</v>
      </c>
      <c r="I2159" s="40">
        <v>60.44</v>
      </c>
      <c r="J2159" s="41">
        <v>0.16951679411291071</v>
      </c>
      <c r="K2159" s="9" t="s">
        <v>3088</v>
      </c>
    </row>
    <row r="2160" spans="1:11" x14ac:dyDescent="0.2">
      <c r="A2160" s="9" t="s">
        <v>22</v>
      </c>
      <c r="B2160" s="9" t="s">
        <v>3089</v>
      </c>
      <c r="C2160" s="9"/>
      <c r="D2160" s="9" t="s">
        <v>83</v>
      </c>
      <c r="E2160" s="38">
        <v>1387</v>
      </c>
      <c r="F2160" s="39">
        <v>0</v>
      </c>
      <c r="G2160" s="40"/>
      <c r="H2160" s="41"/>
      <c r="I2160" s="40">
        <v>39.5</v>
      </c>
      <c r="J2160" s="41"/>
      <c r="K2160" s="9" t="s">
        <v>3090</v>
      </c>
    </row>
    <row r="2161" spans="1:11" x14ac:dyDescent="0.2">
      <c r="A2161" s="9" t="s">
        <v>22</v>
      </c>
      <c r="B2161" s="9" t="s">
        <v>3091</v>
      </c>
      <c r="C2161" s="9"/>
      <c r="D2161" s="9" t="s">
        <v>83</v>
      </c>
      <c r="E2161" s="38">
        <v>8000</v>
      </c>
      <c r="F2161" s="39">
        <v>0</v>
      </c>
      <c r="G2161" s="40"/>
      <c r="H2161" s="41"/>
      <c r="I2161" s="40">
        <v>65.569999999999993</v>
      </c>
      <c r="J2161" s="41"/>
      <c r="K2161" s="9" t="s">
        <v>3092</v>
      </c>
    </row>
    <row r="2162" spans="1:11" x14ac:dyDescent="0.2">
      <c r="A2162" s="9" t="s">
        <v>22</v>
      </c>
      <c r="B2162" s="9" t="s">
        <v>3093</v>
      </c>
      <c r="C2162" s="9"/>
      <c r="D2162" s="9" t="s">
        <v>77</v>
      </c>
      <c r="E2162" s="38">
        <v>2475</v>
      </c>
      <c r="F2162" s="39">
        <v>2676579</v>
      </c>
      <c r="G2162" s="40">
        <v>1081.4460606060611</v>
      </c>
      <c r="H2162" s="41">
        <v>5.56640625E-2</v>
      </c>
      <c r="I2162" s="40">
        <v>57.4</v>
      </c>
      <c r="J2162" s="41">
        <v>5.3077080855823799E-2</v>
      </c>
      <c r="K2162" s="9" t="s">
        <v>3094</v>
      </c>
    </row>
    <row r="2163" spans="1:11" x14ac:dyDescent="0.2">
      <c r="A2163" s="9" t="s">
        <v>22</v>
      </c>
      <c r="B2163" s="9" t="s">
        <v>456</v>
      </c>
      <c r="C2163" s="9"/>
      <c r="D2163" s="9" t="s">
        <v>76</v>
      </c>
      <c r="E2163" s="38">
        <v>1800</v>
      </c>
      <c r="F2163" s="39">
        <v>1207368</v>
      </c>
      <c r="G2163" s="40">
        <v>670.76</v>
      </c>
      <c r="H2163" s="41">
        <v>-3.3141210374639768E-2</v>
      </c>
      <c r="I2163" s="40">
        <v>64.12</v>
      </c>
      <c r="J2163" s="41">
        <v>9.5593058620072766E-2</v>
      </c>
      <c r="K2163" s="9" t="s">
        <v>3095</v>
      </c>
    </row>
    <row r="2164" spans="1:11" x14ac:dyDescent="0.2">
      <c r="A2164" s="9" t="s">
        <v>22</v>
      </c>
      <c r="B2164" s="9" t="s">
        <v>3096</v>
      </c>
      <c r="C2164" s="9"/>
      <c r="D2164" s="9" t="s">
        <v>83</v>
      </c>
      <c r="E2164" s="38">
        <v>6457</v>
      </c>
      <c r="F2164" s="39">
        <v>0</v>
      </c>
      <c r="G2164" s="40"/>
      <c r="H2164" s="41"/>
      <c r="I2164" s="40">
        <v>37.5</v>
      </c>
      <c r="J2164" s="41"/>
      <c r="K2164" s="9" t="s">
        <v>3097</v>
      </c>
    </row>
    <row r="2165" spans="1:11" x14ac:dyDescent="0.2">
      <c r="A2165" s="9" t="s">
        <v>22</v>
      </c>
      <c r="B2165" s="9" t="s">
        <v>3098</v>
      </c>
      <c r="C2165" s="9"/>
      <c r="D2165" s="9" t="s">
        <v>80</v>
      </c>
      <c r="E2165" s="38">
        <v>1540</v>
      </c>
      <c r="F2165" s="39">
        <v>1067038</v>
      </c>
      <c r="G2165" s="40">
        <v>692.88181818181818</v>
      </c>
      <c r="H2165" s="41">
        <v>5.1593323216995453E-2</v>
      </c>
      <c r="I2165" s="40">
        <v>73.97</v>
      </c>
      <c r="J2165" s="41">
        <v>0.1067570227114686</v>
      </c>
      <c r="K2165" s="9" t="s">
        <v>3099</v>
      </c>
    </row>
    <row r="2166" spans="1:11" x14ac:dyDescent="0.2">
      <c r="A2166" s="9" t="s">
        <v>22</v>
      </c>
      <c r="B2166" s="9" t="s">
        <v>3100</v>
      </c>
      <c r="C2166" s="9"/>
      <c r="D2166" s="9" t="s">
        <v>81</v>
      </c>
      <c r="E2166" s="38">
        <v>3657</v>
      </c>
      <c r="F2166" s="39">
        <v>3331648</v>
      </c>
      <c r="G2166" s="40">
        <v>911.03308722996996</v>
      </c>
      <c r="H2166" s="41">
        <v>6.6744730679156913E-2</v>
      </c>
      <c r="I2166" s="40">
        <v>71.17</v>
      </c>
      <c r="J2166" s="41">
        <v>7.8120104524847758E-2</v>
      </c>
      <c r="K2166" s="9" t="s">
        <v>3101</v>
      </c>
    </row>
    <row r="2167" spans="1:11" x14ac:dyDescent="0.2">
      <c r="A2167" s="9" t="s">
        <v>22</v>
      </c>
      <c r="B2167" s="9" t="s">
        <v>3102</v>
      </c>
      <c r="C2167" s="9"/>
      <c r="D2167" s="9" t="s">
        <v>81</v>
      </c>
      <c r="E2167" s="38">
        <v>2400</v>
      </c>
      <c r="F2167" s="39">
        <v>1562900</v>
      </c>
      <c r="G2167" s="40">
        <v>651.20833333333337</v>
      </c>
      <c r="H2167" s="41">
        <v>5.1696284329563823E-2</v>
      </c>
      <c r="I2167" s="40">
        <v>61.48</v>
      </c>
      <c r="J2167" s="41">
        <v>9.4409111267515514E-2</v>
      </c>
      <c r="K2167" s="9" t="s">
        <v>3103</v>
      </c>
    </row>
    <row r="2168" spans="1:11" x14ac:dyDescent="0.2">
      <c r="A2168" s="9" t="s">
        <v>22</v>
      </c>
      <c r="B2168" s="9" t="s">
        <v>3104</v>
      </c>
      <c r="C2168" s="9"/>
      <c r="D2168" s="9" t="s">
        <v>81</v>
      </c>
      <c r="E2168" s="38">
        <v>3965</v>
      </c>
      <c r="F2168" s="39">
        <v>852438</v>
      </c>
      <c r="G2168" s="40">
        <v>214.9906683480454</v>
      </c>
      <c r="H2168" s="41">
        <v>-2.714932126696833E-2</v>
      </c>
      <c r="I2168" s="40">
        <v>56.04</v>
      </c>
      <c r="J2168" s="41">
        <v>0.2606624763325896</v>
      </c>
      <c r="K2168" s="9" t="s">
        <v>3105</v>
      </c>
    </row>
    <row r="2169" spans="1:11" x14ac:dyDescent="0.2">
      <c r="A2169" s="9" t="s">
        <v>22</v>
      </c>
      <c r="B2169" s="9" t="s">
        <v>3106</v>
      </c>
      <c r="C2169" s="9"/>
      <c r="D2169" s="9" t="s">
        <v>82</v>
      </c>
      <c r="E2169" s="38">
        <v>6569</v>
      </c>
      <c r="F2169" s="39">
        <v>0</v>
      </c>
      <c r="G2169" s="40"/>
      <c r="H2169" s="41"/>
      <c r="I2169" s="40">
        <v>60.71</v>
      </c>
      <c r="J2169" s="41"/>
      <c r="K2169" s="9" t="s">
        <v>3107</v>
      </c>
    </row>
    <row r="2170" spans="1:11" x14ac:dyDescent="0.2">
      <c r="A2170" s="9" t="s">
        <v>22</v>
      </c>
      <c r="B2170" s="9" t="s">
        <v>3108</v>
      </c>
      <c r="C2170" s="9"/>
      <c r="D2170" s="9" t="s">
        <v>83</v>
      </c>
      <c r="E2170" s="38">
        <v>3023</v>
      </c>
      <c r="F2170" s="39">
        <v>0</v>
      </c>
      <c r="G2170" s="40"/>
      <c r="H2170" s="41"/>
      <c r="I2170" s="40">
        <v>40.5</v>
      </c>
      <c r="J2170" s="41"/>
      <c r="K2170" s="9" t="s">
        <v>3109</v>
      </c>
    </row>
    <row r="2171" spans="1:11" x14ac:dyDescent="0.2">
      <c r="A2171" s="9" t="s">
        <v>22</v>
      </c>
      <c r="B2171" s="9" t="s">
        <v>260</v>
      </c>
      <c r="C2171" s="9"/>
      <c r="D2171" s="9" t="s">
        <v>76</v>
      </c>
      <c r="E2171" s="38">
        <v>3300</v>
      </c>
      <c r="F2171" s="39">
        <v>1257460</v>
      </c>
      <c r="G2171" s="40">
        <v>381.04848484848492</v>
      </c>
      <c r="H2171" s="41">
        <v>4.0983606557377053E-2</v>
      </c>
      <c r="I2171" s="40">
        <v>45.95</v>
      </c>
      <c r="J2171" s="41">
        <v>0.1205883288534029</v>
      </c>
      <c r="K2171" s="9" t="s">
        <v>3110</v>
      </c>
    </row>
    <row r="2172" spans="1:11" x14ac:dyDescent="0.2">
      <c r="A2172" s="9" t="s">
        <v>22</v>
      </c>
      <c r="B2172" s="9" t="s">
        <v>3111</v>
      </c>
      <c r="C2172" s="9"/>
      <c r="D2172" s="9" t="s">
        <v>83</v>
      </c>
      <c r="E2172" s="38">
        <v>2800</v>
      </c>
      <c r="F2172" s="39">
        <v>0</v>
      </c>
      <c r="G2172" s="40"/>
      <c r="H2172" s="41"/>
      <c r="I2172" s="40">
        <v>40.840000000000003</v>
      </c>
      <c r="J2172" s="41"/>
      <c r="K2172" s="9" t="s">
        <v>3112</v>
      </c>
    </row>
    <row r="2173" spans="1:11" x14ac:dyDescent="0.2">
      <c r="A2173" s="9" t="s">
        <v>22</v>
      </c>
      <c r="B2173" s="9" t="s">
        <v>263</v>
      </c>
      <c r="C2173" s="9"/>
      <c r="D2173" s="9" t="s">
        <v>80</v>
      </c>
      <c r="E2173" s="38">
        <v>1433</v>
      </c>
      <c r="F2173" s="39">
        <v>361211</v>
      </c>
      <c r="G2173" s="40">
        <v>252.06629448709</v>
      </c>
      <c r="H2173" s="41">
        <v>-0.1399317406143345</v>
      </c>
      <c r="I2173" s="40">
        <v>58.5</v>
      </c>
      <c r="J2173" s="41">
        <v>0.23208180260291081</v>
      </c>
      <c r="K2173" s="9" t="s">
        <v>3113</v>
      </c>
    </row>
    <row r="2174" spans="1:11" x14ac:dyDescent="0.2">
      <c r="A2174" s="9" t="s">
        <v>22</v>
      </c>
      <c r="B2174" s="9" t="s">
        <v>1123</v>
      </c>
      <c r="C2174" s="9"/>
      <c r="D2174" s="9" t="s">
        <v>76</v>
      </c>
      <c r="E2174" s="38">
        <v>4542</v>
      </c>
      <c r="F2174" s="39">
        <v>2113562</v>
      </c>
      <c r="G2174" s="40">
        <v>465.33729634522228</v>
      </c>
      <c r="H2174" s="41">
        <v>-7.1856287425149698E-2</v>
      </c>
      <c r="I2174" s="40">
        <v>50.32</v>
      </c>
      <c r="J2174" s="41">
        <v>0.1081366148710092</v>
      </c>
      <c r="K2174" s="9" t="s">
        <v>3114</v>
      </c>
    </row>
    <row r="2175" spans="1:11" x14ac:dyDescent="0.2">
      <c r="A2175" s="9" t="s">
        <v>22</v>
      </c>
      <c r="B2175" s="9" t="s">
        <v>597</v>
      </c>
      <c r="C2175" s="9"/>
      <c r="D2175" s="9" t="s">
        <v>78</v>
      </c>
      <c r="E2175" s="38">
        <v>1884</v>
      </c>
      <c r="F2175" s="39">
        <v>2730186</v>
      </c>
      <c r="G2175" s="40">
        <v>1449.1433121019111</v>
      </c>
      <c r="H2175" s="41">
        <v>2.5477707006369432E-2</v>
      </c>
      <c r="I2175" s="40">
        <v>73.94</v>
      </c>
      <c r="J2175" s="41">
        <v>5.1023248965455098E-2</v>
      </c>
      <c r="K2175" s="9" t="s">
        <v>3115</v>
      </c>
    </row>
    <row r="2176" spans="1:11" x14ac:dyDescent="0.2">
      <c r="A2176" s="9" t="s">
        <v>22</v>
      </c>
      <c r="B2176" s="9" t="s">
        <v>3116</v>
      </c>
      <c r="C2176" s="9"/>
      <c r="D2176" s="9" t="s">
        <v>80</v>
      </c>
      <c r="E2176" s="38">
        <v>1014</v>
      </c>
      <c r="F2176" s="39">
        <v>0</v>
      </c>
      <c r="G2176" s="40"/>
      <c r="H2176" s="41"/>
      <c r="I2176" s="40">
        <v>70.069999999999993</v>
      </c>
      <c r="J2176" s="41"/>
      <c r="K2176" s="9" t="s">
        <v>3117</v>
      </c>
    </row>
    <row r="2177" spans="1:11" x14ac:dyDescent="0.2">
      <c r="A2177" s="9" t="s">
        <v>22</v>
      </c>
      <c r="B2177" s="9" t="s">
        <v>275</v>
      </c>
      <c r="C2177" s="9"/>
      <c r="D2177" s="9" t="s">
        <v>83</v>
      </c>
      <c r="E2177" s="38">
        <v>3200</v>
      </c>
      <c r="F2177" s="39">
        <v>2063701</v>
      </c>
      <c r="G2177" s="40">
        <v>644.90656249999995</v>
      </c>
      <c r="H2177" s="41">
        <v>7.6794657762938229E-2</v>
      </c>
      <c r="I2177" s="40">
        <v>54.4</v>
      </c>
      <c r="J2177" s="41">
        <v>8.4353305057273315E-2</v>
      </c>
      <c r="K2177" s="9" t="s">
        <v>3118</v>
      </c>
    </row>
    <row r="2178" spans="1:11" x14ac:dyDescent="0.2">
      <c r="A2178" s="9" t="s">
        <v>22</v>
      </c>
      <c r="B2178" s="9" t="s">
        <v>3119</v>
      </c>
      <c r="C2178" s="9"/>
      <c r="D2178" s="9" t="s">
        <v>83</v>
      </c>
      <c r="E2178" s="38">
        <v>1525</v>
      </c>
      <c r="F2178" s="39">
        <v>0</v>
      </c>
      <c r="G2178" s="40"/>
      <c r="H2178" s="41"/>
      <c r="I2178" s="40">
        <v>40.5</v>
      </c>
      <c r="J2178" s="41"/>
      <c r="K2178" s="9" t="s">
        <v>3120</v>
      </c>
    </row>
    <row r="2179" spans="1:11" x14ac:dyDescent="0.2">
      <c r="A2179" s="9" t="s">
        <v>22</v>
      </c>
      <c r="B2179" s="9" t="s">
        <v>279</v>
      </c>
      <c r="C2179" s="9"/>
      <c r="D2179" s="9" t="s">
        <v>76</v>
      </c>
      <c r="E2179" s="38">
        <v>5481</v>
      </c>
      <c r="F2179" s="39">
        <v>1567520</v>
      </c>
      <c r="G2179" s="40">
        <v>285.99160737091768</v>
      </c>
      <c r="H2179" s="41">
        <v>7.0422535211267607E-3</v>
      </c>
      <c r="I2179" s="40">
        <v>47.78</v>
      </c>
      <c r="J2179" s="41">
        <v>0.16706783964478919</v>
      </c>
      <c r="K2179" s="9" t="s">
        <v>3121</v>
      </c>
    </row>
    <row r="2180" spans="1:11" x14ac:dyDescent="0.2">
      <c r="A2180" s="9" t="s">
        <v>22</v>
      </c>
      <c r="B2180" s="9" t="s">
        <v>494</v>
      </c>
      <c r="C2180" s="9"/>
      <c r="D2180" s="9" t="s">
        <v>85</v>
      </c>
      <c r="E2180" s="38">
        <v>2200</v>
      </c>
      <c r="F2180" s="39">
        <v>2047233</v>
      </c>
      <c r="G2180" s="40">
        <v>930.56045454545449</v>
      </c>
      <c r="H2180" s="41">
        <v>-0.15898825654923221</v>
      </c>
      <c r="I2180" s="40">
        <v>67.84</v>
      </c>
      <c r="J2180" s="41">
        <v>7.2902302766709989E-2</v>
      </c>
      <c r="K2180" s="9" t="s">
        <v>3122</v>
      </c>
    </row>
    <row r="2181" spans="1:11" x14ac:dyDescent="0.2">
      <c r="A2181" s="9" t="s">
        <v>22</v>
      </c>
      <c r="B2181" s="9" t="s">
        <v>285</v>
      </c>
      <c r="C2181" s="9"/>
      <c r="D2181" s="9" t="s">
        <v>76</v>
      </c>
      <c r="E2181" s="38">
        <v>4113</v>
      </c>
      <c r="F2181" s="39">
        <v>7244196</v>
      </c>
      <c r="G2181" s="40">
        <v>1761.292487235595</v>
      </c>
      <c r="H2181" s="41">
        <v>0.66730769230769227</v>
      </c>
      <c r="I2181" s="40">
        <v>92.27</v>
      </c>
      <c r="J2181" s="41">
        <v>5.2387664552422379E-2</v>
      </c>
      <c r="K2181" s="9" t="s">
        <v>3123</v>
      </c>
    </row>
    <row r="2182" spans="1:11" x14ac:dyDescent="0.2">
      <c r="A2182" s="9" t="s">
        <v>22</v>
      </c>
      <c r="B2182" s="9" t="s">
        <v>3124</v>
      </c>
      <c r="C2182" s="9"/>
      <c r="D2182" s="9" t="s">
        <v>83</v>
      </c>
      <c r="E2182" s="38">
        <v>2014</v>
      </c>
      <c r="F2182" s="39">
        <v>934217</v>
      </c>
      <c r="G2182" s="40">
        <v>463.86146971201589</v>
      </c>
      <c r="H2182" s="41">
        <v>0.1153846153846154</v>
      </c>
      <c r="I2182" s="40">
        <v>64.31</v>
      </c>
      <c r="J2182" s="41">
        <v>0.13864052998393309</v>
      </c>
      <c r="K2182" s="9" t="s">
        <v>3125</v>
      </c>
    </row>
    <row r="2183" spans="1:11" x14ac:dyDescent="0.2">
      <c r="A2183" s="9" t="s">
        <v>22</v>
      </c>
      <c r="B2183" s="9" t="s">
        <v>3126</v>
      </c>
      <c r="C2183" s="9"/>
      <c r="D2183" s="9" t="s">
        <v>83</v>
      </c>
      <c r="E2183" s="38">
        <v>5513</v>
      </c>
      <c r="F2183" s="39">
        <v>0</v>
      </c>
      <c r="G2183" s="40"/>
      <c r="H2183" s="41"/>
      <c r="I2183" s="40">
        <v>38.25</v>
      </c>
      <c r="J2183" s="41"/>
      <c r="K2183" s="9" t="s">
        <v>3127</v>
      </c>
    </row>
    <row r="2184" spans="1:11" x14ac:dyDescent="0.2">
      <c r="A2184" s="9" t="s">
        <v>22</v>
      </c>
      <c r="B2184" s="9" t="s">
        <v>3126</v>
      </c>
      <c r="C2184" s="9"/>
      <c r="D2184" s="9" t="s">
        <v>83</v>
      </c>
      <c r="E2184" s="38">
        <v>2679</v>
      </c>
      <c r="F2184" s="39">
        <v>0</v>
      </c>
      <c r="G2184" s="40"/>
      <c r="H2184" s="41"/>
      <c r="I2184" s="40">
        <v>42.25</v>
      </c>
      <c r="J2184" s="41"/>
      <c r="K2184" s="9" t="s">
        <v>3127</v>
      </c>
    </row>
    <row r="2185" spans="1:11" x14ac:dyDescent="0.2">
      <c r="A2185" s="9" t="s">
        <v>22</v>
      </c>
      <c r="B2185" s="9" t="s">
        <v>2824</v>
      </c>
      <c r="C2185" s="9"/>
      <c r="D2185" s="9" t="s">
        <v>79</v>
      </c>
      <c r="E2185" s="38">
        <v>1161</v>
      </c>
      <c r="F2185" s="39">
        <v>334767</v>
      </c>
      <c r="G2185" s="40">
        <v>288.34366925064597</v>
      </c>
      <c r="H2185" s="41">
        <v>2.8571428571428571E-2</v>
      </c>
      <c r="I2185" s="40">
        <v>69.900000000000006</v>
      </c>
      <c r="J2185" s="41">
        <v>0.24241905564168509</v>
      </c>
      <c r="K2185" s="9" t="s">
        <v>3128</v>
      </c>
    </row>
    <row r="2186" spans="1:11" x14ac:dyDescent="0.2">
      <c r="A2186" s="9" t="s">
        <v>22</v>
      </c>
      <c r="B2186" s="9" t="s">
        <v>3129</v>
      </c>
      <c r="C2186" s="9"/>
      <c r="D2186" s="9" t="s">
        <v>83</v>
      </c>
      <c r="E2186" s="38">
        <v>2774</v>
      </c>
      <c r="F2186" s="39">
        <v>0</v>
      </c>
      <c r="G2186" s="40"/>
      <c r="H2186" s="41"/>
      <c r="I2186" s="40">
        <v>39.630000000000003</v>
      </c>
      <c r="J2186" s="41"/>
      <c r="K2186" s="9" t="s">
        <v>3130</v>
      </c>
    </row>
    <row r="2187" spans="1:11" x14ac:dyDescent="0.2">
      <c r="A2187" s="9" t="s">
        <v>22</v>
      </c>
      <c r="B2187" s="9" t="s">
        <v>3131</v>
      </c>
      <c r="C2187" s="9"/>
      <c r="D2187" s="9" t="s">
        <v>82</v>
      </c>
      <c r="E2187" s="38">
        <v>2504</v>
      </c>
      <c r="F2187" s="39">
        <v>1808078</v>
      </c>
      <c r="G2187" s="40">
        <v>722.07587859424916</v>
      </c>
      <c r="H2187" s="41">
        <v>4.172461752433936E-3</v>
      </c>
      <c r="I2187" s="40">
        <v>55.84</v>
      </c>
      <c r="J2187" s="41">
        <v>7.7332592952295207E-2</v>
      </c>
      <c r="K2187" s="9" t="s">
        <v>3132</v>
      </c>
    </row>
    <row r="2188" spans="1:11" x14ac:dyDescent="0.2">
      <c r="A2188" s="9" t="s">
        <v>22</v>
      </c>
      <c r="B2188" s="9" t="s">
        <v>3133</v>
      </c>
      <c r="C2188" s="9"/>
      <c r="D2188" s="9" t="s">
        <v>81</v>
      </c>
      <c r="E2188" s="38">
        <v>2754</v>
      </c>
      <c r="F2188" s="39">
        <v>2596348</v>
      </c>
      <c r="G2188" s="40">
        <v>942.75526506899052</v>
      </c>
      <c r="H2188" s="41">
        <v>1.3516209476309229E-2</v>
      </c>
      <c r="I2188" s="40">
        <v>68.75</v>
      </c>
      <c r="J2188" s="41">
        <v>7.2924546324298595E-2</v>
      </c>
      <c r="K2188" s="9" t="s">
        <v>3134</v>
      </c>
    </row>
    <row r="2189" spans="1:11" x14ac:dyDescent="0.2">
      <c r="A2189" s="9" t="s">
        <v>22</v>
      </c>
      <c r="B2189" s="9" t="s">
        <v>3135</v>
      </c>
      <c r="C2189" s="9"/>
      <c r="D2189" s="9" t="s">
        <v>85</v>
      </c>
      <c r="E2189" s="38">
        <v>12988</v>
      </c>
      <c r="F2189" s="39">
        <v>0</v>
      </c>
      <c r="G2189" s="40"/>
      <c r="H2189" s="41"/>
      <c r="I2189" s="40">
        <v>39.770000000000003</v>
      </c>
      <c r="J2189" s="41"/>
      <c r="K2189" s="9" t="s">
        <v>3136</v>
      </c>
    </row>
    <row r="2190" spans="1:11" x14ac:dyDescent="0.2">
      <c r="A2190" s="9" t="s">
        <v>22</v>
      </c>
      <c r="B2190" s="9" t="s">
        <v>3137</v>
      </c>
      <c r="C2190" s="9"/>
      <c r="D2190" s="9" t="s">
        <v>80</v>
      </c>
      <c r="E2190" s="38">
        <v>1800</v>
      </c>
      <c r="F2190" s="39">
        <v>2029160</v>
      </c>
      <c r="G2190" s="40">
        <v>1127.3111111111109</v>
      </c>
      <c r="H2190" s="41">
        <v>-1.914708442123586E-2</v>
      </c>
      <c r="I2190" s="40">
        <v>66.2</v>
      </c>
      <c r="J2190" s="41">
        <v>5.872380689546413E-2</v>
      </c>
      <c r="K2190" s="9" t="s">
        <v>3138</v>
      </c>
    </row>
    <row r="2191" spans="1:11" x14ac:dyDescent="0.2">
      <c r="A2191" s="9" t="s">
        <v>22</v>
      </c>
      <c r="B2191" s="9" t="s">
        <v>3139</v>
      </c>
      <c r="C2191" s="9"/>
      <c r="D2191" s="9" t="s">
        <v>83</v>
      </c>
      <c r="E2191" s="38">
        <v>3146</v>
      </c>
      <c r="F2191" s="39">
        <v>0</v>
      </c>
      <c r="G2191" s="40"/>
      <c r="H2191" s="41"/>
      <c r="I2191" s="40">
        <v>42</v>
      </c>
      <c r="J2191" s="41"/>
      <c r="K2191" s="9" t="s">
        <v>3140</v>
      </c>
    </row>
    <row r="2192" spans="1:11" x14ac:dyDescent="0.2">
      <c r="A2192" s="9" t="s">
        <v>22</v>
      </c>
      <c r="B2192" s="9" t="s">
        <v>321</v>
      </c>
      <c r="C2192" s="9"/>
      <c r="D2192" s="9" t="s">
        <v>78</v>
      </c>
      <c r="E2192" s="38">
        <v>1223</v>
      </c>
      <c r="F2192" s="39">
        <v>1265004</v>
      </c>
      <c r="G2192" s="40">
        <v>1034.3450531479971</v>
      </c>
      <c r="H2192" s="41">
        <v>-2.819548872180451E-2</v>
      </c>
      <c r="I2192" s="40">
        <v>92.26</v>
      </c>
      <c r="J2192" s="41">
        <v>8.9196540089991824E-2</v>
      </c>
      <c r="K2192" s="9" t="s">
        <v>3141</v>
      </c>
    </row>
    <row r="2193" spans="1:11" x14ac:dyDescent="0.2">
      <c r="A2193" s="9" t="s">
        <v>22</v>
      </c>
      <c r="B2193" s="9" t="s">
        <v>3142</v>
      </c>
      <c r="C2193" s="9"/>
      <c r="D2193" s="9" t="s">
        <v>84</v>
      </c>
      <c r="E2193" s="38">
        <v>15225</v>
      </c>
      <c r="F2193" s="39">
        <v>0</v>
      </c>
      <c r="G2193" s="40"/>
      <c r="H2193" s="41"/>
      <c r="I2193" s="40">
        <v>36</v>
      </c>
      <c r="J2193" s="41"/>
      <c r="K2193" s="9" t="s">
        <v>3143</v>
      </c>
    </row>
    <row r="2194" spans="1:11" x14ac:dyDescent="0.2">
      <c r="A2194" s="9" t="s">
        <v>22</v>
      </c>
      <c r="B2194" s="9" t="s">
        <v>3142</v>
      </c>
      <c r="C2194" s="9"/>
      <c r="D2194" s="9" t="s">
        <v>84</v>
      </c>
      <c r="E2194" s="38">
        <v>2463</v>
      </c>
      <c r="F2194" s="39">
        <v>0</v>
      </c>
      <c r="G2194" s="40"/>
      <c r="H2194" s="41"/>
      <c r="I2194" s="40">
        <v>36</v>
      </c>
      <c r="J2194" s="41"/>
      <c r="K2194" s="9" t="s">
        <v>3143</v>
      </c>
    </row>
    <row r="2195" spans="1:11" x14ac:dyDescent="0.2">
      <c r="A2195" s="9" t="s">
        <v>22</v>
      </c>
      <c r="B2195" s="9" t="s">
        <v>3144</v>
      </c>
      <c r="C2195" s="9"/>
      <c r="D2195" s="9" t="s">
        <v>81</v>
      </c>
      <c r="E2195" s="38">
        <v>8484</v>
      </c>
      <c r="F2195" s="39">
        <v>6716792</v>
      </c>
      <c r="G2195" s="40">
        <v>791.70108439415367</v>
      </c>
      <c r="H2195" s="41">
        <v>-3.5322777101096221E-2</v>
      </c>
      <c r="I2195" s="40">
        <v>73.569999999999993</v>
      </c>
      <c r="J2195" s="41">
        <v>9.2926486334547781E-2</v>
      </c>
      <c r="K2195" s="9" t="s">
        <v>3145</v>
      </c>
    </row>
    <row r="2196" spans="1:11" x14ac:dyDescent="0.2">
      <c r="A2196" s="9" t="s">
        <v>22</v>
      </c>
      <c r="B2196" s="9" t="s">
        <v>2418</v>
      </c>
      <c r="C2196" s="9"/>
      <c r="D2196" s="9" t="s">
        <v>83</v>
      </c>
      <c r="E2196" s="38">
        <v>3026</v>
      </c>
      <c r="F2196" s="39">
        <v>0</v>
      </c>
      <c r="G2196" s="40"/>
      <c r="H2196" s="41"/>
      <c r="I2196" s="40">
        <v>61</v>
      </c>
      <c r="J2196" s="41"/>
      <c r="K2196" s="9" t="s">
        <v>3146</v>
      </c>
    </row>
    <row r="2197" spans="1:11" x14ac:dyDescent="0.2">
      <c r="A2197" s="9" t="s">
        <v>22</v>
      </c>
      <c r="B2197" s="9" t="s">
        <v>3147</v>
      </c>
      <c r="C2197" s="9"/>
      <c r="D2197" s="9" t="s">
        <v>81</v>
      </c>
      <c r="E2197" s="38">
        <v>4090</v>
      </c>
      <c r="F2197" s="39">
        <v>3631643</v>
      </c>
      <c r="G2197" s="40">
        <v>887.93227383863086</v>
      </c>
      <c r="H2197" s="41">
        <v>0.13992297817715019</v>
      </c>
      <c r="I2197" s="40">
        <v>52</v>
      </c>
      <c r="J2197" s="41">
        <v>5.8563025055050837E-2</v>
      </c>
      <c r="K2197" s="9" t="s">
        <v>3148</v>
      </c>
    </row>
    <row r="2198" spans="1:11" x14ac:dyDescent="0.2">
      <c r="A2198" s="9" t="s">
        <v>22</v>
      </c>
      <c r="B2198" s="9" t="s">
        <v>3149</v>
      </c>
      <c r="C2198" s="9"/>
      <c r="D2198" s="9" t="s">
        <v>80</v>
      </c>
      <c r="E2198" s="38">
        <v>1368</v>
      </c>
      <c r="F2198" s="39">
        <v>553652</v>
      </c>
      <c r="G2198" s="40">
        <v>404.71637426900583</v>
      </c>
      <c r="H2198" s="41">
        <v>0.12188365650969531</v>
      </c>
      <c r="I2198" s="40">
        <v>60.340000000000011</v>
      </c>
      <c r="J2198" s="41">
        <v>0.14909206505169309</v>
      </c>
      <c r="K2198" s="9" t="s">
        <v>3150</v>
      </c>
    </row>
    <row r="2199" spans="1:11" x14ac:dyDescent="0.2">
      <c r="A2199" s="9" t="s">
        <v>22</v>
      </c>
      <c r="B2199" s="9" t="s">
        <v>817</v>
      </c>
      <c r="C2199" s="9"/>
      <c r="D2199" s="9" t="s">
        <v>83</v>
      </c>
      <c r="E2199" s="38">
        <v>1600</v>
      </c>
      <c r="F2199" s="39">
        <v>445284</v>
      </c>
      <c r="G2199" s="40">
        <v>278.30250000000001</v>
      </c>
      <c r="H2199" s="41">
        <v>0.25791855203619912</v>
      </c>
      <c r="I2199" s="40">
        <v>54.2</v>
      </c>
      <c r="J2199" s="41">
        <v>0.1947521132580555</v>
      </c>
      <c r="K2199" s="9" t="s">
        <v>3151</v>
      </c>
    </row>
    <row r="2200" spans="1:11" x14ac:dyDescent="0.2">
      <c r="A2200" s="9" t="s">
        <v>22</v>
      </c>
      <c r="B2200" s="9" t="s">
        <v>3152</v>
      </c>
      <c r="C2200" s="9"/>
      <c r="D2200" s="9" t="s">
        <v>83</v>
      </c>
      <c r="E2200" s="38">
        <v>12373</v>
      </c>
      <c r="F2200" s="39">
        <v>0</v>
      </c>
      <c r="G2200" s="40"/>
      <c r="H2200" s="41"/>
      <c r="I2200" s="40">
        <v>40.79</v>
      </c>
      <c r="J2200" s="41"/>
      <c r="K2200" s="9" t="s">
        <v>3153</v>
      </c>
    </row>
    <row r="2201" spans="1:11" x14ac:dyDescent="0.2">
      <c r="A2201" s="9" t="s">
        <v>22</v>
      </c>
      <c r="B2201" s="9" t="s">
        <v>3154</v>
      </c>
      <c r="C2201" s="9"/>
      <c r="D2201" s="9" t="s">
        <v>83</v>
      </c>
      <c r="E2201" s="38">
        <v>2276</v>
      </c>
      <c r="F2201" s="39">
        <v>677038</v>
      </c>
      <c r="G2201" s="40">
        <v>297.46836555360278</v>
      </c>
      <c r="H2201" s="41">
        <v>-0.21842105263157899</v>
      </c>
      <c r="I2201" s="40">
        <v>49.46</v>
      </c>
      <c r="J2201" s="41">
        <v>0.16626978101672291</v>
      </c>
      <c r="K2201" s="9" t="s">
        <v>3155</v>
      </c>
    </row>
    <row r="2202" spans="1:11" x14ac:dyDescent="0.2">
      <c r="A2202" s="9" t="s">
        <v>22</v>
      </c>
      <c r="B2202" s="9" t="s">
        <v>3156</v>
      </c>
      <c r="C2202" s="9"/>
      <c r="D2202" s="9" t="s">
        <v>81</v>
      </c>
      <c r="E2202" s="38">
        <v>5691</v>
      </c>
      <c r="F2202" s="39">
        <v>4691341</v>
      </c>
      <c r="G2202" s="40">
        <v>824.34387629590583</v>
      </c>
      <c r="H2202" s="41">
        <v>-3.0588235294117649E-2</v>
      </c>
      <c r="I2202" s="40">
        <v>61.14</v>
      </c>
      <c r="J2202" s="41">
        <v>7.4168076888889545E-2</v>
      </c>
      <c r="K2202" s="9" t="s">
        <v>3157</v>
      </c>
    </row>
    <row r="2203" spans="1:11" x14ac:dyDescent="0.2">
      <c r="A2203" s="9" t="s">
        <v>22</v>
      </c>
      <c r="B2203" s="9" t="s">
        <v>343</v>
      </c>
      <c r="C2203" s="9"/>
      <c r="D2203" s="9" t="s">
        <v>79</v>
      </c>
      <c r="E2203" s="38">
        <v>3692</v>
      </c>
      <c r="F2203" s="39">
        <v>9874408</v>
      </c>
      <c r="G2203" s="40">
        <v>2674.5417118093169</v>
      </c>
      <c r="H2203" s="41">
        <v>-2.050530941047235E-2</v>
      </c>
      <c r="I2203" s="40">
        <v>107.55</v>
      </c>
      <c r="J2203" s="41">
        <v>4.021249678968096E-2</v>
      </c>
      <c r="K2203" s="9" t="s">
        <v>3158</v>
      </c>
    </row>
    <row r="2204" spans="1:11" x14ac:dyDescent="0.2">
      <c r="A2204" s="9" t="s">
        <v>22</v>
      </c>
      <c r="B2204" s="9" t="s">
        <v>616</v>
      </c>
      <c r="C2204" s="9"/>
      <c r="D2204" s="9" t="s">
        <v>83</v>
      </c>
      <c r="E2204" s="38">
        <v>2525</v>
      </c>
      <c r="F2204" s="39">
        <v>1670872</v>
      </c>
      <c r="G2204" s="40">
        <v>661.73148514851482</v>
      </c>
      <c r="H2204" s="41">
        <v>0.3005893909626719</v>
      </c>
      <c r="I2204" s="40">
        <v>65.290000000000006</v>
      </c>
      <c r="J2204" s="41">
        <v>9.8665397469105964E-2</v>
      </c>
      <c r="K2204" s="9" t="s">
        <v>3159</v>
      </c>
    </row>
    <row r="2205" spans="1:11" x14ac:dyDescent="0.2">
      <c r="A2205" s="9" t="s">
        <v>22</v>
      </c>
      <c r="B2205" s="9" t="s">
        <v>3160</v>
      </c>
      <c r="C2205" s="9"/>
      <c r="D2205" s="9" t="s">
        <v>81</v>
      </c>
      <c r="E2205" s="38">
        <v>4098</v>
      </c>
      <c r="F2205" s="39">
        <v>2842616</v>
      </c>
      <c r="G2205" s="40">
        <v>693.65934602244999</v>
      </c>
      <c r="H2205" s="41">
        <v>-7.7127659574468085E-2</v>
      </c>
      <c r="I2205" s="40">
        <v>54.28</v>
      </c>
      <c r="J2205" s="41">
        <v>7.825166677454852E-2</v>
      </c>
      <c r="K2205" s="9" t="s">
        <v>3161</v>
      </c>
    </row>
    <row r="2206" spans="1:11" x14ac:dyDescent="0.2">
      <c r="A2206" s="9" t="s">
        <v>22</v>
      </c>
      <c r="B2206" s="9" t="s">
        <v>353</v>
      </c>
      <c r="C2206" s="9"/>
      <c r="D2206" s="9" t="s">
        <v>76</v>
      </c>
      <c r="E2206" s="38">
        <v>2770</v>
      </c>
      <c r="F2206" s="39">
        <v>1223778</v>
      </c>
      <c r="G2206" s="40">
        <v>441.79711191335741</v>
      </c>
      <c r="H2206" s="41">
        <v>-3.0701754385964911E-2</v>
      </c>
      <c r="I2206" s="40">
        <v>46.73</v>
      </c>
      <c r="J2206" s="41">
        <v>0.1057725339072936</v>
      </c>
      <c r="K2206" s="9" t="s">
        <v>3162</v>
      </c>
    </row>
    <row r="2207" spans="1:11" x14ac:dyDescent="0.2">
      <c r="A2207" s="9" t="s">
        <v>22</v>
      </c>
      <c r="B2207" s="9" t="s">
        <v>3163</v>
      </c>
      <c r="C2207" s="9"/>
      <c r="D2207" s="9" t="s">
        <v>80</v>
      </c>
      <c r="E2207" s="38">
        <v>820</v>
      </c>
      <c r="F2207" s="39">
        <v>300583</v>
      </c>
      <c r="G2207" s="40">
        <v>366.56463414634152</v>
      </c>
      <c r="H2207" s="41">
        <v>3.0898876404494381E-2</v>
      </c>
      <c r="I2207" s="40">
        <v>67.569999999999993</v>
      </c>
      <c r="J2207" s="41">
        <v>0.1843331126510814</v>
      </c>
      <c r="K2207" s="9" t="s">
        <v>3164</v>
      </c>
    </row>
    <row r="2208" spans="1:11" x14ac:dyDescent="0.2">
      <c r="A2208" s="9" t="s">
        <v>22</v>
      </c>
      <c r="B2208" s="9" t="s">
        <v>3165</v>
      </c>
      <c r="C2208" s="9"/>
      <c r="D2208" s="9" t="s">
        <v>83</v>
      </c>
      <c r="E2208" s="38">
        <v>1337</v>
      </c>
      <c r="F2208" s="39">
        <v>484991</v>
      </c>
      <c r="G2208" s="40">
        <v>362.74569932685108</v>
      </c>
      <c r="H2208" s="41">
        <v>-5.7142857142857141E-2</v>
      </c>
      <c r="I2208" s="40">
        <v>49.06</v>
      </c>
      <c r="J2208" s="41">
        <v>0.13524626230177469</v>
      </c>
      <c r="K2208" s="9" t="s">
        <v>3166</v>
      </c>
    </row>
    <row r="2209" spans="1:11" x14ac:dyDescent="0.2">
      <c r="A2209" s="9" t="s">
        <v>22</v>
      </c>
      <c r="B2209" s="9" t="s">
        <v>538</v>
      </c>
      <c r="C2209" s="9"/>
      <c r="D2209" s="9" t="s">
        <v>80</v>
      </c>
      <c r="E2209" s="38">
        <v>1715</v>
      </c>
      <c r="F2209" s="39">
        <v>0</v>
      </c>
      <c r="G2209" s="40"/>
      <c r="H2209" s="41"/>
      <c r="I2209" s="40">
        <v>54.44</v>
      </c>
      <c r="J2209" s="41"/>
      <c r="K2209" s="9" t="s">
        <v>3167</v>
      </c>
    </row>
    <row r="2210" spans="1:11" x14ac:dyDescent="0.2">
      <c r="A2210" s="9" t="s">
        <v>22</v>
      </c>
      <c r="B2210" s="9" t="s">
        <v>3168</v>
      </c>
      <c r="C2210" s="9"/>
      <c r="D2210" s="9" t="s">
        <v>83</v>
      </c>
      <c r="E2210" s="38">
        <v>1636</v>
      </c>
      <c r="F2210" s="39">
        <v>0</v>
      </c>
      <c r="G2210" s="40"/>
      <c r="H2210" s="41"/>
      <c r="I2210" s="40">
        <v>40.5</v>
      </c>
      <c r="J2210" s="41"/>
      <c r="K2210" s="9" t="s">
        <v>3169</v>
      </c>
    </row>
    <row r="2211" spans="1:11" x14ac:dyDescent="0.2">
      <c r="A2211" s="9" t="s">
        <v>22</v>
      </c>
      <c r="B2211" s="9" t="s">
        <v>3170</v>
      </c>
      <c r="C2211" s="9"/>
      <c r="D2211" s="9" t="s">
        <v>83</v>
      </c>
      <c r="E2211" s="38">
        <v>1915</v>
      </c>
      <c r="F2211" s="39">
        <v>0</v>
      </c>
      <c r="G2211" s="40"/>
      <c r="H2211" s="41"/>
      <c r="I2211" s="40">
        <v>41</v>
      </c>
      <c r="J2211" s="41"/>
      <c r="K2211" s="9" t="s">
        <v>3171</v>
      </c>
    </row>
    <row r="2212" spans="1:11" x14ac:dyDescent="0.2">
      <c r="A2212" s="9" t="s">
        <v>22</v>
      </c>
      <c r="B2212" s="9" t="s">
        <v>3172</v>
      </c>
      <c r="C2212" s="9"/>
      <c r="D2212" s="9" t="s">
        <v>76</v>
      </c>
      <c r="E2212" s="38">
        <v>4680</v>
      </c>
      <c r="F2212" s="39">
        <v>1237517</v>
      </c>
      <c r="G2212" s="40">
        <v>264.42670940170939</v>
      </c>
      <c r="H2212" s="41">
        <v>6.8825910931174086E-2</v>
      </c>
      <c r="I2212" s="40">
        <v>58.180000000000007</v>
      </c>
      <c r="J2212" s="41">
        <v>0.22002315927781199</v>
      </c>
      <c r="K2212" s="9" t="s">
        <v>3173</v>
      </c>
    </row>
    <row r="2213" spans="1:11" x14ac:dyDescent="0.2">
      <c r="A2213" s="9" t="s">
        <v>22</v>
      </c>
      <c r="B2213" s="9" t="s">
        <v>3174</v>
      </c>
      <c r="C2213" s="9"/>
      <c r="D2213" s="9" t="s">
        <v>80</v>
      </c>
      <c r="E2213" s="38">
        <v>1824</v>
      </c>
      <c r="F2213" s="39">
        <v>2595682</v>
      </c>
      <c r="G2213" s="40">
        <v>1423.0712719298249</v>
      </c>
      <c r="H2213" s="41">
        <v>-3.5014005602240902E-3</v>
      </c>
      <c r="I2213" s="40">
        <v>60.66</v>
      </c>
      <c r="J2213" s="41">
        <v>4.2626115217503528E-2</v>
      </c>
      <c r="K2213" s="9" t="s">
        <v>3175</v>
      </c>
    </row>
    <row r="2214" spans="1:11" x14ac:dyDescent="0.2">
      <c r="A2214" s="9" t="s">
        <v>22</v>
      </c>
      <c r="B2214" s="9" t="s">
        <v>545</v>
      </c>
      <c r="C2214" s="9"/>
      <c r="D2214" s="9" t="s">
        <v>76</v>
      </c>
      <c r="E2214" s="38">
        <v>4057</v>
      </c>
      <c r="F2214" s="39">
        <v>1228502</v>
      </c>
      <c r="G2214" s="40">
        <v>302.81045107222093</v>
      </c>
      <c r="H2214" s="41">
        <v>-9.8039215686274508E-3</v>
      </c>
      <c r="I2214" s="40">
        <v>15.53</v>
      </c>
      <c r="J2214" s="41">
        <v>5.1286208732260918E-2</v>
      </c>
      <c r="K2214" s="9" t="s">
        <v>3176</v>
      </c>
    </row>
    <row r="2215" spans="1:11" x14ac:dyDescent="0.2">
      <c r="A2215" s="9" t="s">
        <v>22</v>
      </c>
      <c r="B2215" s="9" t="s">
        <v>3177</v>
      </c>
      <c r="C2215" s="9"/>
      <c r="D2215" s="9" t="s">
        <v>76</v>
      </c>
      <c r="E2215" s="38">
        <v>2572</v>
      </c>
      <c r="F2215" s="39">
        <v>1183683</v>
      </c>
      <c r="G2215" s="40">
        <v>460.21889580093313</v>
      </c>
      <c r="H2215" s="41">
        <v>7.9812206572769953E-2</v>
      </c>
      <c r="I2215" s="40">
        <v>63.34</v>
      </c>
      <c r="J2215" s="41">
        <v>0.13763015942613011</v>
      </c>
      <c r="K2215" s="9" t="s">
        <v>3178</v>
      </c>
    </row>
    <row r="2216" spans="1:11" x14ac:dyDescent="0.2">
      <c r="A2216" s="9" t="s">
        <v>22</v>
      </c>
      <c r="B2216" s="9" t="s">
        <v>3179</v>
      </c>
      <c r="C2216" s="9"/>
      <c r="D2216" s="9" t="s">
        <v>80</v>
      </c>
      <c r="E2216" s="38">
        <v>1490</v>
      </c>
      <c r="F2216" s="39">
        <v>0</v>
      </c>
      <c r="G2216" s="40"/>
      <c r="H2216" s="41"/>
      <c r="I2216" s="40">
        <v>70.209999999999994</v>
      </c>
      <c r="J2216" s="41"/>
      <c r="K2216" s="9" t="s">
        <v>3180</v>
      </c>
    </row>
    <row r="2217" spans="1:11" x14ac:dyDescent="0.2">
      <c r="A2217" s="9" t="s">
        <v>22</v>
      </c>
      <c r="B2217" s="9" t="s">
        <v>628</v>
      </c>
      <c r="C2217" s="9"/>
      <c r="D2217" s="9" t="s">
        <v>82</v>
      </c>
      <c r="E2217" s="38">
        <v>1020</v>
      </c>
      <c r="F2217" s="39">
        <v>886419</v>
      </c>
      <c r="G2217" s="40">
        <v>869.03823529411761</v>
      </c>
      <c r="H2217" s="41">
        <v>-5.7208237986270021E-3</v>
      </c>
      <c r="I2217" s="40">
        <v>59.59</v>
      </c>
      <c r="J2217" s="41">
        <v>6.8570055470381391E-2</v>
      </c>
      <c r="K2217" s="9" t="s">
        <v>3181</v>
      </c>
    </row>
    <row r="2218" spans="1:11" x14ac:dyDescent="0.2">
      <c r="A2218" s="9" t="s">
        <v>22</v>
      </c>
      <c r="B2218" s="9" t="s">
        <v>3182</v>
      </c>
      <c r="C2218" s="9"/>
      <c r="D2218" s="9" t="s">
        <v>80</v>
      </c>
      <c r="E2218" s="38">
        <v>4063</v>
      </c>
      <c r="F2218" s="39">
        <v>2766604</v>
      </c>
      <c r="G2218" s="40">
        <v>680.92640905734675</v>
      </c>
      <c r="H2218" s="41">
        <v>-0.10039630118890359</v>
      </c>
      <c r="I2218" s="40">
        <v>52.32</v>
      </c>
      <c r="J2218" s="41">
        <v>7.6836497019450556E-2</v>
      </c>
      <c r="K2218" s="9" t="s">
        <v>3183</v>
      </c>
    </row>
    <row r="2219" spans="1:11" x14ac:dyDescent="0.2">
      <c r="A2219" s="9" t="s">
        <v>22</v>
      </c>
      <c r="B2219" s="9" t="s">
        <v>3184</v>
      </c>
      <c r="C2219" s="9"/>
      <c r="D2219" s="9" t="s">
        <v>83</v>
      </c>
      <c r="E2219" s="38">
        <v>2193</v>
      </c>
      <c r="F2219" s="39">
        <v>551549</v>
      </c>
      <c r="G2219" s="40">
        <v>251.50433196534431</v>
      </c>
      <c r="H2219" s="41">
        <v>0.21153846153846151</v>
      </c>
      <c r="I2219" s="40">
        <v>57.56</v>
      </c>
      <c r="J2219" s="41">
        <v>0.22886285715321761</v>
      </c>
      <c r="K2219" s="9" t="s">
        <v>3185</v>
      </c>
    </row>
    <row r="2220" spans="1:11" x14ac:dyDescent="0.2">
      <c r="A2220" s="9" t="s">
        <v>22</v>
      </c>
      <c r="B2220" s="9" t="s">
        <v>3186</v>
      </c>
      <c r="C2220" s="9"/>
      <c r="D2220" s="9" t="s">
        <v>80</v>
      </c>
      <c r="E2220" s="38">
        <v>4050</v>
      </c>
      <c r="F2220" s="39">
        <v>4067600</v>
      </c>
      <c r="G2220" s="40">
        <v>1004.345679012346</v>
      </c>
      <c r="H2220" s="41">
        <v>-7.550644567219153E-2</v>
      </c>
      <c r="I2220" s="40">
        <v>60.4</v>
      </c>
      <c r="J2220" s="41">
        <v>6.0138656701740581E-2</v>
      </c>
      <c r="K2220" s="9" t="s">
        <v>3187</v>
      </c>
    </row>
    <row r="2221" spans="1:11" x14ac:dyDescent="0.2">
      <c r="A2221" s="9" t="s">
        <v>22</v>
      </c>
      <c r="B2221" s="9" t="s">
        <v>3188</v>
      </c>
      <c r="C2221" s="9"/>
      <c r="D2221" s="9" t="s">
        <v>83</v>
      </c>
      <c r="E2221" s="38">
        <v>2992</v>
      </c>
      <c r="F2221" s="39">
        <v>0</v>
      </c>
      <c r="G2221" s="40"/>
      <c r="H2221" s="41"/>
      <c r="I2221" s="40">
        <v>41.5</v>
      </c>
      <c r="J2221" s="41"/>
      <c r="K2221" s="9" t="s">
        <v>3189</v>
      </c>
    </row>
    <row r="2222" spans="1:11" x14ac:dyDescent="0.2">
      <c r="A2222" s="9" t="s">
        <v>22</v>
      </c>
      <c r="B2222" s="9" t="s">
        <v>3030</v>
      </c>
      <c r="C2222" s="9"/>
      <c r="D2222" s="9" t="s">
        <v>85</v>
      </c>
      <c r="E2222" s="38">
        <v>12539</v>
      </c>
      <c r="F2222" s="39">
        <v>0</v>
      </c>
      <c r="G2222" s="40"/>
      <c r="H2222" s="41"/>
      <c r="I2222" s="40">
        <v>39.93</v>
      </c>
      <c r="J2222" s="41"/>
      <c r="K2222" s="9" t="s">
        <v>3190</v>
      </c>
    </row>
    <row r="2223" spans="1:11" x14ac:dyDescent="0.2">
      <c r="A2223" s="9" t="s">
        <v>22</v>
      </c>
      <c r="B2223" s="9" t="s">
        <v>3191</v>
      </c>
      <c r="C2223" s="9"/>
      <c r="D2223" s="9" t="s">
        <v>83</v>
      </c>
      <c r="E2223" s="38">
        <v>1100</v>
      </c>
      <c r="F2223" s="39">
        <v>666565</v>
      </c>
      <c r="G2223" s="40">
        <v>605.96818181818185</v>
      </c>
      <c r="H2223" s="41">
        <v>-0.12554112554112551</v>
      </c>
      <c r="I2223" s="40">
        <v>53.95</v>
      </c>
      <c r="J2223" s="41">
        <v>8.9031077239278986E-2</v>
      </c>
      <c r="K2223" s="9" t="s">
        <v>3192</v>
      </c>
    </row>
    <row r="2224" spans="1:11" x14ac:dyDescent="0.2">
      <c r="A2224" s="9" t="s">
        <v>22</v>
      </c>
      <c r="B2224" s="9" t="s">
        <v>3193</v>
      </c>
      <c r="C2224" s="9"/>
      <c r="D2224" s="9" t="s">
        <v>83</v>
      </c>
      <c r="E2224" s="38">
        <v>3954</v>
      </c>
      <c r="F2224" s="39">
        <v>1849617</v>
      </c>
      <c r="G2224" s="40">
        <v>467.78376327769348</v>
      </c>
      <c r="H2224" s="41">
        <v>0.04</v>
      </c>
      <c r="I2224" s="40">
        <v>64.66</v>
      </c>
      <c r="J2224" s="41">
        <v>0.1382262598148698</v>
      </c>
      <c r="K2224" s="9" t="s">
        <v>3194</v>
      </c>
    </row>
    <row r="2225" spans="1:11" x14ac:dyDescent="0.2">
      <c r="A2225" s="9" t="s">
        <v>22</v>
      </c>
      <c r="B2225" s="9" t="s">
        <v>640</v>
      </c>
      <c r="C2225" s="9"/>
      <c r="D2225" s="9" t="s">
        <v>83</v>
      </c>
      <c r="E2225" s="38">
        <v>2386</v>
      </c>
      <c r="F2225" s="39">
        <v>1588228</v>
      </c>
      <c r="G2225" s="40">
        <v>665.64459346186084</v>
      </c>
      <c r="H2225" s="41">
        <v>0.108153078202995</v>
      </c>
      <c r="I2225" s="40">
        <v>67.59</v>
      </c>
      <c r="J2225" s="41">
        <v>0.10154067300160929</v>
      </c>
      <c r="K2225" s="9" t="s">
        <v>3195</v>
      </c>
    </row>
    <row r="2226" spans="1:11" x14ac:dyDescent="0.2">
      <c r="A2226" s="9" t="s">
        <v>22</v>
      </c>
      <c r="B2226" s="9" t="s">
        <v>3196</v>
      </c>
      <c r="C2226" s="9"/>
      <c r="D2226" s="9" t="s">
        <v>83</v>
      </c>
      <c r="E2226" s="38">
        <v>1677</v>
      </c>
      <c r="F2226" s="39">
        <v>0</v>
      </c>
      <c r="G2226" s="40"/>
      <c r="H2226" s="41"/>
      <c r="I2226" s="40">
        <v>39</v>
      </c>
      <c r="J2226" s="41"/>
      <c r="K2226" s="9" t="s">
        <v>3197</v>
      </c>
    </row>
    <row r="2227" spans="1:11" x14ac:dyDescent="0.2">
      <c r="A2227" s="9" t="s">
        <v>22</v>
      </c>
      <c r="B2227" s="9" t="s">
        <v>571</v>
      </c>
      <c r="C2227" s="9"/>
      <c r="D2227" s="9" t="s">
        <v>76</v>
      </c>
      <c r="E2227" s="38">
        <v>2872</v>
      </c>
      <c r="F2227" s="39">
        <v>1712696</v>
      </c>
      <c r="G2227" s="40">
        <v>596.34261838440113</v>
      </c>
      <c r="H2227" s="41">
        <v>-8.1664098613251149E-2</v>
      </c>
      <c r="I2227" s="40">
        <v>46.45</v>
      </c>
      <c r="J2227" s="41">
        <v>7.7891464684917811E-2</v>
      </c>
      <c r="K2227" s="9" t="s">
        <v>3198</v>
      </c>
    </row>
    <row r="2228" spans="1:11" x14ac:dyDescent="0.2">
      <c r="A2228" s="9" t="s">
        <v>22</v>
      </c>
      <c r="B2228" s="9" t="s">
        <v>2312</v>
      </c>
      <c r="C2228" s="9"/>
      <c r="D2228" s="9" t="s">
        <v>81</v>
      </c>
      <c r="E2228" s="38">
        <v>3393</v>
      </c>
      <c r="F2228" s="39">
        <v>1189600</v>
      </c>
      <c r="G2228" s="40">
        <v>350.60418508694369</v>
      </c>
      <c r="H2228" s="41">
        <v>-0.1225</v>
      </c>
      <c r="I2228" s="40">
        <v>43.48</v>
      </c>
      <c r="J2228" s="41">
        <v>0.12401449226630799</v>
      </c>
      <c r="K2228" s="9" t="s">
        <v>3199</v>
      </c>
    </row>
    <row r="2229" spans="1:11" x14ac:dyDescent="0.2">
      <c r="A2229" s="9" t="s">
        <v>37</v>
      </c>
      <c r="B2229" s="9" t="s">
        <v>1067</v>
      </c>
      <c r="C2229" s="9"/>
      <c r="D2229" s="9" t="s">
        <v>81</v>
      </c>
      <c r="E2229" s="38">
        <v>6059</v>
      </c>
      <c r="F2229" s="39">
        <v>4154864</v>
      </c>
      <c r="G2229" s="40">
        <v>685.73427958408979</v>
      </c>
      <c r="H2229" s="41">
        <v>-2.006688963210702E-2</v>
      </c>
      <c r="I2229" s="40">
        <v>39.400561148704398</v>
      </c>
      <c r="J2229" s="41">
        <v>5.7457476345796163E-2</v>
      </c>
      <c r="K2229" s="9" t="s">
        <v>3200</v>
      </c>
    </row>
    <row r="2230" spans="1:11" x14ac:dyDescent="0.2">
      <c r="A2230" s="9" t="s">
        <v>37</v>
      </c>
      <c r="B2230" s="9" t="s">
        <v>169</v>
      </c>
      <c r="C2230" s="9"/>
      <c r="D2230" s="9" t="s">
        <v>76</v>
      </c>
      <c r="E2230" s="38">
        <v>7986</v>
      </c>
      <c r="F2230" s="39">
        <v>4378166</v>
      </c>
      <c r="G2230" s="40">
        <v>548.23015276734282</v>
      </c>
      <c r="H2230" s="41">
        <v>1.1312217194570141E-2</v>
      </c>
      <c r="I2230" s="40">
        <v>63.053673929376409</v>
      </c>
      <c r="J2230" s="41">
        <v>0.1150131447734051</v>
      </c>
      <c r="K2230" s="9" t="s">
        <v>3201</v>
      </c>
    </row>
    <row r="2231" spans="1:11" x14ac:dyDescent="0.2">
      <c r="A2231" s="9" t="s">
        <v>37</v>
      </c>
      <c r="B2231" s="9" t="s">
        <v>2910</v>
      </c>
      <c r="C2231" s="9"/>
      <c r="D2231" s="9" t="s">
        <v>83</v>
      </c>
      <c r="E2231" s="38">
        <v>2530</v>
      </c>
      <c r="F2231" s="39">
        <v>581306</v>
      </c>
      <c r="G2231" s="40">
        <v>229.76521739130439</v>
      </c>
      <c r="H2231" s="41">
        <v>-9.4017094017094016E-2</v>
      </c>
      <c r="I2231" s="40">
        <v>44.448332015810273</v>
      </c>
      <c r="J2231" s="41">
        <v>0.19345109116369</v>
      </c>
      <c r="K2231" s="9" t="s">
        <v>3202</v>
      </c>
    </row>
    <row r="2232" spans="1:11" x14ac:dyDescent="0.2">
      <c r="A2232" s="9" t="s">
        <v>37</v>
      </c>
      <c r="B2232" s="9" t="s">
        <v>3203</v>
      </c>
      <c r="C2232" s="9"/>
      <c r="D2232" s="9" t="s">
        <v>80</v>
      </c>
      <c r="E2232" s="38">
        <v>700</v>
      </c>
      <c r="F2232" s="39">
        <v>446998</v>
      </c>
      <c r="G2232" s="40">
        <v>638.56857142857143</v>
      </c>
      <c r="H2232" s="41">
        <v>-5.4719562243502051E-3</v>
      </c>
      <c r="I2232" s="40">
        <v>104.3346857142857</v>
      </c>
      <c r="J2232" s="41">
        <v>0.1633883820509264</v>
      </c>
      <c r="K2232" s="9" t="s">
        <v>3204</v>
      </c>
    </row>
    <row r="2233" spans="1:11" x14ac:dyDescent="0.2">
      <c r="A2233" s="9" t="s">
        <v>37</v>
      </c>
      <c r="B2233" s="9" t="s">
        <v>173</v>
      </c>
      <c r="C2233" s="9"/>
      <c r="D2233" s="9" t="s">
        <v>80</v>
      </c>
      <c r="E2233" s="38">
        <v>946</v>
      </c>
      <c r="F2233" s="39">
        <v>970694</v>
      </c>
      <c r="G2233" s="40">
        <v>1026.1035940803381</v>
      </c>
      <c r="H2233" s="41">
        <v>2.341463414634146E-2</v>
      </c>
      <c r="I2233" s="40">
        <v>111.10591966173359</v>
      </c>
      <c r="J2233" s="41">
        <v>0.10827943718617811</v>
      </c>
      <c r="K2233" s="9" t="s">
        <v>3205</v>
      </c>
    </row>
    <row r="2234" spans="1:11" x14ac:dyDescent="0.2">
      <c r="A2234" s="9" t="s">
        <v>37</v>
      </c>
      <c r="B2234" s="9" t="s">
        <v>179</v>
      </c>
      <c r="C2234" s="9"/>
      <c r="D2234" s="9" t="s">
        <v>79</v>
      </c>
      <c r="E2234" s="38">
        <v>4484</v>
      </c>
      <c r="F2234" s="39">
        <v>2326619</v>
      </c>
      <c r="G2234" s="40">
        <v>518.871320249777</v>
      </c>
      <c r="H2234" s="41">
        <v>-5.5130168453292487E-2</v>
      </c>
      <c r="I2234" s="40">
        <v>50.972408563782338</v>
      </c>
      <c r="J2234" s="41">
        <v>9.8237089957573631E-2</v>
      </c>
      <c r="K2234" s="9" t="s">
        <v>3206</v>
      </c>
    </row>
    <row r="2235" spans="1:11" x14ac:dyDescent="0.2">
      <c r="A2235" s="9" t="s">
        <v>37</v>
      </c>
      <c r="B2235" s="9" t="s">
        <v>3207</v>
      </c>
      <c r="C2235" s="9"/>
      <c r="D2235" s="9" t="s">
        <v>85</v>
      </c>
      <c r="E2235" s="38">
        <v>17297</v>
      </c>
      <c r="F2235" s="39">
        <v>0</v>
      </c>
      <c r="G2235" s="40"/>
      <c r="H2235" s="41"/>
      <c r="I2235" s="40">
        <v>0.28906746834711222</v>
      </c>
      <c r="J2235" s="41"/>
      <c r="K2235" s="9" t="s">
        <v>3208</v>
      </c>
    </row>
    <row r="2236" spans="1:11" x14ac:dyDescent="0.2">
      <c r="A2236" s="9" t="s">
        <v>37</v>
      </c>
      <c r="B2236" s="9" t="s">
        <v>3209</v>
      </c>
      <c r="C2236" s="9"/>
      <c r="D2236" s="9" t="s">
        <v>81</v>
      </c>
      <c r="E2236" s="38">
        <v>2717</v>
      </c>
      <c r="F2236" s="39">
        <v>2378313</v>
      </c>
      <c r="G2236" s="40">
        <v>875.34523371365481</v>
      </c>
      <c r="H2236" s="41">
        <v>0.17528735632183909</v>
      </c>
      <c r="I2236" s="40">
        <v>109.41356712307901</v>
      </c>
      <c r="J2236" s="41">
        <v>0.1249947596777235</v>
      </c>
      <c r="K2236" s="9" t="s">
        <v>3210</v>
      </c>
    </row>
    <row r="2237" spans="1:11" x14ac:dyDescent="0.2">
      <c r="A2237" s="9" t="s">
        <v>37</v>
      </c>
      <c r="B2237" s="9" t="s">
        <v>187</v>
      </c>
      <c r="C2237" s="9"/>
      <c r="D2237" s="9" t="s">
        <v>76</v>
      </c>
      <c r="E2237" s="38">
        <v>3053</v>
      </c>
      <c r="F2237" s="39">
        <v>766873</v>
      </c>
      <c r="G2237" s="40">
        <v>251.18670160497871</v>
      </c>
      <c r="H2237" s="41"/>
      <c r="I2237" s="40">
        <v>29.47920078611202</v>
      </c>
      <c r="J2237" s="41">
        <v>0.1173597192755515</v>
      </c>
      <c r="K2237" s="9" t="s">
        <v>3211</v>
      </c>
    </row>
    <row r="2238" spans="1:11" x14ac:dyDescent="0.2">
      <c r="A2238" s="9" t="s">
        <v>37</v>
      </c>
      <c r="B2238" s="9" t="s">
        <v>191</v>
      </c>
      <c r="C2238" s="9"/>
      <c r="D2238" s="9" t="s">
        <v>76</v>
      </c>
      <c r="E2238" s="38">
        <v>4966</v>
      </c>
      <c r="F2238" s="39">
        <v>1654844</v>
      </c>
      <c r="G2238" s="40">
        <v>333.2347966169956</v>
      </c>
      <c r="H2238" s="41">
        <v>-0.11358024691358019</v>
      </c>
      <c r="I2238" s="40">
        <v>44.0848654299703</v>
      </c>
      <c r="J2238" s="41">
        <v>0.13229370365136081</v>
      </c>
      <c r="K2238" s="9" t="s">
        <v>3212</v>
      </c>
    </row>
    <row r="2239" spans="1:11" x14ac:dyDescent="0.2">
      <c r="A2239" s="9" t="s">
        <v>37</v>
      </c>
      <c r="B2239" s="9" t="s">
        <v>193</v>
      </c>
      <c r="C2239" s="9"/>
      <c r="D2239" s="9" t="s">
        <v>82</v>
      </c>
      <c r="E2239" s="38">
        <v>2675</v>
      </c>
      <c r="F2239" s="39">
        <v>0</v>
      </c>
      <c r="G2239" s="40"/>
      <c r="H2239" s="41"/>
      <c r="I2239" s="40">
        <v>57.875977570093447</v>
      </c>
      <c r="J2239" s="41"/>
      <c r="K2239" s="9" t="s">
        <v>3213</v>
      </c>
    </row>
    <row r="2240" spans="1:11" x14ac:dyDescent="0.2">
      <c r="A2240" s="9" t="s">
        <v>37</v>
      </c>
      <c r="B2240" s="9" t="s">
        <v>200</v>
      </c>
      <c r="C2240" s="9"/>
      <c r="D2240" s="9" t="s">
        <v>77</v>
      </c>
      <c r="E2240" s="38">
        <v>5004</v>
      </c>
      <c r="F2240" s="39">
        <v>1403866</v>
      </c>
      <c r="G2240" s="40">
        <v>280.54876099120702</v>
      </c>
      <c r="H2240" s="41">
        <v>-0.22916666666666671</v>
      </c>
      <c r="I2240" s="40">
        <v>81.211144125097164</v>
      </c>
      <c r="J2240" s="41">
        <v>0.28947247472478588</v>
      </c>
      <c r="K2240" s="9" t="s">
        <v>3214</v>
      </c>
    </row>
    <row r="2241" spans="1:11" x14ac:dyDescent="0.2">
      <c r="A2241" s="9" t="s">
        <v>37</v>
      </c>
      <c r="B2241" s="9" t="s">
        <v>202</v>
      </c>
      <c r="C2241" s="9"/>
      <c r="D2241" s="9" t="s">
        <v>81</v>
      </c>
      <c r="E2241" s="38">
        <v>864</v>
      </c>
      <c r="F2241" s="39">
        <v>344154</v>
      </c>
      <c r="G2241" s="40">
        <v>398.32638888888891</v>
      </c>
      <c r="H2241" s="41"/>
      <c r="I2241" s="40">
        <v>39.832638888888887</v>
      </c>
      <c r="J2241" s="41">
        <v>0.1</v>
      </c>
      <c r="K2241" s="9" t="s">
        <v>3215</v>
      </c>
    </row>
    <row r="2242" spans="1:11" x14ac:dyDescent="0.2">
      <c r="A2242" s="9" t="s">
        <v>37</v>
      </c>
      <c r="B2242" s="9" t="s">
        <v>759</v>
      </c>
      <c r="C2242" s="9"/>
      <c r="D2242" s="9" t="s">
        <v>76</v>
      </c>
      <c r="E2242" s="38">
        <v>3300</v>
      </c>
      <c r="F2242" s="39">
        <v>407718</v>
      </c>
      <c r="G2242" s="40">
        <v>123.5509090909091</v>
      </c>
      <c r="H2242" s="41">
        <v>0.05</v>
      </c>
      <c r="I2242" s="40">
        <v>12.35872727272727</v>
      </c>
      <c r="J2242" s="41">
        <v>0.1000294321074861</v>
      </c>
      <c r="K2242" s="9" t="s">
        <v>3216</v>
      </c>
    </row>
    <row r="2243" spans="1:11" x14ac:dyDescent="0.2">
      <c r="A2243" s="9" t="s">
        <v>37</v>
      </c>
      <c r="B2243" s="9" t="s">
        <v>206</v>
      </c>
      <c r="C2243" s="9"/>
      <c r="D2243" s="9" t="s">
        <v>80</v>
      </c>
      <c r="E2243" s="38">
        <v>1250</v>
      </c>
      <c r="F2243" s="39">
        <v>441697</v>
      </c>
      <c r="G2243" s="40">
        <v>353.35759999999999</v>
      </c>
      <c r="H2243" s="41">
        <v>-4.6391752577319589E-2</v>
      </c>
      <c r="I2243" s="40">
        <v>36.021791999999998</v>
      </c>
      <c r="J2243" s="41">
        <v>0.101941466661535</v>
      </c>
      <c r="K2243" s="9" t="s">
        <v>3217</v>
      </c>
    </row>
    <row r="2244" spans="1:11" x14ac:dyDescent="0.2">
      <c r="A2244" s="9" t="s">
        <v>37</v>
      </c>
      <c r="B2244" s="9" t="s">
        <v>208</v>
      </c>
      <c r="C2244" s="9"/>
      <c r="D2244" s="9" t="s">
        <v>78</v>
      </c>
      <c r="E2244" s="38">
        <v>2303</v>
      </c>
      <c r="F2244" s="39">
        <v>663690</v>
      </c>
      <c r="G2244" s="40">
        <v>288.18497611810682</v>
      </c>
      <c r="H2244" s="41">
        <v>-3.6065573770491813E-2</v>
      </c>
      <c r="I2244" s="40">
        <v>43.641858445505868</v>
      </c>
      <c r="J2244" s="41">
        <v>0.1514369660534286</v>
      </c>
      <c r="K2244" s="9" t="s">
        <v>3218</v>
      </c>
    </row>
    <row r="2245" spans="1:11" x14ac:dyDescent="0.2">
      <c r="A2245" s="9" t="s">
        <v>37</v>
      </c>
      <c r="B2245" s="9" t="s">
        <v>590</v>
      </c>
      <c r="C2245" s="9"/>
      <c r="D2245" s="9" t="s">
        <v>81</v>
      </c>
      <c r="E2245" s="38">
        <v>10950</v>
      </c>
      <c r="F2245" s="39">
        <v>7445326</v>
      </c>
      <c r="G2245" s="40">
        <v>679.93844748858453</v>
      </c>
      <c r="H2245" s="41">
        <v>2.4502297090352222E-2</v>
      </c>
      <c r="I2245" s="40">
        <v>53.158673972602728</v>
      </c>
      <c r="J2245" s="41">
        <v>7.8181597420986002E-2</v>
      </c>
      <c r="K2245" s="9" t="s">
        <v>3219</v>
      </c>
    </row>
    <row r="2246" spans="1:11" x14ac:dyDescent="0.2">
      <c r="A2246" s="9" t="s">
        <v>37</v>
      </c>
      <c r="B2246" s="9" t="s">
        <v>1001</v>
      </c>
      <c r="C2246" s="9"/>
      <c r="D2246" s="9" t="s">
        <v>76</v>
      </c>
      <c r="E2246" s="38">
        <v>4166</v>
      </c>
      <c r="F2246" s="39">
        <v>949872</v>
      </c>
      <c r="G2246" s="40">
        <v>228.00576092174751</v>
      </c>
      <c r="H2246" s="41"/>
      <c r="I2246" s="40">
        <v>37.883420547287571</v>
      </c>
      <c r="J2246" s="41">
        <v>0.16615115510300341</v>
      </c>
      <c r="K2246" s="9" t="s">
        <v>3220</v>
      </c>
    </row>
    <row r="2247" spans="1:11" x14ac:dyDescent="0.2">
      <c r="A2247" s="9" t="s">
        <v>37</v>
      </c>
      <c r="B2247" s="9" t="s">
        <v>3221</v>
      </c>
      <c r="C2247" s="9"/>
      <c r="D2247" s="9" t="s">
        <v>85</v>
      </c>
      <c r="E2247" s="38">
        <v>24883</v>
      </c>
      <c r="F2247" s="39">
        <v>0</v>
      </c>
      <c r="G2247" s="40"/>
      <c r="H2247" s="41"/>
      <c r="I2247" s="40">
        <v>15.540482256962591</v>
      </c>
      <c r="J2247" s="41"/>
      <c r="K2247" s="9" t="s">
        <v>3222</v>
      </c>
    </row>
    <row r="2248" spans="1:11" x14ac:dyDescent="0.2">
      <c r="A2248" s="9" t="s">
        <v>37</v>
      </c>
      <c r="B2248" s="9" t="s">
        <v>231</v>
      </c>
      <c r="C2248" s="9"/>
      <c r="D2248" s="9" t="s">
        <v>76</v>
      </c>
      <c r="E2248" s="38">
        <v>8561</v>
      </c>
      <c r="F2248" s="39">
        <v>883240</v>
      </c>
      <c r="G2248" s="40">
        <v>103.170190398318</v>
      </c>
      <c r="H2248" s="41">
        <v>-0.11971830985915489</v>
      </c>
      <c r="I2248" s="40">
        <v>2.0648055133746062</v>
      </c>
      <c r="J2248" s="41">
        <v>2.0013586341198319E-2</v>
      </c>
      <c r="K2248" s="9" t="s">
        <v>3223</v>
      </c>
    </row>
    <row r="2249" spans="1:11" x14ac:dyDescent="0.2">
      <c r="A2249" s="9" t="s">
        <v>37</v>
      </c>
      <c r="B2249" s="9" t="s">
        <v>3224</v>
      </c>
      <c r="C2249" s="9"/>
      <c r="D2249" s="9" t="s">
        <v>83</v>
      </c>
      <c r="E2249" s="38">
        <v>2417</v>
      </c>
      <c r="F2249" s="39">
        <v>282907</v>
      </c>
      <c r="G2249" s="40">
        <v>117.0488208522962</v>
      </c>
      <c r="H2249" s="41"/>
      <c r="I2249" s="40">
        <v>31.225072403806369</v>
      </c>
      <c r="J2249" s="41">
        <v>0.26676964514840562</v>
      </c>
      <c r="K2249" s="9" t="s">
        <v>3225</v>
      </c>
    </row>
    <row r="2250" spans="1:11" x14ac:dyDescent="0.2">
      <c r="A2250" s="9" t="s">
        <v>37</v>
      </c>
      <c r="B2250" s="9" t="s">
        <v>3226</v>
      </c>
      <c r="C2250" s="9"/>
      <c r="D2250" s="9" t="s">
        <v>76</v>
      </c>
      <c r="E2250" s="38">
        <v>1218</v>
      </c>
      <c r="F2250" s="39">
        <v>448084</v>
      </c>
      <c r="G2250" s="40">
        <v>367.88505747126442</v>
      </c>
      <c r="H2250" s="41">
        <v>9.1383812010443863E-2</v>
      </c>
      <c r="I2250" s="40">
        <v>42</v>
      </c>
      <c r="J2250" s="41">
        <v>0.1141660938574017</v>
      </c>
      <c r="K2250" s="9" t="s">
        <v>3227</v>
      </c>
    </row>
    <row r="2251" spans="1:11" x14ac:dyDescent="0.2">
      <c r="A2251" s="9" t="s">
        <v>37</v>
      </c>
      <c r="B2251" s="9" t="s">
        <v>235</v>
      </c>
      <c r="C2251" s="9"/>
      <c r="D2251" s="9" t="s">
        <v>77</v>
      </c>
      <c r="E2251" s="38">
        <v>5866</v>
      </c>
      <c r="F2251" s="39">
        <v>2106912</v>
      </c>
      <c r="G2251" s="40">
        <v>359.17354244800538</v>
      </c>
      <c r="H2251" s="41">
        <v>-0.1048593350383632</v>
      </c>
      <c r="I2251" s="40">
        <v>81.21113872324419</v>
      </c>
      <c r="J2251" s="41">
        <v>0.2261055704986969</v>
      </c>
      <c r="K2251" s="9" t="s">
        <v>3228</v>
      </c>
    </row>
    <row r="2252" spans="1:11" x14ac:dyDescent="0.2">
      <c r="A2252" s="9" t="s">
        <v>37</v>
      </c>
      <c r="B2252" s="9" t="s">
        <v>3229</v>
      </c>
      <c r="C2252" s="9"/>
      <c r="D2252" s="9" t="s">
        <v>81</v>
      </c>
      <c r="E2252" s="38">
        <v>9001</v>
      </c>
      <c r="F2252" s="39">
        <v>7216722</v>
      </c>
      <c r="G2252" s="40">
        <v>801.76891456504836</v>
      </c>
      <c r="H2252" s="41"/>
      <c r="I2252" s="40">
        <v>48.106134873902903</v>
      </c>
      <c r="J2252" s="41">
        <v>5.9999999999999991E-2</v>
      </c>
      <c r="K2252" s="9" t="s">
        <v>3230</v>
      </c>
    </row>
    <row r="2253" spans="1:11" x14ac:dyDescent="0.2">
      <c r="A2253" s="9" t="s">
        <v>37</v>
      </c>
      <c r="B2253" s="9" t="s">
        <v>456</v>
      </c>
      <c r="C2253" s="9"/>
      <c r="D2253" s="9" t="s">
        <v>76</v>
      </c>
      <c r="E2253" s="38">
        <v>1214</v>
      </c>
      <c r="F2253" s="39">
        <v>381440</v>
      </c>
      <c r="G2253" s="40">
        <v>314.20098846787482</v>
      </c>
      <c r="H2253" s="41">
        <v>-8.5062240663900418E-2</v>
      </c>
      <c r="I2253" s="40">
        <v>49.423393739703457</v>
      </c>
      <c r="J2253" s="41">
        <v>0.15729865771812079</v>
      </c>
      <c r="K2253" s="9" t="s">
        <v>3231</v>
      </c>
    </row>
    <row r="2254" spans="1:11" x14ac:dyDescent="0.2">
      <c r="A2254" s="9" t="s">
        <v>37</v>
      </c>
      <c r="B2254" s="9" t="s">
        <v>3232</v>
      </c>
      <c r="C2254" s="9"/>
      <c r="D2254" s="9" t="s">
        <v>80</v>
      </c>
      <c r="E2254" s="38">
        <v>966</v>
      </c>
      <c r="F2254" s="39">
        <v>0</v>
      </c>
      <c r="G2254" s="40"/>
      <c r="H2254" s="41"/>
      <c r="I2254" s="40">
        <v>51</v>
      </c>
      <c r="J2254" s="41"/>
      <c r="K2254" s="9" t="s">
        <v>3233</v>
      </c>
    </row>
    <row r="2255" spans="1:11" x14ac:dyDescent="0.2">
      <c r="A2255" s="9" t="s">
        <v>37</v>
      </c>
      <c r="B2255" s="9" t="s">
        <v>2171</v>
      </c>
      <c r="C2255" s="9"/>
      <c r="D2255" s="9" t="s">
        <v>81</v>
      </c>
      <c r="E2255" s="38">
        <v>13354</v>
      </c>
      <c r="F2255" s="39">
        <v>3395195</v>
      </c>
      <c r="G2255" s="40">
        <v>254.24554440617041</v>
      </c>
      <c r="H2255" s="41">
        <v>0.31674208144796379</v>
      </c>
      <c r="I2255" s="40">
        <v>17.630598457391041</v>
      </c>
      <c r="J2255" s="41">
        <v>6.9344768650990582E-2</v>
      </c>
      <c r="K2255" s="9" t="s">
        <v>3234</v>
      </c>
    </row>
    <row r="2256" spans="1:11" x14ac:dyDescent="0.2">
      <c r="A2256" s="9" t="s">
        <v>37</v>
      </c>
      <c r="B2256" s="9" t="s">
        <v>3235</v>
      </c>
      <c r="C2256" s="9"/>
      <c r="D2256" s="9" t="s">
        <v>80</v>
      </c>
      <c r="E2256" s="38">
        <v>1492</v>
      </c>
      <c r="F2256" s="39">
        <v>770065</v>
      </c>
      <c r="G2256" s="40">
        <v>516.12935656836464</v>
      </c>
      <c r="H2256" s="41">
        <v>0</v>
      </c>
      <c r="I2256" s="40">
        <v>72.616281091437685</v>
      </c>
      <c r="J2256" s="41">
        <v>0.14069395620944339</v>
      </c>
      <c r="K2256" s="9" t="s">
        <v>3236</v>
      </c>
    </row>
    <row r="2257" spans="1:11" x14ac:dyDescent="0.2">
      <c r="A2257" s="9" t="s">
        <v>37</v>
      </c>
      <c r="B2257" s="9" t="s">
        <v>908</v>
      </c>
      <c r="C2257" s="9"/>
      <c r="D2257" s="9" t="s">
        <v>80</v>
      </c>
      <c r="E2257" s="38">
        <v>948</v>
      </c>
      <c r="F2257" s="39">
        <v>443043</v>
      </c>
      <c r="G2257" s="40">
        <v>467.34493670886081</v>
      </c>
      <c r="H2257" s="41">
        <v>-3.0588235294117649E-2</v>
      </c>
      <c r="I2257" s="40">
        <v>68.908987341772161</v>
      </c>
      <c r="J2257" s="41">
        <v>0.14744780980627159</v>
      </c>
      <c r="K2257" s="9" t="s">
        <v>3237</v>
      </c>
    </row>
    <row r="2258" spans="1:11" x14ac:dyDescent="0.2">
      <c r="A2258" s="9" t="s">
        <v>37</v>
      </c>
      <c r="B2258" s="9" t="s">
        <v>247</v>
      </c>
      <c r="C2258" s="9"/>
      <c r="D2258" s="9" t="s">
        <v>76</v>
      </c>
      <c r="E2258" s="38">
        <v>29575</v>
      </c>
      <c r="F2258" s="39">
        <v>3050214</v>
      </c>
      <c r="G2258" s="40">
        <v>103.13487743026209</v>
      </c>
      <c r="H2258" s="41">
        <v>1.6393442622950821E-2</v>
      </c>
      <c r="I2258" s="40">
        <v>3.094046322907861</v>
      </c>
      <c r="J2258" s="41">
        <v>0.03</v>
      </c>
      <c r="K2258" s="9" t="s">
        <v>3238</v>
      </c>
    </row>
    <row r="2259" spans="1:11" x14ac:dyDescent="0.2">
      <c r="A2259" s="9" t="s">
        <v>37</v>
      </c>
      <c r="B2259" s="9" t="s">
        <v>2182</v>
      </c>
      <c r="C2259" s="9"/>
      <c r="D2259" s="9" t="s">
        <v>78</v>
      </c>
      <c r="E2259" s="38">
        <v>2287</v>
      </c>
      <c r="F2259" s="39">
        <v>786754</v>
      </c>
      <c r="G2259" s="40">
        <v>344.01136860515959</v>
      </c>
      <c r="H2259" s="41"/>
      <c r="I2259" s="40">
        <v>22.14999562745955</v>
      </c>
      <c r="J2259" s="41">
        <v>6.4387394280804422E-2</v>
      </c>
      <c r="K2259" s="9" t="s">
        <v>3239</v>
      </c>
    </row>
    <row r="2260" spans="1:11" x14ac:dyDescent="0.2">
      <c r="A2260" s="9" t="s">
        <v>37</v>
      </c>
      <c r="B2260" s="9" t="s">
        <v>140</v>
      </c>
      <c r="C2260" s="9"/>
      <c r="D2260" s="9" t="s">
        <v>83</v>
      </c>
      <c r="E2260" s="38">
        <v>4300</v>
      </c>
      <c r="F2260" s="39">
        <v>2314670</v>
      </c>
      <c r="G2260" s="40">
        <v>538.2953488372093</v>
      </c>
      <c r="H2260" s="41">
        <v>-9.5041322314049589E-2</v>
      </c>
      <c r="I2260" s="40">
        <v>62.201106976744178</v>
      </c>
      <c r="J2260" s="41">
        <v>0.11555200525344859</v>
      </c>
      <c r="K2260" s="9" t="s">
        <v>3240</v>
      </c>
    </row>
    <row r="2261" spans="1:11" x14ac:dyDescent="0.2">
      <c r="A2261" s="9" t="s">
        <v>37</v>
      </c>
      <c r="B2261" s="9" t="s">
        <v>256</v>
      </c>
      <c r="C2261" s="9"/>
      <c r="D2261" s="9" t="s">
        <v>76</v>
      </c>
      <c r="E2261" s="38">
        <v>1633</v>
      </c>
      <c r="F2261" s="39">
        <v>918376</v>
      </c>
      <c r="G2261" s="40">
        <v>562.38579301898346</v>
      </c>
      <c r="H2261" s="41">
        <v>-0.1064814814814815</v>
      </c>
      <c r="I2261" s="40">
        <v>81.556276791181887</v>
      </c>
      <c r="J2261" s="41">
        <v>0.14501838027126149</v>
      </c>
      <c r="K2261" s="9" t="s">
        <v>3241</v>
      </c>
    </row>
    <row r="2262" spans="1:11" x14ac:dyDescent="0.2">
      <c r="A2262" s="9" t="s">
        <v>37</v>
      </c>
      <c r="B2262" s="9" t="s">
        <v>3242</v>
      </c>
      <c r="C2262" s="9"/>
      <c r="D2262" s="9" t="s">
        <v>83</v>
      </c>
      <c r="E2262" s="38">
        <v>6000</v>
      </c>
      <c r="F2262" s="39">
        <v>0</v>
      </c>
      <c r="G2262" s="40"/>
      <c r="H2262" s="41"/>
      <c r="I2262" s="40">
        <v>21.23152</v>
      </c>
      <c r="J2262" s="41"/>
      <c r="K2262" s="9" t="s">
        <v>3243</v>
      </c>
    </row>
    <row r="2263" spans="1:11" x14ac:dyDescent="0.2">
      <c r="A2263" s="9" t="s">
        <v>37</v>
      </c>
      <c r="B2263" s="9" t="s">
        <v>3244</v>
      </c>
      <c r="C2263" s="9"/>
      <c r="D2263" s="9" t="s">
        <v>85</v>
      </c>
      <c r="E2263" s="38">
        <v>16744</v>
      </c>
      <c r="F2263" s="39">
        <v>2079418</v>
      </c>
      <c r="G2263" s="40">
        <v>124.1888437649307</v>
      </c>
      <c r="H2263" s="41"/>
      <c r="I2263" s="40">
        <v>17.925680840898231</v>
      </c>
      <c r="J2263" s="41">
        <v>0.14434211880439621</v>
      </c>
      <c r="K2263" s="9" t="s">
        <v>3245</v>
      </c>
    </row>
    <row r="2264" spans="1:11" x14ac:dyDescent="0.2">
      <c r="A2264" s="9" t="s">
        <v>37</v>
      </c>
      <c r="B2264" s="9" t="s">
        <v>1119</v>
      </c>
      <c r="C2264" s="9"/>
      <c r="D2264" s="9" t="s">
        <v>80</v>
      </c>
      <c r="E2264" s="38">
        <v>1504</v>
      </c>
      <c r="F2264" s="39">
        <v>307696</v>
      </c>
      <c r="G2264" s="40">
        <v>204.58510638297869</v>
      </c>
      <c r="H2264" s="41">
        <v>5.3278688524590161E-2</v>
      </c>
      <c r="I2264" s="40">
        <v>44.390026595744693</v>
      </c>
      <c r="J2264" s="41">
        <v>0.21697584628984451</v>
      </c>
      <c r="K2264" s="9" t="s">
        <v>3246</v>
      </c>
    </row>
    <row r="2265" spans="1:11" x14ac:dyDescent="0.2">
      <c r="A2265" s="9" t="s">
        <v>37</v>
      </c>
      <c r="B2265" s="9" t="s">
        <v>3247</v>
      </c>
      <c r="C2265" s="9"/>
      <c r="D2265" s="9" t="s">
        <v>76</v>
      </c>
      <c r="E2265" s="38">
        <v>1600</v>
      </c>
      <c r="F2265" s="39">
        <v>329935</v>
      </c>
      <c r="G2265" s="40">
        <v>206.20937499999999</v>
      </c>
      <c r="H2265" s="41">
        <v>-0.31481481481481483</v>
      </c>
      <c r="I2265" s="40">
        <v>11.25</v>
      </c>
      <c r="J2265" s="41">
        <v>5.4556200463727701E-2</v>
      </c>
      <c r="K2265" s="9" t="s">
        <v>3248</v>
      </c>
    </row>
    <row r="2266" spans="1:11" x14ac:dyDescent="0.2">
      <c r="A2266" s="9" t="s">
        <v>37</v>
      </c>
      <c r="B2266" s="9" t="s">
        <v>267</v>
      </c>
      <c r="C2266" s="9"/>
      <c r="D2266" s="9" t="s">
        <v>77</v>
      </c>
      <c r="E2266" s="38">
        <v>2238</v>
      </c>
      <c r="F2266" s="39">
        <v>1261207</v>
      </c>
      <c r="G2266" s="40">
        <v>563.54200178731014</v>
      </c>
      <c r="H2266" s="41">
        <v>-0.1613333333333333</v>
      </c>
      <c r="I2266" s="40">
        <v>95.87410187667561</v>
      </c>
      <c r="J2266" s="41">
        <v>0.17012769513648429</v>
      </c>
      <c r="K2266" s="9" t="s">
        <v>3249</v>
      </c>
    </row>
    <row r="2267" spans="1:11" x14ac:dyDescent="0.2">
      <c r="A2267" s="9" t="s">
        <v>37</v>
      </c>
      <c r="B2267" s="9" t="s">
        <v>597</v>
      </c>
      <c r="C2267" s="9"/>
      <c r="D2267" s="9" t="s">
        <v>78</v>
      </c>
      <c r="E2267" s="38">
        <v>1398</v>
      </c>
      <c r="F2267" s="39">
        <v>1527584</v>
      </c>
      <c r="G2267" s="40">
        <v>1092.6924177396279</v>
      </c>
      <c r="H2267" s="41">
        <v>1.4720314033366049E-2</v>
      </c>
      <c r="I2267" s="40">
        <v>110.2712446351931</v>
      </c>
      <c r="J2267" s="41">
        <v>0.1009170035821271</v>
      </c>
      <c r="K2267" s="9" t="s">
        <v>3250</v>
      </c>
    </row>
    <row r="2268" spans="1:11" x14ac:dyDescent="0.2">
      <c r="A2268" s="9" t="s">
        <v>37</v>
      </c>
      <c r="B2268" s="9" t="s">
        <v>1127</v>
      </c>
      <c r="C2268" s="9"/>
      <c r="D2268" s="9" t="s">
        <v>81</v>
      </c>
      <c r="E2268" s="38">
        <v>8664</v>
      </c>
      <c r="F2268" s="39">
        <v>3436612</v>
      </c>
      <c r="G2268" s="40">
        <v>396.65420129270552</v>
      </c>
      <c r="H2268" s="41">
        <v>-2.0833333333333329E-3</v>
      </c>
      <c r="I2268" s="40">
        <v>55.154207573086971</v>
      </c>
      <c r="J2268" s="41">
        <v>0.13904859041789569</v>
      </c>
      <c r="K2268" s="9" t="s">
        <v>3251</v>
      </c>
    </row>
    <row r="2269" spans="1:11" x14ac:dyDescent="0.2">
      <c r="A2269" s="9" t="s">
        <v>37</v>
      </c>
      <c r="B2269" s="9" t="s">
        <v>1129</v>
      </c>
      <c r="C2269" s="9"/>
      <c r="D2269" s="9" t="s">
        <v>80</v>
      </c>
      <c r="E2269" s="38">
        <v>792</v>
      </c>
      <c r="F2269" s="39">
        <v>312826</v>
      </c>
      <c r="G2269" s="40">
        <v>394.98232323232321</v>
      </c>
      <c r="H2269" s="41">
        <v>-0.23076923076923081</v>
      </c>
      <c r="I2269" s="40">
        <v>84.48710653664061</v>
      </c>
      <c r="J2269" s="41">
        <v>0.21390098130276691</v>
      </c>
      <c r="K2269" s="9" t="s">
        <v>3252</v>
      </c>
    </row>
    <row r="2270" spans="1:11" x14ac:dyDescent="0.2">
      <c r="A2270" s="9" t="s">
        <v>37</v>
      </c>
      <c r="B2270" s="9" t="s">
        <v>275</v>
      </c>
      <c r="C2270" s="9"/>
      <c r="D2270" s="9" t="s">
        <v>83</v>
      </c>
      <c r="E2270" s="38">
        <v>3430</v>
      </c>
      <c r="F2270" s="39">
        <v>2881460</v>
      </c>
      <c r="G2270" s="40">
        <v>840.07580174927114</v>
      </c>
      <c r="H2270" s="41">
        <v>0.31227436823104687</v>
      </c>
      <c r="I2270" s="40">
        <v>76.47565014577259</v>
      </c>
      <c r="J2270" s="41">
        <v>9.1034225705024535E-2</v>
      </c>
      <c r="K2270" s="9" t="s">
        <v>3253</v>
      </c>
    </row>
    <row r="2271" spans="1:11" x14ac:dyDescent="0.2">
      <c r="A2271" s="9" t="s">
        <v>37</v>
      </c>
      <c r="B2271" s="9" t="s">
        <v>277</v>
      </c>
      <c r="C2271" s="9"/>
      <c r="D2271" s="9" t="s">
        <v>76</v>
      </c>
      <c r="E2271" s="38">
        <v>1063</v>
      </c>
      <c r="F2271" s="39">
        <v>408709</v>
      </c>
      <c r="G2271" s="40">
        <v>384.48635936030098</v>
      </c>
      <c r="H2271" s="41">
        <v>4.3956043956043956E-3</v>
      </c>
      <c r="I2271" s="40">
        <v>82.831947318908732</v>
      </c>
      <c r="J2271" s="41">
        <v>0.21543533418642599</v>
      </c>
      <c r="K2271" s="9" t="s">
        <v>3254</v>
      </c>
    </row>
    <row r="2272" spans="1:11" x14ac:dyDescent="0.2">
      <c r="A2272" s="9" t="s">
        <v>37</v>
      </c>
      <c r="B2272" s="9" t="s">
        <v>285</v>
      </c>
      <c r="C2272" s="9"/>
      <c r="D2272" s="9" t="s">
        <v>76</v>
      </c>
      <c r="E2272" s="38">
        <v>5263</v>
      </c>
      <c r="F2272" s="39">
        <v>0</v>
      </c>
      <c r="G2272" s="40"/>
      <c r="H2272" s="41"/>
      <c r="I2272" s="40">
        <v>11.40034201026031</v>
      </c>
      <c r="J2272" s="41"/>
      <c r="K2272" s="9" t="s">
        <v>3255</v>
      </c>
    </row>
    <row r="2273" spans="1:11" x14ac:dyDescent="0.2">
      <c r="A2273" s="9" t="s">
        <v>37</v>
      </c>
      <c r="B2273" s="9" t="s">
        <v>287</v>
      </c>
      <c r="C2273" s="9"/>
      <c r="D2273" s="9" t="s">
        <v>79</v>
      </c>
      <c r="E2273" s="38">
        <v>826</v>
      </c>
      <c r="F2273" s="39">
        <v>859822</v>
      </c>
      <c r="G2273" s="40">
        <v>1040.946731234867</v>
      </c>
      <c r="H2273" s="41">
        <v>4.9473684210526322E-2</v>
      </c>
      <c r="I2273" s="40">
        <v>129.68397094430989</v>
      </c>
      <c r="J2273" s="41">
        <v>0.1245827159574889</v>
      </c>
      <c r="K2273" s="9" t="s">
        <v>3256</v>
      </c>
    </row>
    <row r="2274" spans="1:11" x14ac:dyDescent="0.2">
      <c r="A2274" s="9" t="s">
        <v>37</v>
      </c>
      <c r="B2274" s="9" t="s">
        <v>3257</v>
      </c>
      <c r="C2274" s="9"/>
      <c r="D2274" s="9" t="s">
        <v>81</v>
      </c>
      <c r="E2274" s="38">
        <v>6912</v>
      </c>
      <c r="F2274" s="39">
        <v>4117136</v>
      </c>
      <c r="G2274" s="40">
        <v>595.65046296296293</v>
      </c>
      <c r="H2274" s="41">
        <v>1.798561151079137E-2</v>
      </c>
      <c r="I2274" s="40">
        <v>35.739027777777778</v>
      </c>
      <c r="J2274" s="41">
        <v>0.06</v>
      </c>
      <c r="K2274" s="9" t="s">
        <v>3258</v>
      </c>
    </row>
    <row r="2275" spans="1:11" x14ac:dyDescent="0.2">
      <c r="A2275" s="9" t="s">
        <v>37</v>
      </c>
      <c r="B2275" s="9" t="s">
        <v>3259</v>
      </c>
      <c r="C2275" s="9"/>
      <c r="D2275" s="9" t="s">
        <v>82</v>
      </c>
      <c r="E2275" s="38">
        <v>2455</v>
      </c>
      <c r="F2275" s="39">
        <v>386147</v>
      </c>
      <c r="G2275" s="40">
        <v>157.29002036659881</v>
      </c>
      <c r="H2275" s="41">
        <v>-9.5744680851063829E-2</v>
      </c>
      <c r="I2275" s="40">
        <v>18.580325865580448</v>
      </c>
      <c r="J2275" s="41">
        <v>0.1181278114293261</v>
      </c>
      <c r="K2275" s="9" t="s">
        <v>3260</v>
      </c>
    </row>
    <row r="2276" spans="1:11" x14ac:dyDescent="0.2">
      <c r="A2276" s="9" t="s">
        <v>37</v>
      </c>
      <c r="B2276" s="9" t="s">
        <v>1149</v>
      </c>
      <c r="C2276" s="9"/>
      <c r="D2276" s="9" t="s">
        <v>76</v>
      </c>
      <c r="E2276" s="38">
        <v>17377</v>
      </c>
      <c r="F2276" s="39">
        <v>3364115</v>
      </c>
      <c r="G2276" s="40">
        <v>193.59584508258041</v>
      </c>
      <c r="H2276" s="41">
        <v>1.2195121951219509E-2</v>
      </c>
      <c r="I2276" s="40">
        <v>11.615750704954831</v>
      </c>
      <c r="J2276" s="41">
        <v>0.06</v>
      </c>
      <c r="K2276" s="9" t="s">
        <v>3261</v>
      </c>
    </row>
    <row r="2277" spans="1:11" x14ac:dyDescent="0.2">
      <c r="A2277" s="9" t="s">
        <v>37</v>
      </c>
      <c r="B2277" s="9" t="s">
        <v>317</v>
      </c>
      <c r="C2277" s="9"/>
      <c r="D2277" s="9" t="s">
        <v>76</v>
      </c>
      <c r="E2277" s="38">
        <v>4256</v>
      </c>
      <c r="F2277" s="39">
        <v>1189518</v>
      </c>
      <c r="G2277" s="40">
        <v>279.49201127819549</v>
      </c>
      <c r="H2277" s="41">
        <v>-0.1685393258426966</v>
      </c>
      <c r="I2277" s="40">
        <v>11.17967105252632</v>
      </c>
      <c r="J2277" s="41">
        <v>3.9999966372557628E-2</v>
      </c>
      <c r="K2277" s="9" t="s">
        <v>3262</v>
      </c>
    </row>
    <row r="2278" spans="1:11" x14ac:dyDescent="0.2">
      <c r="A2278" s="9" t="s">
        <v>37</v>
      </c>
      <c r="B2278" s="9" t="s">
        <v>321</v>
      </c>
      <c r="C2278" s="9"/>
      <c r="D2278" s="9" t="s">
        <v>78</v>
      </c>
      <c r="E2278" s="38">
        <v>1124</v>
      </c>
      <c r="F2278" s="39">
        <v>1384289</v>
      </c>
      <c r="G2278" s="40">
        <v>1231.57384341637</v>
      </c>
      <c r="H2278" s="41">
        <v>-7.2147651006711416E-2</v>
      </c>
      <c r="I2278" s="40">
        <v>106.09003558718859</v>
      </c>
      <c r="J2278" s="41">
        <v>8.6141838879020202E-2</v>
      </c>
      <c r="K2278" s="9" t="s">
        <v>3263</v>
      </c>
    </row>
    <row r="2279" spans="1:11" x14ac:dyDescent="0.2">
      <c r="A2279" s="9" t="s">
        <v>37</v>
      </c>
      <c r="B2279" s="9" t="s">
        <v>3264</v>
      </c>
      <c r="C2279" s="9"/>
      <c r="D2279" s="9" t="s">
        <v>76</v>
      </c>
      <c r="E2279" s="38">
        <v>3448</v>
      </c>
      <c r="F2279" s="39">
        <v>534643</v>
      </c>
      <c r="G2279" s="40">
        <v>155.05887470997681</v>
      </c>
      <c r="H2279" s="41"/>
      <c r="I2279" s="40">
        <v>17.00001160092808</v>
      </c>
      <c r="J2279" s="41">
        <v>0.1096358504647026</v>
      </c>
      <c r="K2279" s="9" t="s">
        <v>3265</v>
      </c>
    </row>
    <row r="2280" spans="1:11" x14ac:dyDescent="0.2">
      <c r="A2280" s="9" t="s">
        <v>37</v>
      </c>
      <c r="B2280" s="9" t="s">
        <v>3266</v>
      </c>
      <c r="C2280" s="9"/>
      <c r="D2280" s="9" t="s">
        <v>81</v>
      </c>
      <c r="E2280" s="38">
        <v>4126</v>
      </c>
      <c r="F2280" s="39">
        <v>1685019</v>
      </c>
      <c r="G2280" s="40">
        <v>408.3904507998061</v>
      </c>
      <c r="H2280" s="41">
        <v>-2.2624434389140269E-3</v>
      </c>
      <c r="I2280" s="40">
        <v>45.964886088221043</v>
      </c>
      <c r="J2280" s="41">
        <v>0.11255132434708449</v>
      </c>
      <c r="K2280" s="9" t="s">
        <v>3267</v>
      </c>
    </row>
    <row r="2281" spans="1:11" x14ac:dyDescent="0.2">
      <c r="A2281" s="9" t="s">
        <v>37</v>
      </c>
      <c r="B2281" s="9" t="s">
        <v>3268</v>
      </c>
      <c r="C2281" s="9"/>
      <c r="D2281" s="9" t="s">
        <v>82</v>
      </c>
      <c r="E2281" s="38">
        <v>9272</v>
      </c>
      <c r="F2281" s="39">
        <v>0</v>
      </c>
      <c r="G2281" s="40"/>
      <c r="H2281" s="41"/>
      <c r="I2281" s="40">
        <v>15</v>
      </c>
      <c r="J2281" s="41"/>
      <c r="K2281" s="9" t="s">
        <v>3269</v>
      </c>
    </row>
    <row r="2282" spans="1:11" x14ac:dyDescent="0.2">
      <c r="A2282" s="9" t="s">
        <v>37</v>
      </c>
      <c r="B2282" s="9" t="s">
        <v>3270</v>
      </c>
      <c r="C2282" s="9"/>
      <c r="D2282" s="9" t="s">
        <v>83</v>
      </c>
      <c r="E2282" s="38">
        <v>1519</v>
      </c>
      <c r="F2282" s="39">
        <v>481426</v>
      </c>
      <c r="G2282" s="40">
        <v>316.93614219881499</v>
      </c>
      <c r="H2282" s="41"/>
      <c r="I2282" s="40">
        <v>49.590335747202097</v>
      </c>
      <c r="J2282" s="41">
        <v>0.15646790991761969</v>
      </c>
      <c r="K2282" s="9" t="s">
        <v>3271</v>
      </c>
    </row>
    <row r="2283" spans="1:11" x14ac:dyDescent="0.2">
      <c r="A2283" s="9" t="s">
        <v>37</v>
      </c>
      <c r="B2283" s="9" t="s">
        <v>2248</v>
      </c>
      <c r="C2283" s="9"/>
      <c r="D2283" s="9" t="s">
        <v>76</v>
      </c>
      <c r="E2283" s="38">
        <v>8819</v>
      </c>
      <c r="F2283" s="39">
        <v>1292778</v>
      </c>
      <c r="G2283" s="40">
        <v>146.59008957931741</v>
      </c>
      <c r="H2283" s="41">
        <v>1.2631578947368421E-2</v>
      </c>
      <c r="I2283" s="40">
        <v>15.63861662319991</v>
      </c>
      <c r="J2283" s="41">
        <v>0.1066826322848935</v>
      </c>
      <c r="K2283" s="9" t="s">
        <v>3272</v>
      </c>
    </row>
    <row r="2284" spans="1:11" x14ac:dyDescent="0.2">
      <c r="A2284" s="9" t="s">
        <v>37</v>
      </c>
      <c r="B2284" s="9" t="s">
        <v>3003</v>
      </c>
      <c r="C2284" s="9"/>
      <c r="D2284" s="9" t="s">
        <v>84</v>
      </c>
      <c r="E2284" s="38">
        <v>5713</v>
      </c>
      <c r="F2284" s="39">
        <v>1288749</v>
      </c>
      <c r="G2284" s="40">
        <v>225.58183091195519</v>
      </c>
      <c r="H2284" s="41">
        <v>0.89552238805970152</v>
      </c>
      <c r="I2284" s="40">
        <v>91.67202870645896</v>
      </c>
      <c r="J2284" s="41">
        <v>0.40638037352502321</v>
      </c>
      <c r="K2284" s="9" t="s">
        <v>3273</v>
      </c>
    </row>
    <row r="2285" spans="1:11" x14ac:dyDescent="0.2">
      <c r="A2285" s="9" t="s">
        <v>37</v>
      </c>
      <c r="B2285" s="9" t="s">
        <v>339</v>
      </c>
      <c r="C2285" s="9"/>
      <c r="D2285" s="9" t="s">
        <v>80</v>
      </c>
      <c r="E2285" s="38">
        <v>873</v>
      </c>
      <c r="F2285" s="39">
        <v>462249</v>
      </c>
      <c r="G2285" s="40">
        <v>529.4948453608248</v>
      </c>
      <c r="H2285" s="41">
        <v>0.10305343511450379</v>
      </c>
      <c r="I2285" s="40">
        <v>77.868041237113388</v>
      </c>
      <c r="J2285" s="41">
        <v>0.14706099959112939</v>
      </c>
      <c r="K2285" s="9" t="s">
        <v>3274</v>
      </c>
    </row>
    <row r="2286" spans="1:11" x14ac:dyDescent="0.2">
      <c r="A2286" s="9" t="s">
        <v>37</v>
      </c>
      <c r="B2286" s="9" t="s">
        <v>3275</v>
      </c>
      <c r="C2286" s="9"/>
      <c r="D2286" s="9" t="s">
        <v>82</v>
      </c>
      <c r="E2286" s="38">
        <v>1442</v>
      </c>
      <c r="F2286" s="39">
        <v>0</v>
      </c>
      <c r="G2286" s="40"/>
      <c r="H2286" s="41"/>
      <c r="I2286" s="40">
        <v>33</v>
      </c>
      <c r="J2286" s="41"/>
      <c r="K2286" s="9" t="s">
        <v>3276</v>
      </c>
    </row>
    <row r="2287" spans="1:11" x14ac:dyDescent="0.2">
      <c r="A2287" s="9" t="s">
        <v>37</v>
      </c>
      <c r="B2287" s="9" t="s">
        <v>343</v>
      </c>
      <c r="C2287" s="9"/>
      <c r="D2287" s="9" t="s">
        <v>79</v>
      </c>
      <c r="E2287" s="38">
        <v>4775</v>
      </c>
      <c r="F2287" s="39">
        <v>0</v>
      </c>
      <c r="G2287" s="40"/>
      <c r="H2287" s="41"/>
      <c r="I2287" s="40">
        <v>52.269989528795811</v>
      </c>
      <c r="J2287" s="41"/>
      <c r="K2287" s="9" t="s">
        <v>3277</v>
      </c>
    </row>
    <row r="2288" spans="1:11" x14ac:dyDescent="0.2">
      <c r="A2288" s="9" t="s">
        <v>37</v>
      </c>
      <c r="B2288" s="9" t="s">
        <v>3278</v>
      </c>
      <c r="C2288" s="9"/>
      <c r="D2288" s="9" t="s">
        <v>81</v>
      </c>
      <c r="E2288" s="38">
        <v>8405</v>
      </c>
      <c r="F2288" s="39">
        <v>5703144</v>
      </c>
      <c r="G2288" s="40">
        <v>678.54182034503276</v>
      </c>
      <c r="H2288" s="41">
        <v>0.1702127659574468</v>
      </c>
      <c r="I2288" s="40">
        <v>43.788678167757283</v>
      </c>
      <c r="J2288" s="41">
        <v>6.4533499417163576E-2</v>
      </c>
      <c r="K2288" s="9" t="s">
        <v>3279</v>
      </c>
    </row>
    <row r="2289" spans="1:11" x14ac:dyDescent="0.2">
      <c r="A2289" s="9" t="s">
        <v>37</v>
      </c>
      <c r="B2289" s="9" t="s">
        <v>353</v>
      </c>
      <c r="C2289" s="9"/>
      <c r="D2289" s="9" t="s">
        <v>76</v>
      </c>
      <c r="E2289" s="38">
        <v>2339</v>
      </c>
      <c r="F2289" s="39">
        <v>591624</v>
      </c>
      <c r="G2289" s="40">
        <v>252.93886276186399</v>
      </c>
      <c r="H2289" s="41">
        <v>0.1045454545454545</v>
      </c>
      <c r="I2289" s="40">
        <v>25.29901667379222</v>
      </c>
      <c r="J2289" s="41">
        <v>0.10002028315281331</v>
      </c>
      <c r="K2289" s="9" t="s">
        <v>3280</v>
      </c>
    </row>
    <row r="2290" spans="1:11" x14ac:dyDescent="0.2">
      <c r="A2290" s="9" t="s">
        <v>37</v>
      </c>
      <c r="B2290" s="9" t="s">
        <v>355</v>
      </c>
      <c r="C2290" s="9"/>
      <c r="D2290" s="9" t="s">
        <v>82</v>
      </c>
      <c r="E2290" s="38">
        <v>1956</v>
      </c>
      <c r="F2290" s="39">
        <v>815095</v>
      </c>
      <c r="G2290" s="40">
        <v>416.71523517382411</v>
      </c>
      <c r="H2290" s="41">
        <v>-8.4925690021231418E-2</v>
      </c>
      <c r="I2290" s="40">
        <v>35.552914110429448</v>
      </c>
      <c r="J2290" s="41">
        <v>8.5317048932946463E-2</v>
      </c>
      <c r="K2290" s="9" t="s">
        <v>3281</v>
      </c>
    </row>
    <row r="2291" spans="1:11" x14ac:dyDescent="0.2">
      <c r="A2291" s="9" t="s">
        <v>37</v>
      </c>
      <c r="B2291" s="9" t="s">
        <v>538</v>
      </c>
      <c r="C2291" s="9"/>
      <c r="D2291" s="9" t="s">
        <v>80</v>
      </c>
      <c r="E2291" s="38">
        <v>2665</v>
      </c>
      <c r="F2291" s="39">
        <v>1333590</v>
      </c>
      <c r="G2291" s="40">
        <v>500.40900562851778</v>
      </c>
      <c r="H2291" s="41">
        <v>9.7872340425531917E-2</v>
      </c>
      <c r="I2291" s="40">
        <v>63.654889305816127</v>
      </c>
      <c r="J2291" s="41">
        <v>0.12720572289834209</v>
      </c>
      <c r="K2291" s="9" t="s">
        <v>3282</v>
      </c>
    </row>
    <row r="2292" spans="1:11" x14ac:dyDescent="0.2">
      <c r="A2292" s="9" t="s">
        <v>37</v>
      </c>
      <c r="B2292" s="9" t="s">
        <v>357</v>
      </c>
      <c r="C2292" s="9"/>
      <c r="D2292" s="9" t="s">
        <v>76</v>
      </c>
      <c r="E2292" s="38">
        <v>818</v>
      </c>
      <c r="F2292" s="39">
        <v>391467</v>
      </c>
      <c r="G2292" s="40">
        <v>478.56601466992657</v>
      </c>
      <c r="H2292" s="41">
        <v>-2.7322404371584699E-2</v>
      </c>
      <c r="I2292" s="40">
        <v>116.9395885097462</v>
      </c>
      <c r="J2292" s="41">
        <v>0.2443541432636018</v>
      </c>
      <c r="K2292" s="9" t="s">
        <v>3283</v>
      </c>
    </row>
    <row r="2293" spans="1:11" x14ac:dyDescent="0.2">
      <c r="A2293" s="9" t="s">
        <v>37</v>
      </c>
      <c r="B2293" s="9" t="s">
        <v>3284</v>
      </c>
      <c r="C2293" s="9"/>
      <c r="D2293" s="9" t="s">
        <v>81</v>
      </c>
      <c r="E2293" s="38">
        <v>2439</v>
      </c>
      <c r="F2293" s="39">
        <v>0</v>
      </c>
      <c r="G2293" s="40"/>
      <c r="H2293" s="41"/>
      <c r="I2293" s="40">
        <v>49</v>
      </c>
      <c r="J2293" s="41"/>
      <c r="K2293" s="9" t="s">
        <v>3285</v>
      </c>
    </row>
    <row r="2294" spans="1:11" x14ac:dyDescent="0.2">
      <c r="A2294" s="9" t="s">
        <v>37</v>
      </c>
      <c r="B2294" s="9" t="s">
        <v>545</v>
      </c>
      <c r="C2294" s="9"/>
      <c r="D2294" s="9" t="s">
        <v>76</v>
      </c>
      <c r="E2294" s="38">
        <v>6968</v>
      </c>
      <c r="F2294" s="39">
        <v>651534</v>
      </c>
      <c r="G2294" s="40">
        <v>93.503731343283576</v>
      </c>
      <c r="H2294" s="41">
        <v>1.075268817204301E-2</v>
      </c>
      <c r="I2294" s="40">
        <v>34.322083811710677</v>
      </c>
      <c r="J2294" s="41">
        <v>0.36706646161213391</v>
      </c>
      <c r="K2294" s="9" t="s">
        <v>3286</v>
      </c>
    </row>
    <row r="2295" spans="1:11" x14ac:dyDescent="0.2">
      <c r="A2295" s="9" t="s">
        <v>37</v>
      </c>
      <c r="B2295" s="9" t="s">
        <v>365</v>
      </c>
      <c r="C2295" s="9"/>
      <c r="D2295" s="9" t="s">
        <v>81</v>
      </c>
      <c r="E2295" s="38">
        <v>8920</v>
      </c>
      <c r="F2295" s="39">
        <v>8545877</v>
      </c>
      <c r="G2295" s="40">
        <v>958.05795964125559</v>
      </c>
      <c r="H2295" s="41"/>
      <c r="I2295" s="40">
        <v>50.755829596412553</v>
      </c>
      <c r="J2295" s="41">
        <v>5.297782778759863E-2</v>
      </c>
      <c r="K2295" s="9" t="s">
        <v>3287</v>
      </c>
    </row>
    <row r="2296" spans="1:11" x14ac:dyDescent="0.2">
      <c r="A2296" s="9" t="s">
        <v>37</v>
      </c>
      <c r="B2296" s="9" t="s">
        <v>550</v>
      </c>
      <c r="C2296" s="9"/>
      <c r="D2296" s="9" t="s">
        <v>76</v>
      </c>
      <c r="E2296" s="38">
        <v>3278</v>
      </c>
      <c r="F2296" s="39">
        <v>590714</v>
      </c>
      <c r="G2296" s="40">
        <v>180.20561317876749</v>
      </c>
      <c r="H2296" s="41">
        <v>-0.1204188481675393</v>
      </c>
      <c r="I2296" s="40">
        <v>7.2118852959121416</v>
      </c>
      <c r="J2296" s="41">
        <v>4.0020314399184707E-2</v>
      </c>
      <c r="K2296" s="9" t="s">
        <v>3288</v>
      </c>
    </row>
    <row r="2297" spans="1:11" x14ac:dyDescent="0.2">
      <c r="A2297" s="9" t="s">
        <v>37</v>
      </c>
      <c r="B2297" s="9" t="s">
        <v>3289</v>
      </c>
      <c r="C2297" s="9"/>
      <c r="D2297" s="9" t="s">
        <v>81</v>
      </c>
      <c r="E2297" s="38">
        <v>3204</v>
      </c>
      <c r="F2297" s="39">
        <v>1728387</v>
      </c>
      <c r="G2297" s="40">
        <v>539.44662921348311</v>
      </c>
      <c r="H2297" s="41"/>
      <c r="I2297" s="40">
        <v>58.064889825218479</v>
      </c>
      <c r="J2297" s="41">
        <v>0.1076378768180969</v>
      </c>
      <c r="K2297" s="9" t="s">
        <v>3290</v>
      </c>
    </row>
    <row r="2298" spans="1:11" x14ac:dyDescent="0.2">
      <c r="A2298" s="9" t="s">
        <v>37</v>
      </c>
      <c r="B2298" s="9" t="s">
        <v>369</v>
      </c>
      <c r="C2298" s="9"/>
      <c r="D2298" s="9" t="s">
        <v>84</v>
      </c>
      <c r="E2298" s="38">
        <v>2514</v>
      </c>
      <c r="F2298" s="39">
        <v>0</v>
      </c>
      <c r="G2298" s="40"/>
      <c r="H2298" s="41"/>
      <c r="I2298" s="40">
        <v>66.535171036041561</v>
      </c>
      <c r="J2298" s="41"/>
      <c r="K2298" s="9" t="s">
        <v>3291</v>
      </c>
    </row>
    <row r="2299" spans="1:11" x14ac:dyDescent="0.2">
      <c r="A2299" s="9" t="s">
        <v>37</v>
      </c>
      <c r="B2299" s="9" t="s">
        <v>3292</v>
      </c>
      <c r="C2299" s="9"/>
      <c r="D2299" s="9" t="s">
        <v>80</v>
      </c>
      <c r="E2299" s="38">
        <v>4497</v>
      </c>
      <c r="F2299" s="39">
        <v>2259668</v>
      </c>
      <c r="G2299" s="40">
        <v>502.48343340004448</v>
      </c>
      <c r="H2299" s="41"/>
      <c r="I2299" s="40">
        <v>31.21</v>
      </c>
      <c r="J2299" s="41">
        <v>6.2111500450508658E-2</v>
      </c>
      <c r="K2299" s="9" t="s">
        <v>3293</v>
      </c>
    </row>
    <row r="2300" spans="1:11" x14ac:dyDescent="0.2">
      <c r="A2300" s="9" t="s">
        <v>37</v>
      </c>
      <c r="B2300" s="9" t="s">
        <v>371</v>
      </c>
      <c r="C2300" s="9"/>
      <c r="D2300" s="9" t="s">
        <v>76</v>
      </c>
      <c r="E2300" s="38">
        <v>2500</v>
      </c>
      <c r="F2300" s="39">
        <v>731089</v>
      </c>
      <c r="G2300" s="40">
        <v>292.43560000000002</v>
      </c>
      <c r="H2300" s="41">
        <v>-7.3846153846153853E-2</v>
      </c>
      <c r="I2300" s="40">
        <v>66.016272000000001</v>
      </c>
      <c r="J2300" s="41">
        <v>0.2257463591984013</v>
      </c>
      <c r="K2300" s="9" t="s">
        <v>3294</v>
      </c>
    </row>
    <row r="2301" spans="1:11" x14ac:dyDescent="0.2">
      <c r="A2301" s="9" t="s">
        <v>37</v>
      </c>
      <c r="B2301" s="9" t="s">
        <v>388</v>
      </c>
      <c r="C2301" s="9"/>
      <c r="D2301" s="9" t="s">
        <v>76</v>
      </c>
      <c r="E2301" s="38">
        <v>11956</v>
      </c>
      <c r="F2301" s="39">
        <v>3190622</v>
      </c>
      <c r="G2301" s="40">
        <v>266.86366677818671</v>
      </c>
      <c r="H2301" s="41">
        <v>-0.1389728096676737</v>
      </c>
      <c r="I2301" s="40">
        <v>49.148330545332882</v>
      </c>
      <c r="J2301" s="41">
        <v>0.1841701837447369</v>
      </c>
      <c r="K2301" s="9" t="s">
        <v>3295</v>
      </c>
    </row>
    <row r="2302" spans="1:11" x14ac:dyDescent="0.2">
      <c r="A2302" s="9" t="s">
        <v>37</v>
      </c>
      <c r="B2302" s="9" t="s">
        <v>640</v>
      </c>
      <c r="C2302" s="9"/>
      <c r="D2302" s="9" t="s">
        <v>83</v>
      </c>
      <c r="E2302" s="38">
        <v>1717</v>
      </c>
      <c r="F2302" s="39">
        <v>0</v>
      </c>
      <c r="G2302" s="40"/>
      <c r="H2302" s="41"/>
      <c r="I2302" s="40">
        <v>51.000000000000007</v>
      </c>
      <c r="J2302" s="41"/>
      <c r="K2302" s="9" t="s">
        <v>3296</v>
      </c>
    </row>
    <row r="2303" spans="1:11" x14ac:dyDescent="0.2">
      <c r="A2303" s="9" t="s">
        <v>37</v>
      </c>
      <c r="B2303" s="9" t="s">
        <v>571</v>
      </c>
      <c r="C2303" s="9"/>
      <c r="D2303" s="9" t="s">
        <v>76</v>
      </c>
      <c r="E2303" s="38">
        <v>3004</v>
      </c>
      <c r="F2303" s="39">
        <v>377986</v>
      </c>
      <c r="G2303" s="40">
        <v>125.8275632490013</v>
      </c>
      <c r="H2303" s="41">
        <v>-0.10526315789473679</v>
      </c>
      <c r="I2303" s="40">
        <v>12.586750998668441</v>
      </c>
      <c r="J2303" s="41">
        <v>0.10003174720756849</v>
      </c>
      <c r="K2303" s="9" t="s">
        <v>3297</v>
      </c>
    </row>
    <row r="2304" spans="1:11" x14ac:dyDescent="0.2">
      <c r="A2304" s="9" t="s">
        <v>37</v>
      </c>
      <c r="B2304" s="9" t="s">
        <v>392</v>
      </c>
      <c r="C2304" s="9"/>
      <c r="D2304" s="9" t="s">
        <v>76</v>
      </c>
      <c r="E2304" s="38">
        <v>4996</v>
      </c>
      <c r="F2304" s="39">
        <v>682042</v>
      </c>
      <c r="G2304" s="40">
        <v>136.517614091273</v>
      </c>
      <c r="H2304" s="41"/>
      <c r="I2304" s="40">
        <v>20.61648518815052</v>
      </c>
      <c r="J2304" s="41">
        <v>0.15101703414159251</v>
      </c>
      <c r="K2304" s="9" t="s">
        <v>3298</v>
      </c>
    </row>
    <row r="2305" spans="1:11" x14ac:dyDescent="0.2">
      <c r="A2305" s="9" t="s">
        <v>37</v>
      </c>
      <c r="B2305" s="9" t="s">
        <v>1570</v>
      </c>
      <c r="C2305" s="9"/>
      <c r="D2305" s="9" t="s">
        <v>80</v>
      </c>
      <c r="E2305" s="38">
        <v>579</v>
      </c>
      <c r="F2305" s="39">
        <v>200278</v>
      </c>
      <c r="G2305" s="40">
        <v>345.90328151986182</v>
      </c>
      <c r="H2305" s="41">
        <v>5.4216867469879519E-2</v>
      </c>
      <c r="I2305" s="40">
        <v>93.751295336787564</v>
      </c>
      <c r="J2305" s="41">
        <v>0.27103326376336889</v>
      </c>
      <c r="K2305" s="9" t="s">
        <v>3299</v>
      </c>
    </row>
    <row r="2306" spans="1:11" x14ac:dyDescent="0.2">
      <c r="A2306" s="9" t="s">
        <v>37</v>
      </c>
      <c r="B2306" s="9" t="s">
        <v>396</v>
      </c>
      <c r="C2306" s="9"/>
      <c r="D2306" s="9" t="s">
        <v>78</v>
      </c>
      <c r="E2306" s="38">
        <v>1740</v>
      </c>
      <c r="F2306" s="39">
        <v>1789748</v>
      </c>
      <c r="G2306" s="40">
        <v>1028.590804597701</v>
      </c>
      <c r="H2306" s="41">
        <v>6.9625761531766752E-3</v>
      </c>
      <c r="I2306" s="40">
        <v>113.34041379310339</v>
      </c>
      <c r="J2306" s="41">
        <v>0.1101899932280969</v>
      </c>
      <c r="K2306" s="9" t="s">
        <v>3300</v>
      </c>
    </row>
    <row r="2307" spans="1:11" x14ac:dyDescent="0.2">
      <c r="A2307" s="9" t="s">
        <v>37</v>
      </c>
      <c r="B2307" s="9" t="s">
        <v>398</v>
      </c>
      <c r="C2307" s="9"/>
      <c r="D2307" s="9" t="s">
        <v>76</v>
      </c>
      <c r="E2307" s="38">
        <v>2303</v>
      </c>
      <c r="F2307" s="39">
        <v>624755</v>
      </c>
      <c r="G2307" s="40">
        <v>271.2787668258793</v>
      </c>
      <c r="H2307" s="41">
        <v>-0.24367088607594939</v>
      </c>
      <c r="I2307" s="40">
        <v>26.05297438124186</v>
      </c>
      <c r="J2307" s="41">
        <v>9.6037646757528961E-2</v>
      </c>
      <c r="K2307" s="9" t="s">
        <v>3301</v>
      </c>
    </row>
    <row r="2308" spans="1:11" x14ac:dyDescent="0.2">
      <c r="A2308" s="9" t="s">
        <v>26</v>
      </c>
      <c r="B2308" s="9" t="s">
        <v>169</v>
      </c>
      <c r="C2308" s="9"/>
      <c r="D2308" s="9" t="s">
        <v>76</v>
      </c>
      <c r="E2308" s="38">
        <v>9061</v>
      </c>
      <c r="F2308" s="39">
        <v>4647074.63</v>
      </c>
      <c r="G2308" s="40">
        <v>512.86553691645508</v>
      </c>
      <c r="H2308" s="41">
        <v>-2.042074585748593E-2</v>
      </c>
      <c r="I2308" s="40">
        <v>43.547166979362103</v>
      </c>
      <c r="J2308" s="41">
        <v>8.4909520809653971E-2</v>
      </c>
      <c r="K2308" s="9" t="s">
        <v>3302</v>
      </c>
    </row>
    <row r="2309" spans="1:11" x14ac:dyDescent="0.2">
      <c r="A2309" s="9" t="s">
        <v>26</v>
      </c>
      <c r="B2309" s="9" t="s">
        <v>3303</v>
      </c>
      <c r="C2309" s="9"/>
      <c r="D2309" s="9" t="s">
        <v>81</v>
      </c>
      <c r="E2309" s="38">
        <v>7670</v>
      </c>
      <c r="F2309" s="39">
        <v>4979801.33</v>
      </c>
      <c r="G2309" s="40">
        <v>649.25701825293356</v>
      </c>
      <c r="H2309" s="41">
        <v>0.6450105329804392</v>
      </c>
      <c r="I2309" s="40">
        <v>28.683176010430248</v>
      </c>
      <c r="J2309" s="41">
        <v>4.4178461231906212E-2</v>
      </c>
      <c r="K2309" s="9" t="s">
        <v>3304</v>
      </c>
    </row>
    <row r="2310" spans="1:11" x14ac:dyDescent="0.2">
      <c r="A2310" s="9" t="s">
        <v>26</v>
      </c>
      <c r="B2310" s="9" t="s">
        <v>406</v>
      </c>
      <c r="C2310" s="9"/>
      <c r="D2310" s="9" t="s">
        <v>76</v>
      </c>
      <c r="E2310" s="38">
        <v>5020</v>
      </c>
      <c r="F2310" s="39">
        <v>300170.69</v>
      </c>
      <c r="G2310" s="40">
        <v>59.794958167330677</v>
      </c>
      <c r="H2310" s="41">
        <v>1</v>
      </c>
      <c r="I2310" s="40">
        <v>27.981944223107568</v>
      </c>
      <c r="J2310" s="41">
        <v>0.46796494354595392</v>
      </c>
      <c r="K2310" s="9" t="s">
        <v>3305</v>
      </c>
    </row>
    <row r="2311" spans="1:11" x14ac:dyDescent="0.2">
      <c r="A2311" s="9" t="s">
        <v>26</v>
      </c>
      <c r="B2311" s="9" t="s">
        <v>173</v>
      </c>
      <c r="C2311" s="9"/>
      <c r="D2311" s="9" t="s">
        <v>80</v>
      </c>
      <c r="E2311" s="38">
        <v>780</v>
      </c>
      <c r="F2311" s="39">
        <v>590365.31999999995</v>
      </c>
      <c r="G2311" s="40">
        <v>756.87861538461527</v>
      </c>
      <c r="H2311" s="41">
        <v>-4.8871552956396683E-2</v>
      </c>
      <c r="I2311" s="40">
        <v>198.36538461538461</v>
      </c>
      <c r="J2311" s="41">
        <v>0.26208348417213939</v>
      </c>
      <c r="K2311" s="9" t="s">
        <v>3306</v>
      </c>
    </row>
    <row r="2312" spans="1:11" x14ac:dyDescent="0.2">
      <c r="A2312" s="9" t="s">
        <v>26</v>
      </c>
      <c r="B2312" s="9" t="s">
        <v>179</v>
      </c>
      <c r="C2312" s="9"/>
      <c r="D2312" s="9" t="s">
        <v>79</v>
      </c>
      <c r="E2312" s="38">
        <v>3171</v>
      </c>
      <c r="F2312" s="39">
        <v>2111591.5299999998</v>
      </c>
      <c r="G2312" s="40">
        <v>665.90713654998422</v>
      </c>
      <c r="H2312" s="41">
        <v>-0.1082015469156576</v>
      </c>
      <c r="I2312" s="40">
        <v>63.071598864711447</v>
      </c>
      <c r="J2312" s="41">
        <v>9.4715306989320999E-2</v>
      </c>
      <c r="K2312" s="9" t="s">
        <v>3307</v>
      </c>
    </row>
    <row r="2313" spans="1:11" x14ac:dyDescent="0.2">
      <c r="A2313" s="9" t="s">
        <v>26</v>
      </c>
      <c r="B2313" s="9" t="s">
        <v>187</v>
      </c>
      <c r="C2313" s="9"/>
      <c r="D2313" s="9" t="s">
        <v>76</v>
      </c>
      <c r="E2313" s="38">
        <v>3142</v>
      </c>
      <c r="F2313" s="39">
        <v>776926.93</v>
      </c>
      <c r="G2313" s="40">
        <v>247.2714608529599</v>
      </c>
      <c r="H2313" s="41">
        <v>-2.840403537048199E-2</v>
      </c>
      <c r="I2313" s="40">
        <v>20.687472947167411</v>
      </c>
      <c r="J2313" s="41">
        <v>8.3663002902988573E-2</v>
      </c>
      <c r="K2313" s="9" t="s">
        <v>3308</v>
      </c>
    </row>
    <row r="2314" spans="1:11" x14ac:dyDescent="0.2">
      <c r="A2314" s="9" t="s">
        <v>26</v>
      </c>
      <c r="B2314" s="9" t="s">
        <v>420</v>
      </c>
      <c r="C2314" s="9"/>
      <c r="D2314" s="9" t="s">
        <v>78</v>
      </c>
      <c r="E2314" s="38">
        <v>1233</v>
      </c>
      <c r="F2314" s="39">
        <v>766120.95</v>
      </c>
      <c r="G2314" s="40">
        <v>621.34708029197077</v>
      </c>
      <c r="H2314" s="41">
        <v>3.5607628273316379E-2</v>
      </c>
      <c r="I2314" s="40">
        <v>106.2250121654501</v>
      </c>
      <c r="J2314" s="41">
        <v>0.17095921995084459</v>
      </c>
      <c r="K2314" s="9" t="s">
        <v>3309</v>
      </c>
    </row>
    <row r="2315" spans="1:11" x14ac:dyDescent="0.2">
      <c r="A2315" s="9" t="s">
        <v>26</v>
      </c>
      <c r="B2315" s="9" t="s">
        <v>3310</v>
      </c>
      <c r="C2315" s="9"/>
      <c r="D2315" s="9" t="s">
        <v>80</v>
      </c>
      <c r="E2315" s="38">
        <v>700</v>
      </c>
      <c r="F2315" s="39">
        <v>342234</v>
      </c>
      <c r="G2315" s="40">
        <v>488.90571428571428</v>
      </c>
      <c r="H2315" s="41">
        <v>-0.13884652021716129</v>
      </c>
      <c r="I2315" s="40">
        <v>114.84102857142859</v>
      </c>
      <c r="J2315" s="41">
        <v>0.23489401988113401</v>
      </c>
      <c r="K2315" s="9" t="s">
        <v>3311</v>
      </c>
    </row>
    <row r="2316" spans="1:11" x14ac:dyDescent="0.2">
      <c r="A2316" s="9" t="s">
        <v>26</v>
      </c>
      <c r="B2316" s="9" t="s">
        <v>191</v>
      </c>
      <c r="C2316" s="9"/>
      <c r="D2316" s="9" t="s">
        <v>76</v>
      </c>
      <c r="E2316" s="38">
        <v>7167</v>
      </c>
      <c r="F2316" s="39">
        <v>1805639.71</v>
      </c>
      <c r="G2316" s="40">
        <v>251.93800892981719</v>
      </c>
      <c r="H2316" s="41">
        <v>0.13885838277227519</v>
      </c>
      <c r="I2316" s="40">
        <v>15.06906655504395</v>
      </c>
      <c r="J2316" s="41">
        <v>5.9812596833063669E-2</v>
      </c>
      <c r="K2316" s="9" t="s">
        <v>3312</v>
      </c>
    </row>
    <row r="2317" spans="1:11" x14ac:dyDescent="0.2">
      <c r="A2317" s="9" t="s">
        <v>26</v>
      </c>
      <c r="B2317" s="9" t="s">
        <v>426</v>
      </c>
      <c r="C2317" s="9"/>
      <c r="D2317" s="9" t="s">
        <v>81</v>
      </c>
      <c r="E2317" s="38">
        <v>6260</v>
      </c>
      <c r="F2317" s="39">
        <v>1540405.46</v>
      </c>
      <c r="G2317" s="40">
        <v>246.0711597444089</v>
      </c>
      <c r="H2317" s="41">
        <v>-6.6551140373132658E-2</v>
      </c>
      <c r="I2317" s="40">
        <v>25.67792971246006</v>
      </c>
      <c r="J2317" s="41">
        <v>0.10435164258636161</v>
      </c>
      <c r="K2317" s="9" t="s">
        <v>3313</v>
      </c>
    </row>
    <row r="2318" spans="1:11" x14ac:dyDescent="0.2">
      <c r="A2318" s="9" t="s">
        <v>26</v>
      </c>
      <c r="B2318" s="9" t="s">
        <v>3314</v>
      </c>
      <c r="C2318" s="9"/>
      <c r="D2318" s="9" t="s">
        <v>81</v>
      </c>
      <c r="E2318" s="38">
        <v>1459</v>
      </c>
      <c r="F2318" s="39">
        <v>469578.13</v>
      </c>
      <c r="G2318" s="40">
        <v>321.84930089102119</v>
      </c>
      <c r="H2318" s="41">
        <v>-3.2945124595133927E-2</v>
      </c>
      <c r="I2318" s="40">
        <v>54.832104180945848</v>
      </c>
      <c r="J2318" s="41">
        <v>0.17036577065460859</v>
      </c>
      <c r="K2318" s="9" t="s">
        <v>3315</v>
      </c>
    </row>
    <row r="2319" spans="1:11" x14ac:dyDescent="0.2">
      <c r="A2319" s="9" t="s">
        <v>26</v>
      </c>
      <c r="B2319" s="9" t="s">
        <v>759</v>
      </c>
      <c r="C2319" s="9"/>
      <c r="D2319" s="9" t="s">
        <v>76</v>
      </c>
      <c r="E2319" s="38">
        <v>4500</v>
      </c>
      <c r="F2319" s="39">
        <v>671096.86</v>
      </c>
      <c r="G2319" s="40">
        <v>149.13263555555559</v>
      </c>
      <c r="H2319" s="41">
        <v>-0.29052113282127418</v>
      </c>
      <c r="I2319" s="40">
        <v>11.11112</v>
      </c>
      <c r="J2319" s="41">
        <v>7.450495298100486E-2</v>
      </c>
      <c r="K2319" s="9" t="s">
        <v>3316</v>
      </c>
    </row>
    <row r="2320" spans="1:11" x14ac:dyDescent="0.2">
      <c r="A2320" s="9" t="s">
        <v>26</v>
      </c>
      <c r="B2320" s="9" t="s">
        <v>208</v>
      </c>
      <c r="C2320" s="9"/>
      <c r="D2320" s="9" t="s">
        <v>78</v>
      </c>
      <c r="E2320" s="38">
        <v>1014</v>
      </c>
      <c r="F2320" s="39">
        <v>550923.66</v>
      </c>
      <c r="G2320" s="40">
        <v>543.31721893491124</v>
      </c>
      <c r="H2320" s="41">
        <v>-0.10340880985216711</v>
      </c>
      <c r="I2320" s="40">
        <v>33.815621301775153</v>
      </c>
      <c r="J2320" s="41">
        <v>6.2239185734008953E-2</v>
      </c>
      <c r="K2320" s="9" t="s">
        <v>3317</v>
      </c>
    </row>
    <row r="2321" spans="1:11" x14ac:dyDescent="0.2">
      <c r="A2321" s="9" t="s">
        <v>26</v>
      </c>
      <c r="B2321" s="9" t="s">
        <v>212</v>
      </c>
      <c r="C2321" s="9"/>
      <c r="D2321" s="9" t="s">
        <v>76</v>
      </c>
      <c r="E2321" s="38">
        <v>2401</v>
      </c>
      <c r="F2321" s="39">
        <v>1484476.18</v>
      </c>
      <c r="G2321" s="40">
        <v>618.27412744689707</v>
      </c>
      <c r="H2321" s="41">
        <v>0.27321817316058239</v>
      </c>
      <c r="I2321" s="40">
        <v>60.137892544773003</v>
      </c>
      <c r="J2321" s="41">
        <v>9.7267360665901692E-2</v>
      </c>
      <c r="K2321" s="9" t="s">
        <v>3318</v>
      </c>
    </row>
    <row r="2322" spans="1:11" x14ac:dyDescent="0.2">
      <c r="A2322" s="9" t="s">
        <v>26</v>
      </c>
      <c r="B2322" s="9" t="s">
        <v>590</v>
      </c>
      <c r="C2322" s="9"/>
      <c r="D2322" s="9" t="s">
        <v>81</v>
      </c>
      <c r="E2322" s="38">
        <v>11964</v>
      </c>
      <c r="F2322" s="39">
        <v>6587123</v>
      </c>
      <c r="G2322" s="40">
        <v>550.57865262454027</v>
      </c>
      <c r="H2322" s="41">
        <v>1.9202616984683599E-3</v>
      </c>
      <c r="I2322" s="40">
        <v>44.324012036108321</v>
      </c>
      <c r="J2322" s="41">
        <v>8.0504414446185377E-2</v>
      </c>
      <c r="K2322" s="9" t="s">
        <v>3319</v>
      </c>
    </row>
    <row r="2323" spans="1:11" x14ac:dyDescent="0.2">
      <c r="A2323" s="9" t="s">
        <v>26</v>
      </c>
      <c r="B2323" s="9" t="s">
        <v>676</v>
      </c>
      <c r="C2323" s="9"/>
      <c r="D2323" s="9" t="s">
        <v>77</v>
      </c>
      <c r="E2323" s="38">
        <v>2285</v>
      </c>
      <c r="F2323" s="39">
        <v>1304301.8799999999</v>
      </c>
      <c r="G2323" s="40">
        <v>570.81045076586429</v>
      </c>
      <c r="H2323" s="41">
        <v>-0.12696514705629361</v>
      </c>
      <c r="I2323" s="40">
        <v>73.811973741794304</v>
      </c>
      <c r="J2323" s="41">
        <v>0.1293108310171262</v>
      </c>
      <c r="K2323" s="9" t="s">
        <v>3320</v>
      </c>
    </row>
    <row r="2324" spans="1:11" x14ac:dyDescent="0.2">
      <c r="A2324" s="9" t="s">
        <v>26</v>
      </c>
      <c r="B2324" s="9" t="s">
        <v>766</v>
      </c>
      <c r="C2324" s="9"/>
      <c r="D2324" s="9" t="s">
        <v>86</v>
      </c>
      <c r="E2324" s="38">
        <v>118000</v>
      </c>
      <c r="F2324" s="39">
        <v>0</v>
      </c>
      <c r="G2324" s="40"/>
      <c r="H2324" s="41"/>
      <c r="I2324" s="40">
        <v>0.99996610169491529</v>
      </c>
      <c r="J2324" s="41"/>
      <c r="K2324" s="9" t="s">
        <v>3321</v>
      </c>
    </row>
    <row r="2325" spans="1:11" x14ac:dyDescent="0.2">
      <c r="A2325" s="9" t="s">
        <v>26</v>
      </c>
      <c r="B2325" s="9" t="s">
        <v>1001</v>
      </c>
      <c r="C2325" s="9"/>
      <c r="D2325" s="9" t="s">
        <v>76</v>
      </c>
      <c r="E2325" s="38">
        <v>3943</v>
      </c>
      <c r="F2325" s="39">
        <v>1036803.02</v>
      </c>
      <c r="G2325" s="40">
        <v>262.94776058838448</v>
      </c>
      <c r="H2325" s="41">
        <v>-0.1175614631215099</v>
      </c>
      <c r="I2325" s="40">
        <v>54.482830332234343</v>
      </c>
      <c r="J2325" s="41">
        <v>0.2072002066506326</v>
      </c>
      <c r="K2325" s="9" t="s">
        <v>3322</v>
      </c>
    </row>
    <row r="2326" spans="1:11" x14ac:dyDescent="0.2">
      <c r="A2326" s="9" t="s">
        <v>26</v>
      </c>
      <c r="B2326" s="9" t="s">
        <v>228</v>
      </c>
      <c r="C2326" s="9"/>
      <c r="D2326" s="9" t="s">
        <v>76</v>
      </c>
      <c r="E2326" s="38">
        <v>6277</v>
      </c>
      <c r="F2326" s="39">
        <v>1027218.56</v>
      </c>
      <c r="G2326" s="40">
        <v>163.6480101959535</v>
      </c>
      <c r="H2326" s="41">
        <v>-4.7910505043834151E-2</v>
      </c>
      <c r="I2326" s="40">
        <v>15.93117094153258</v>
      </c>
      <c r="J2326" s="41">
        <v>9.735022700524415E-2</v>
      </c>
      <c r="K2326" s="9" t="s">
        <v>3323</v>
      </c>
    </row>
    <row r="2327" spans="1:11" x14ac:dyDescent="0.2">
      <c r="A2327" s="9" t="s">
        <v>26</v>
      </c>
      <c r="B2327" s="9" t="s">
        <v>770</v>
      </c>
      <c r="C2327" s="9"/>
      <c r="D2327" s="9" t="s">
        <v>83</v>
      </c>
      <c r="E2327" s="38">
        <v>1149</v>
      </c>
      <c r="F2327" s="39">
        <v>1128558.17</v>
      </c>
      <c r="G2327" s="40">
        <v>982.20902523933853</v>
      </c>
      <c r="H2327" s="41">
        <v>-6.652190555671586E-2</v>
      </c>
      <c r="I2327" s="40">
        <v>72.721775456919062</v>
      </c>
      <c r="J2327" s="41">
        <v>7.403900146325644E-2</v>
      </c>
      <c r="K2327" s="9" t="s">
        <v>3324</v>
      </c>
    </row>
    <row r="2328" spans="1:11" x14ac:dyDescent="0.2">
      <c r="A2328" s="9" t="s">
        <v>26</v>
      </c>
      <c r="B2328" s="9" t="s">
        <v>1231</v>
      </c>
      <c r="C2328" s="9"/>
      <c r="D2328" s="9" t="s">
        <v>76</v>
      </c>
      <c r="E2328" s="38">
        <v>3588</v>
      </c>
      <c r="F2328" s="39">
        <v>825793.23</v>
      </c>
      <c r="G2328" s="40">
        <v>230.15418896321069</v>
      </c>
      <c r="H2328" s="41">
        <v>-3.0429396956911371E-2</v>
      </c>
      <c r="I2328" s="40">
        <v>0</v>
      </c>
      <c r="J2328" s="41">
        <v>0</v>
      </c>
      <c r="K2328" s="9" t="s">
        <v>3325</v>
      </c>
    </row>
    <row r="2329" spans="1:11" x14ac:dyDescent="0.2">
      <c r="A2329" s="9" t="s">
        <v>26</v>
      </c>
      <c r="B2329" s="9" t="s">
        <v>231</v>
      </c>
      <c r="C2329" s="9"/>
      <c r="D2329" s="9" t="s">
        <v>76</v>
      </c>
      <c r="E2329" s="38">
        <v>8000</v>
      </c>
      <c r="F2329" s="39">
        <v>1636766.85</v>
      </c>
      <c r="G2329" s="40">
        <v>204.59585625</v>
      </c>
      <c r="H2329" s="41">
        <v>4.4440599465953343E-2</v>
      </c>
      <c r="I2329" s="40">
        <v>0</v>
      </c>
      <c r="J2329" s="41">
        <v>0</v>
      </c>
      <c r="K2329" s="9" t="s">
        <v>3326</v>
      </c>
    </row>
    <row r="2330" spans="1:11" x14ac:dyDescent="0.2">
      <c r="A2330" s="9" t="s">
        <v>26</v>
      </c>
      <c r="B2330" s="9" t="s">
        <v>456</v>
      </c>
      <c r="C2330" s="9"/>
      <c r="D2330" s="9" t="s">
        <v>76</v>
      </c>
      <c r="E2330" s="38">
        <v>1471</v>
      </c>
      <c r="F2330" s="39">
        <v>446709.95</v>
      </c>
      <c r="G2330" s="40">
        <v>303.67773623385449</v>
      </c>
      <c r="H2330" s="41">
        <v>-5.4607402409550053E-2</v>
      </c>
      <c r="I2330" s="40">
        <v>35.350074779061863</v>
      </c>
      <c r="J2330" s="41">
        <v>0.1164065407542411</v>
      </c>
      <c r="K2330" s="9" t="s">
        <v>3327</v>
      </c>
    </row>
    <row r="2331" spans="1:11" x14ac:dyDescent="0.2">
      <c r="A2331" s="9" t="s">
        <v>26</v>
      </c>
      <c r="B2331" s="9" t="s">
        <v>140</v>
      </c>
      <c r="C2331" s="9"/>
      <c r="D2331" s="9" t="s">
        <v>83</v>
      </c>
      <c r="E2331" s="38">
        <v>5727</v>
      </c>
      <c r="F2331" s="39">
        <v>2703888.06</v>
      </c>
      <c r="G2331" s="40">
        <v>472.12992142482977</v>
      </c>
      <c r="H2331" s="41">
        <v>0.67945754751400467</v>
      </c>
      <c r="I2331" s="40">
        <v>15.71503404924044</v>
      </c>
      <c r="J2331" s="41">
        <v>3.3285401615331667E-2</v>
      </c>
      <c r="K2331" s="9" t="s">
        <v>3328</v>
      </c>
    </row>
    <row r="2332" spans="1:11" x14ac:dyDescent="0.2">
      <c r="A2332" s="9" t="s">
        <v>26</v>
      </c>
      <c r="B2332" s="9" t="s">
        <v>3329</v>
      </c>
      <c r="C2332" s="9"/>
      <c r="D2332" s="9" t="s">
        <v>81</v>
      </c>
      <c r="E2332" s="38">
        <v>7000</v>
      </c>
      <c r="F2332" s="39">
        <v>1401370.61</v>
      </c>
      <c r="G2332" s="40">
        <v>200.19580142857151</v>
      </c>
      <c r="H2332" s="41">
        <v>-1.447146875729041E-2</v>
      </c>
      <c r="I2332" s="40">
        <v>25.74999428571428</v>
      </c>
      <c r="J2332" s="41">
        <v>0.1286240475672599</v>
      </c>
      <c r="K2332" s="9" t="s">
        <v>3330</v>
      </c>
    </row>
    <row r="2333" spans="1:11" x14ac:dyDescent="0.2">
      <c r="A2333" s="9" t="s">
        <v>26</v>
      </c>
      <c r="B2333" s="9" t="s">
        <v>256</v>
      </c>
      <c r="C2333" s="9"/>
      <c r="D2333" s="9" t="s">
        <v>76</v>
      </c>
      <c r="E2333" s="38">
        <v>1800</v>
      </c>
      <c r="F2333" s="39">
        <v>808302.27</v>
      </c>
      <c r="G2333" s="40">
        <v>449.05681666666669</v>
      </c>
      <c r="H2333" s="41">
        <v>0.81587488304344369</v>
      </c>
      <c r="I2333" s="40">
        <v>50</v>
      </c>
      <c r="J2333" s="41">
        <v>0.11134448502785969</v>
      </c>
      <c r="K2333" s="9" t="s">
        <v>3331</v>
      </c>
    </row>
    <row r="2334" spans="1:11" x14ac:dyDescent="0.2">
      <c r="A2334" s="9" t="s">
        <v>26</v>
      </c>
      <c r="B2334" s="9" t="s">
        <v>3332</v>
      </c>
      <c r="C2334" s="9"/>
      <c r="D2334" s="9" t="s">
        <v>76</v>
      </c>
      <c r="E2334" s="38">
        <v>3143</v>
      </c>
      <c r="F2334" s="39">
        <v>787242.11</v>
      </c>
      <c r="G2334" s="40">
        <v>250.47474069360479</v>
      </c>
      <c r="H2334" s="41">
        <v>-0.18326409139876931</v>
      </c>
      <c r="I2334" s="40">
        <v>47.165268851415853</v>
      </c>
      <c r="J2334" s="41">
        <v>0.18830349408011221</v>
      </c>
      <c r="K2334" s="9" t="s">
        <v>3333</v>
      </c>
    </row>
    <row r="2335" spans="1:11" x14ac:dyDescent="0.2">
      <c r="A2335" s="9" t="s">
        <v>26</v>
      </c>
      <c r="B2335" s="9" t="s">
        <v>479</v>
      </c>
      <c r="C2335" s="9"/>
      <c r="D2335" s="9" t="s">
        <v>77</v>
      </c>
      <c r="E2335" s="38">
        <v>5383</v>
      </c>
      <c r="F2335" s="39">
        <v>1898168.92</v>
      </c>
      <c r="G2335" s="40">
        <v>352.62287200445849</v>
      </c>
      <c r="H2335" s="41">
        <v>-0.1411758548865083</v>
      </c>
      <c r="I2335" s="40">
        <v>44.330871261378412</v>
      </c>
      <c r="J2335" s="41">
        <v>0.12571751517246421</v>
      </c>
      <c r="K2335" s="9" t="s">
        <v>3334</v>
      </c>
    </row>
    <row r="2336" spans="1:11" x14ac:dyDescent="0.2">
      <c r="A2336" s="9" t="s">
        <v>26</v>
      </c>
      <c r="B2336" s="9" t="s">
        <v>267</v>
      </c>
      <c r="C2336" s="9"/>
      <c r="D2336" s="9" t="s">
        <v>77</v>
      </c>
      <c r="E2336" s="38">
        <v>2457</v>
      </c>
      <c r="F2336" s="39">
        <v>848262.46</v>
      </c>
      <c r="G2336" s="40">
        <v>345.24316646316652</v>
      </c>
      <c r="H2336" s="41">
        <v>9.9311951161908194E-3</v>
      </c>
      <c r="I2336" s="40">
        <v>29.344713064713069</v>
      </c>
      <c r="J2336" s="41">
        <v>8.499723069201956E-2</v>
      </c>
      <c r="K2336" s="9" t="s">
        <v>3335</v>
      </c>
    </row>
    <row r="2337" spans="1:11" x14ac:dyDescent="0.2">
      <c r="A2337" s="9" t="s">
        <v>26</v>
      </c>
      <c r="B2337" s="9" t="s">
        <v>271</v>
      </c>
      <c r="C2337" s="9"/>
      <c r="D2337" s="9" t="s">
        <v>78</v>
      </c>
      <c r="E2337" s="38">
        <v>2690</v>
      </c>
      <c r="F2337" s="39">
        <v>2739433.38</v>
      </c>
      <c r="G2337" s="40">
        <v>1018.376721189591</v>
      </c>
      <c r="H2337" s="41">
        <v>-2.4723689393023281E-2</v>
      </c>
      <c r="I2337" s="40">
        <v>44.609665427509292</v>
      </c>
      <c r="J2337" s="41">
        <v>4.3804679053739207E-2</v>
      </c>
      <c r="K2337" s="9" t="s">
        <v>3336</v>
      </c>
    </row>
    <row r="2338" spans="1:11" x14ac:dyDescent="0.2">
      <c r="A2338" s="9" t="s">
        <v>26</v>
      </c>
      <c r="B2338" s="9" t="s">
        <v>3337</v>
      </c>
      <c r="C2338" s="9"/>
      <c r="D2338" s="9" t="s">
        <v>85</v>
      </c>
      <c r="E2338" s="38">
        <v>12799</v>
      </c>
      <c r="F2338" s="39">
        <v>910300.86</v>
      </c>
      <c r="G2338" s="40">
        <v>71.122811157121646</v>
      </c>
      <c r="H2338" s="41">
        <v>0.78931088783108483</v>
      </c>
      <c r="I2338" s="40">
        <v>25.730019532776002</v>
      </c>
      <c r="J2338" s="41">
        <v>0.36176887716001938</v>
      </c>
      <c r="K2338" s="9" t="s">
        <v>3338</v>
      </c>
    </row>
    <row r="2339" spans="1:11" x14ac:dyDescent="0.2">
      <c r="A2339" s="9" t="s">
        <v>26</v>
      </c>
      <c r="B2339" s="9" t="s">
        <v>3339</v>
      </c>
      <c r="C2339" s="9"/>
      <c r="D2339" s="9" t="s">
        <v>76</v>
      </c>
      <c r="E2339" s="38">
        <v>2238</v>
      </c>
      <c r="F2339" s="39">
        <v>565742.89</v>
      </c>
      <c r="G2339" s="40">
        <v>252.7894950848972</v>
      </c>
      <c r="H2339" s="41">
        <v>1</v>
      </c>
      <c r="I2339" s="40">
        <v>26.809651474530831</v>
      </c>
      <c r="J2339" s="41">
        <v>0.10605524357539869</v>
      </c>
      <c r="K2339" s="9" t="s">
        <v>3340</v>
      </c>
    </row>
    <row r="2340" spans="1:11" x14ac:dyDescent="0.2">
      <c r="A2340" s="9" t="s">
        <v>26</v>
      </c>
      <c r="B2340" s="9" t="s">
        <v>3341</v>
      </c>
      <c r="C2340" s="9"/>
      <c r="D2340" s="9" t="s">
        <v>76</v>
      </c>
      <c r="E2340" s="38">
        <v>14343</v>
      </c>
      <c r="F2340" s="39">
        <v>2996560.87</v>
      </c>
      <c r="G2340" s="40">
        <v>208.9214857421739</v>
      </c>
      <c r="H2340" s="41">
        <v>2.0656016241712531E-2</v>
      </c>
      <c r="I2340" s="40">
        <v>0</v>
      </c>
      <c r="J2340" s="41">
        <v>0</v>
      </c>
      <c r="K2340" s="9" t="s">
        <v>3342</v>
      </c>
    </row>
    <row r="2341" spans="1:11" x14ac:dyDescent="0.2">
      <c r="A2341" s="9" t="s">
        <v>26</v>
      </c>
      <c r="B2341" s="9" t="s">
        <v>1913</v>
      </c>
      <c r="C2341" s="9"/>
      <c r="D2341" s="9" t="s">
        <v>76</v>
      </c>
      <c r="E2341" s="38">
        <v>7000</v>
      </c>
      <c r="F2341" s="39">
        <v>751843.8</v>
      </c>
      <c r="G2341" s="40">
        <v>107.4062571428571</v>
      </c>
      <c r="H2341" s="41">
        <v>-0.2133824738595968</v>
      </c>
      <c r="I2341" s="40">
        <v>19.285714285714281</v>
      </c>
      <c r="J2341" s="41">
        <v>0.17955857320363619</v>
      </c>
      <c r="K2341" s="9" t="s">
        <v>3343</v>
      </c>
    </row>
    <row r="2342" spans="1:11" x14ac:dyDescent="0.2">
      <c r="A2342" s="9" t="s">
        <v>26</v>
      </c>
      <c r="B2342" s="9" t="s">
        <v>275</v>
      </c>
      <c r="C2342" s="9"/>
      <c r="D2342" s="9" t="s">
        <v>83</v>
      </c>
      <c r="E2342" s="38">
        <v>3300</v>
      </c>
      <c r="F2342" s="39">
        <v>1515757.2</v>
      </c>
      <c r="G2342" s="40">
        <v>459.3203636363636</v>
      </c>
      <c r="H2342" s="41">
        <v>5.6242780835875543E-3</v>
      </c>
      <c r="I2342" s="40">
        <v>63.636363636363633</v>
      </c>
      <c r="J2342" s="41">
        <v>0.13854461651245989</v>
      </c>
      <c r="K2342" s="9" t="s">
        <v>3344</v>
      </c>
    </row>
    <row r="2343" spans="1:11" x14ac:dyDescent="0.2">
      <c r="A2343" s="9" t="s">
        <v>26</v>
      </c>
      <c r="B2343" s="9" t="s">
        <v>277</v>
      </c>
      <c r="C2343" s="9"/>
      <c r="D2343" s="9" t="s">
        <v>76</v>
      </c>
      <c r="E2343" s="38">
        <v>1190</v>
      </c>
      <c r="F2343" s="39">
        <v>427950.62</v>
      </c>
      <c r="G2343" s="40">
        <v>359.62236974789909</v>
      </c>
      <c r="H2343" s="41">
        <v>0.79345004804526276</v>
      </c>
      <c r="I2343" s="40">
        <v>55.714285714285722</v>
      </c>
      <c r="J2343" s="41">
        <v>0.15492441627961659</v>
      </c>
      <c r="K2343" s="9" t="s">
        <v>3345</v>
      </c>
    </row>
    <row r="2344" spans="1:11" x14ac:dyDescent="0.2">
      <c r="A2344" s="9" t="s">
        <v>26</v>
      </c>
      <c r="B2344" s="9" t="s">
        <v>279</v>
      </c>
      <c r="C2344" s="9"/>
      <c r="D2344" s="9" t="s">
        <v>76</v>
      </c>
      <c r="E2344" s="38">
        <v>5219</v>
      </c>
      <c r="F2344" s="39">
        <v>978879.46</v>
      </c>
      <c r="G2344" s="40">
        <v>187.56073194098491</v>
      </c>
      <c r="H2344" s="41">
        <v>-6.8470207761842386E-2</v>
      </c>
      <c r="I2344" s="40">
        <v>25.395485725234721</v>
      </c>
      <c r="J2344" s="41">
        <v>0.1353987343855392</v>
      </c>
      <c r="K2344" s="9" t="s">
        <v>3346</v>
      </c>
    </row>
    <row r="2345" spans="1:11" x14ac:dyDescent="0.2">
      <c r="A2345" s="9" t="s">
        <v>26</v>
      </c>
      <c r="B2345" s="9" t="s">
        <v>494</v>
      </c>
      <c r="C2345" s="9"/>
      <c r="D2345" s="9" t="s">
        <v>85</v>
      </c>
      <c r="E2345" s="38">
        <v>1400</v>
      </c>
      <c r="F2345" s="39">
        <v>1210079.1599999999</v>
      </c>
      <c r="G2345" s="40">
        <v>864.34225714285708</v>
      </c>
      <c r="H2345" s="41">
        <v>5.6425300308452421E-2</v>
      </c>
      <c r="I2345" s="40">
        <v>92.04</v>
      </c>
      <c r="J2345" s="41">
        <v>0.10648559553740269</v>
      </c>
      <c r="K2345" s="9" t="s">
        <v>3347</v>
      </c>
    </row>
    <row r="2346" spans="1:11" x14ac:dyDescent="0.2">
      <c r="A2346" s="9" t="s">
        <v>26</v>
      </c>
      <c r="B2346" s="9" t="s">
        <v>283</v>
      </c>
      <c r="C2346" s="9"/>
      <c r="D2346" s="9" t="s">
        <v>78</v>
      </c>
      <c r="E2346" s="38">
        <v>1381</v>
      </c>
      <c r="F2346" s="39">
        <v>471032.6</v>
      </c>
      <c r="G2346" s="40">
        <v>341.08081100651702</v>
      </c>
      <c r="H2346" s="41">
        <v>6.831762812170529E-2</v>
      </c>
      <c r="I2346" s="40">
        <v>68.0471585083273</v>
      </c>
      <c r="J2346" s="41">
        <v>0.19950450542064391</v>
      </c>
      <c r="K2346" s="9" t="s">
        <v>3348</v>
      </c>
    </row>
    <row r="2347" spans="1:11" x14ac:dyDescent="0.2">
      <c r="A2347" s="9" t="s">
        <v>26</v>
      </c>
      <c r="B2347" s="9" t="s">
        <v>497</v>
      </c>
      <c r="C2347" s="9"/>
      <c r="D2347" s="9" t="s">
        <v>76</v>
      </c>
      <c r="E2347" s="38">
        <v>2453</v>
      </c>
      <c r="F2347" s="39">
        <v>854917.88</v>
      </c>
      <c r="G2347" s="40">
        <v>348.51931512433748</v>
      </c>
      <c r="H2347" s="41">
        <v>2.9458735849576621E-2</v>
      </c>
      <c r="I2347" s="40">
        <v>8.1532980024459842</v>
      </c>
      <c r="J2347" s="41">
        <v>2.3394106577815401E-2</v>
      </c>
      <c r="K2347" s="9" t="s">
        <v>3349</v>
      </c>
    </row>
    <row r="2348" spans="1:11" x14ac:dyDescent="0.2">
      <c r="A2348" s="9" t="s">
        <v>26</v>
      </c>
      <c r="B2348" s="9" t="s">
        <v>285</v>
      </c>
      <c r="C2348" s="9"/>
      <c r="D2348" s="9" t="s">
        <v>76</v>
      </c>
      <c r="E2348" s="38">
        <v>3273</v>
      </c>
      <c r="F2348" s="39">
        <v>4428021.58</v>
      </c>
      <c r="G2348" s="40">
        <v>1352.893852734494</v>
      </c>
      <c r="H2348" s="41">
        <v>-0.1790134703905395</v>
      </c>
      <c r="I2348" s="40">
        <v>0</v>
      </c>
      <c r="J2348" s="41">
        <v>0</v>
      </c>
      <c r="K2348" s="9" t="s">
        <v>3350</v>
      </c>
    </row>
    <row r="2349" spans="1:11" x14ac:dyDescent="0.2">
      <c r="A2349" s="9" t="s">
        <v>26</v>
      </c>
      <c r="B2349" s="9" t="s">
        <v>287</v>
      </c>
      <c r="C2349" s="9"/>
      <c r="D2349" s="9" t="s">
        <v>79</v>
      </c>
      <c r="E2349" s="38">
        <v>750</v>
      </c>
      <c r="F2349" s="39">
        <v>889417.41</v>
      </c>
      <c r="G2349" s="40">
        <v>1185.8898799999999</v>
      </c>
      <c r="H2349" s="41">
        <v>1.8738828150440649E-2</v>
      </c>
      <c r="I2349" s="40">
        <v>103.20730399999999</v>
      </c>
      <c r="J2349" s="41">
        <v>8.7029416255748795E-2</v>
      </c>
      <c r="K2349" s="9" t="s">
        <v>3351</v>
      </c>
    </row>
    <row r="2350" spans="1:11" x14ac:dyDescent="0.2">
      <c r="A2350" s="9" t="s">
        <v>26</v>
      </c>
      <c r="B2350" s="9" t="s">
        <v>3352</v>
      </c>
      <c r="C2350" s="9"/>
      <c r="D2350" s="9" t="s">
        <v>82</v>
      </c>
      <c r="E2350" s="38">
        <v>58291</v>
      </c>
      <c r="F2350" s="39">
        <v>6585878.2599999998</v>
      </c>
      <c r="G2350" s="40">
        <v>112.9827633768506</v>
      </c>
      <c r="H2350" s="41">
        <v>-4.325656180592688E-2</v>
      </c>
      <c r="I2350" s="40">
        <v>18.836502376010021</v>
      </c>
      <c r="J2350" s="41">
        <v>0.1667201421971016</v>
      </c>
      <c r="K2350" s="9" t="s">
        <v>3353</v>
      </c>
    </row>
    <row r="2351" spans="1:11" x14ac:dyDescent="0.2">
      <c r="A2351" s="9" t="s">
        <v>26</v>
      </c>
      <c r="B2351" s="9" t="s">
        <v>1665</v>
      </c>
      <c r="C2351" s="9"/>
      <c r="D2351" s="9" t="s">
        <v>84</v>
      </c>
      <c r="E2351" s="38">
        <v>1542</v>
      </c>
      <c r="F2351" s="39">
        <v>100360</v>
      </c>
      <c r="G2351" s="40">
        <v>65.084306095979244</v>
      </c>
      <c r="H2351" s="41">
        <v>-0.54876444798724588</v>
      </c>
      <c r="I2351" s="40">
        <v>29.206147859922179</v>
      </c>
      <c r="J2351" s="41">
        <v>0.44874332403347938</v>
      </c>
      <c r="K2351" s="9" t="s">
        <v>3354</v>
      </c>
    </row>
    <row r="2352" spans="1:11" x14ac:dyDescent="0.2">
      <c r="A2352" s="9" t="s">
        <v>26</v>
      </c>
      <c r="B2352" s="9" t="s">
        <v>3355</v>
      </c>
      <c r="C2352" s="9"/>
      <c r="D2352" s="9" t="s">
        <v>81</v>
      </c>
      <c r="E2352" s="38">
        <v>5525</v>
      </c>
      <c r="F2352" s="39">
        <v>1366435.71</v>
      </c>
      <c r="G2352" s="40">
        <v>247.31868054298641</v>
      </c>
      <c r="H2352" s="41">
        <v>1</v>
      </c>
      <c r="I2352" s="40">
        <v>27.149321266968329</v>
      </c>
      <c r="J2352" s="41">
        <v>0.1097746486733723</v>
      </c>
      <c r="K2352" s="9" t="s">
        <v>3356</v>
      </c>
    </row>
    <row r="2353" spans="1:11" x14ac:dyDescent="0.2">
      <c r="A2353" s="9" t="s">
        <v>26</v>
      </c>
      <c r="B2353" s="9" t="s">
        <v>603</v>
      </c>
      <c r="C2353" s="9"/>
      <c r="D2353" s="9" t="s">
        <v>81</v>
      </c>
      <c r="E2353" s="38">
        <v>7877</v>
      </c>
      <c r="F2353" s="39">
        <v>5653687.5899999999</v>
      </c>
      <c r="G2353" s="40">
        <v>717.74629808302655</v>
      </c>
      <c r="H2353" s="41">
        <v>-0.10147949826849199</v>
      </c>
      <c r="I2353" s="40">
        <v>20.574584232575859</v>
      </c>
      <c r="J2353" s="41">
        <v>2.8665538627683531E-2</v>
      </c>
      <c r="K2353" s="9" t="s">
        <v>3357</v>
      </c>
    </row>
    <row r="2354" spans="1:11" x14ac:dyDescent="0.2">
      <c r="A2354" s="9" t="s">
        <v>26</v>
      </c>
      <c r="B2354" s="9" t="s">
        <v>321</v>
      </c>
      <c r="C2354" s="9"/>
      <c r="D2354" s="9" t="s">
        <v>78</v>
      </c>
      <c r="E2354" s="38">
        <v>2179</v>
      </c>
      <c r="F2354" s="39">
        <v>1959909.73</v>
      </c>
      <c r="G2354" s="40">
        <v>899.45375401560352</v>
      </c>
      <c r="H2354" s="41">
        <v>4.5076938313888558E-2</v>
      </c>
      <c r="I2354" s="40">
        <v>120.4937816888481</v>
      </c>
      <c r="J2354" s="41">
        <v>0.13396328732956489</v>
      </c>
      <c r="K2354" s="9" t="s">
        <v>3358</v>
      </c>
    </row>
    <row r="2355" spans="1:11" x14ac:dyDescent="0.2">
      <c r="A2355" s="9" t="s">
        <v>26</v>
      </c>
      <c r="B2355" s="9" t="s">
        <v>819</v>
      </c>
      <c r="C2355" s="9"/>
      <c r="D2355" s="9" t="s">
        <v>80</v>
      </c>
      <c r="E2355" s="38">
        <v>750</v>
      </c>
      <c r="F2355" s="39">
        <v>252442.22</v>
      </c>
      <c r="G2355" s="40">
        <v>336.58962666666667</v>
      </c>
      <c r="H2355" s="41">
        <v>2.9137004103354829E-2</v>
      </c>
      <c r="I2355" s="40">
        <v>82.597279999999998</v>
      </c>
      <c r="J2355" s="41">
        <v>0.2453946095070785</v>
      </c>
      <c r="K2355" s="9" t="s">
        <v>3359</v>
      </c>
    </row>
    <row r="2356" spans="1:11" x14ac:dyDescent="0.2">
      <c r="A2356" s="9" t="s">
        <v>26</v>
      </c>
      <c r="B2356" s="9" t="s">
        <v>343</v>
      </c>
      <c r="C2356" s="9"/>
      <c r="D2356" s="9" t="s">
        <v>79</v>
      </c>
      <c r="E2356" s="38">
        <v>5230</v>
      </c>
      <c r="F2356" s="39">
        <v>6569860.6699999999</v>
      </c>
      <c r="G2356" s="40">
        <v>1256.187508604206</v>
      </c>
      <c r="H2356" s="41">
        <v>-3.8264969780554027E-2</v>
      </c>
      <c r="I2356" s="40">
        <v>73.192879328489497</v>
      </c>
      <c r="J2356" s="41">
        <v>5.8265886921464963E-2</v>
      </c>
      <c r="K2356" s="9" t="s">
        <v>3360</v>
      </c>
    </row>
    <row r="2357" spans="1:11" x14ac:dyDescent="0.2">
      <c r="A2357" s="9" t="s">
        <v>26</v>
      </c>
      <c r="B2357" s="9" t="s">
        <v>535</v>
      </c>
      <c r="C2357" s="9"/>
      <c r="D2357" s="9" t="s">
        <v>83</v>
      </c>
      <c r="E2357" s="38">
        <v>10000</v>
      </c>
      <c r="F2357" s="39">
        <v>0</v>
      </c>
      <c r="G2357" s="40"/>
      <c r="H2357" s="41"/>
      <c r="I2357" s="40">
        <v>24.999995999999999</v>
      </c>
      <c r="J2357" s="41"/>
      <c r="K2357" s="9" t="s">
        <v>3361</v>
      </c>
    </row>
    <row r="2358" spans="1:11" x14ac:dyDescent="0.2">
      <c r="A2358" s="9" t="s">
        <v>26</v>
      </c>
      <c r="B2358" s="9" t="s">
        <v>353</v>
      </c>
      <c r="C2358" s="9"/>
      <c r="D2358" s="9" t="s">
        <v>76</v>
      </c>
      <c r="E2358" s="38">
        <v>2480</v>
      </c>
      <c r="F2358" s="39">
        <v>712660.72</v>
      </c>
      <c r="G2358" s="40">
        <v>287.36319354838707</v>
      </c>
      <c r="H2358" s="41">
        <v>-0.14981661961108231</v>
      </c>
      <c r="I2358" s="40">
        <v>28.22579032258065</v>
      </c>
      <c r="J2358" s="41">
        <v>9.8223401452517276E-2</v>
      </c>
      <c r="K2358" s="9" t="s">
        <v>3362</v>
      </c>
    </row>
    <row r="2359" spans="1:11" x14ac:dyDescent="0.2">
      <c r="A2359" s="9" t="s">
        <v>26</v>
      </c>
      <c r="B2359" s="9" t="s">
        <v>355</v>
      </c>
      <c r="C2359" s="9"/>
      <c r="D2359" s="9" t="s">
        <v>82</v>
      </c>
      <c r="E2359" s="38">
        <v>2400</v>
      </c>
      <c r="F2359" s="39">
        <v>599533.11</v>
      </c>
      <c r="G2359" s="40">
        <v>249.8054625</v>
      </c>
      <c r="H2359" s="41">
        <v>0.6240494707623403</v>
      </c>
      <c r="I2359" s="40">
        <v>36.97</v>
      </c>
      <c r="J2359" s="41">
        <v>0.14799516243564931</v>
      </c>
      <c r="K2359" s="9" t="s">
        <v>3363</v>
      </c>
    </row>
    <row r="2360" spans="1:11" x14ac:dyDescent="0.2">
      <c r="A2360" s="9" t="s">
        <v>26</v>
      </c>
      <c r="B2360" s="9" t="s">
        <v>538</v>
      </c>
      <c r="C2360" s="9"/>
      <c r="D2360" s="9" t="s">
        <v>80</v>
      </c>
      <c r="E2360" s="38">
        <v>1499</v>
      </c>
      <c r="F2360" s="39">
        <v>1497665.11</v>
      </c>
      <c r="G2360" s="40">
        <v>999.10947965310208</v>
      </c>
      <c r="H2360" s="41">
        <v>-5.3259089410181822E-2</v>
      </c>
      <c r="I2360" s="40">
        <v>111.4636691127418</v>
      </c>
      <c r="J2360" s="41">
        <v>0.1115630182504552</v>
      </c>
      <c r="K2360" s="9" t="s">
        <v>3364</v>
      </c>
    </row>
    <row r="2361" spans="1:11" x14ac:dyDescent="0.2">
      <c r="A2361" s="9" t="s">
        <v>26</v>
      </c>
      <c r="B2361" s="9" t="s">
        <v>357</v>
      </c>
      <c r="C2361" s="9"/>
      <c r="D2361" s="9" t="s">
        <v>76</v>
      </c>
      <c r="E2361" s="38">
        <v>861</v>
      </c>
      <c r="F2361" s="39">
        <v>721532.75</v>
      </c>
      <c r="G2361" s="40">
        <v>838.01713124274102</v>
      </c>
      <c r="H2361" s="41">
        <v>3.8052021893670143E-2</v>
      </c>
      <c r="I2361" s="40">
        <v>166.29951219512199</v>
      </c>
      <c r="J2361" s="41">
        <v>0.1984440484510232</v>
      </c>
      <c r="K2361" s="9" t="s">
        <v>3365</v>
      </c>
    </row>
    <row r="2362" spans="1:11" x14ac:dyDescent="0.2">
      <c r="A2362" s="9" t="s">
        <v>26</v>
      </c>
      <c r="B2362" s="9" t="s">
        <v>1038</v>
      </c>
      <c r="C2362" s="9"/>
      <c r="D2362" s="9" t="s">
        <v>80</v>
      </c>
      <c r="E2362" s="38">
        <v>800</v>
      </c>
      <c r="F2362" s="39">
        <v>147307.19</v>
      </c>
      <c r="G2362" s="40">
        <v>184.13398749999999</v>
      </c>
      <c r="H2362" s="41">
        <v>-2.433533624529793E-2</v>
      </c>
      <c r="I2362" s="40">
        <v>55.334099999999999</v>
      </c>
      <c r="J2362" s="41">
        <v>0.30050997510712141</v>
      </c>
      <c r="K2362" s="9" t="s">
        <v>3366</v>
      </c>
    </row>
    <row r="2363" spans="1:11" x14ac:dyDescent="0.2">
      <c r="A2363" s="9" t="s">
        <v>26</v>
      </c>
      <c r="B2363" s="9" t="s">
        <v>731</v>
      </c>
      <c r="C2363" s="9"/>
      <c r="D2363" s="9" t="s">
        <v>78</v>
      </c>
      <c r="E2363" s="38">
        <v>756</v>
      </c>
      <c r="F2363" s="39">
        <v>676871.09</v>
      </c>
      <c r="G2363" s="40">
        <v>895.33212962962955</v>
      </c>
      <c r="H2363" s="41">
        <v>-0.1190038859541187</v>
      </c>
      <c r="I2363" s="40">
        <v>168.25682539682541</v>
      </c>
      <c r="J2363" s="41">
        <v>0.1879267143762928</v>
      </c>
      <c r="K2363" s="9" t="s">
        <v>3367</v>
      </c>
    </row>
    <row r="2364" spans="1:11" x14ac:dyDescent="0.2">
      <c r="A2364" s="9" t="s">
        <v>26</v>
      </c>
      <c r="B2364" s="9" t="s">
        <v>1838</v>
      </c>
      <c r="C2364" s="9"/>
      <c r="D2364" s="9" t="s">
        <v>79</v>
      </c>
      <c r="E2364" s="38">
        <v>1373</v>
      </c>
      <c r="F2364" s="39">
        <v>66187.42</v>
      </c>
      <c r="G2364" s="40">
        <v>48.206423889293518</v>
      </c>
      <c r="H2364" s="41">
        <v>1</v>
      </c>
      <c r="I2364" s="40">
        <v>44.693313911143477</v>
      </c>
      <c r="J2364" s="41">
        <v>0.92712361352051498</v>
      </c>
      <c r="K2364" s="9" t="s">
        <v>3368</v>
      </c>
    </row>
    <row r="2365" spans="1:11" x14ac:dyDescent="0.2">
      <c r="A2365" s="9" t="s">
        <v>26</v>
      </c>
      <c r="B2365" s="9" t="s">
        <v>3369</v>
      </c>
      <c r="C2365" s="9"/>
      <c r="D2365" s="9" t="s">
        <v>79</v>
      </c>
      <c r="E2365" s="38">
        <v>1687</v>
      </c>
      <c r="F2365" s="39">
        <v>349456.95</v>
      </c>
      <c r="G2365" s="40">
        <v>207.1469768820391</v>
      </c>
      <c r="H2365" s="41">
        <v>7.3154905060551778E-2</v>
      </c>
      <c r="I2365" s="40">
        <v>36.633076467101361</v>
      </c>
      <c r="J2365" s="41">
        <v>0.17684581748910699</v>
      </c>
      <c r="K2365" s="9" t="s">
        <v>3370</v>
      </c>
    </row>
    <row r="2366" spans="1:11" x14ac:dyDescent="0.2">
      <c r="A2366" s="9" t="s">
        <v>26</v>
      </c>
      <c r="B2366" s="9" t="s">
        <v>3371</v>
      </c>
      <c r="C2366" s="9"/>
      <c r="D2366" s="9" t="s">
        <v>80</v>
      </c>
      <c r="E2366" s="38">
        <v>1499</v>
      </c>
      <c r="F2366" s="39">
        <v>626647.57999999996</v>
      </c>
      <c r="G2366" s="40">
        <v>418.04374916611067</v>
      </c>
      <c r="H2366" s="41">
        <v>-0.10571591132610771</v>
      </c>
      <c r="I2366" s="40">
        <v>59.626871247498343</v>
      </c>
      <c r="J2366" s="41">
        <v>0.14263308892057</v>
      </c>
      <c r="K2366" s="9" t="s">
        <v>3372</v>
      </c>
    </row>
    <row r="2367" spans="1:11" x14ac:dyDescent="0.2">
      <c r="A2367" s="9" t="s">
        <v>26</v>
      </c>
      <c r="B2367" s="9" t="s">
        <v>1052</v>
      </c>
      <c r="C2367" s="9"/>
      <c r="D2367" s="9" t="s">
        <v>83</v>
      </c>
      <c r="E2367" s="38">
        <v>2700</v>
      </c>
      <c r="F2367" s="39">
        <v>448509.49</v>
      </c>
      <c r="G2367" s="40">
        <v>166.11462592592591</v>
      </c>
      <c r="H2367" s="41">
        <v>-0.1059272123762643</v>
      </c>
      <c r="I2367" s="40">
        <v>15.259244444444439</v>
      </c>
      <c r="J2367" s="41">
        <v>9.1859728542198746E-2</v>
      </c>
      <c r="K2367" s="9" t="s">
        <v>3373</v>
      </c>
    </row>
    <row r="2368" spans="1:11" x14ac:dyDescent="0.2">
      <c r="A2368" s="9" t="s">
        <v>26</v>
      </c>
      <c r="B2368" s="9" t="s">
        <v>969</v>
      </c>
      <c r="C2368" s="9"/>
      <c r="D2368" s="9" t="s">
        <v>78</v>
      </c>
      <c r="E2368" s="38">
        <v>500</v>
      </c>
      <c r="F2368" s="39">
        <v>318391.61</v>
      </c>
      <c r="G2368" s="40">
        <v>636.78322000000003</v>
      </c>
      <c r="H2368" s="41">
        <v>8.5049351645918064E-2</v>
      </c>
      <c r="I2368" s="40">
        <v>108.81168</v>
      </c>
      <c r="J2368" s="41">
        <v>0.17087711576319489</v>
      </c>
      <c r="K2368" s="9" t="s">
        <v>3374</v>
      </c>
    </row>
    <row r="2369" spans="1:11" x14ac:dyDescent="0.2">
      <c r="A2369" s="9" t="s">
        <v>26</v>
      </c>
      <c r="B2369" s="9" t="s">
        <v>568</v>
      </c>
      <c r="C2369" s="9"/>
      <c r="D2369" s="9" t="s">
        <v>76</v>
      </c>
      <c r="E2369" s="38">
        <v>2200</v>
      </c>
      <c r="F2369" s="39">
        <v>275365.32</v>
      </c>
      <c r="G2369" s="40">
        <v>125.1660545454545</v>
      </c>
      <c r="H2369" s="41">
        <v>-0.11433593017450409</v>
      </c>
      <c r="I2369" s="40">
        <v>32.386363636363633</v>
      </c>
      <c r="J2369" s="41">
        <v>0.25874717992810431</v>
      </c>
      <c r="K2369" s="9" t="s">
        <v>3375</v>
      </c>
    </row>
    <row r="2370" spans="1:11" x14ac:dyDescent="0.2">
      <c r="A2370" s="9" t="s">
        <v>26</v>
      </c>
      <c r="B2370" s="9" t="s">
        <v>1560</v>
      </c>
      <c r="C2370" s="9"/>
      <c r="D2370" s="9" t="s">
        <v>76</v>
      </c>
      <c r="E2370" s="38">
        <v>9506</v>
      </c>
      <c r="F2370" s="39">
        <v>1062032</v>
      </c>
      <c r="G2370" s="40">
        <v>111.7222806648433</v>
      </c>
      <c r="H2370" s="41">
        <v>0.1062397366557693</v>
      </c>
      <c r="I2370" s="40">
        <v>10.519667578371561</v>
      </c>
      <c r="J2370" s="41">
        <v>9.4159083718758016E-2</v>
      </c>
      <c r="K2370" s="9" t="s">
        <v>3376</v>
      </c>
    </row>
    <row r="2371" spans="1:11" x14ac:dyDescent="0.2">
      <c r="A2371" s="9" t="s">
        <v>26</v>
      </c>
      <c r="B2371" s="9" t="s">
        <v>388</v>
      </c>
      <c r="C2371" s="9"/>
      <c r="D2371" s="9" t="s">
        <v>76</v>
      </c>
      <c r="E2371" s="38">
        <v>12059</v>
      </c>
      <c r="F2371" s="39">
        <v>4019532.48</v>
      </c>
      <c r="G2371" s="40">
        <v>333.32220582137819</v>
      </c>
      <c r="H2371" s="41">
        <v>-4.1855696113195749E-2</v>
      </c>
      <c r="I2371" s="40">
        <v>37.316527075213543</v>
      </c>
      <c r="J2371" s="41">
        <v>0.111953318511311</v>
      </c>
      <c r="K2371" s="9" t="s">
        <v>3377</v>
      </c>
    </row>
    <row r="2372" spans="1:11" x14ac:dyDescent="0.2">
      <c r="A2372" s="9" t="s">
        <v>26</v>
      </c>
      <c r="B2372" s="9" t="s">
        <v>571</v>
      </c>
      <c r="C2372" s="9"/>
      <c r="D2372" s="9" t="s">
        <v>76</v>
      </c>
      <c r="E2372" s="38">
        <v>3378</v>
      </c>
      <c r="F2372" s="39">
        <v>664079.37</v>
      </c>
      <c r="G2372" s="40">
        <v>196.58951154529311</v>
      </c>
      <c r="H2372" s="41">
        <v>-0.133789715527528</v>
      </c>
      <c r="I2372" s="40">
        <v>20.72230905861457</v>
      </c>
      <c r="J2372" s="41">
        <v>0.1054090266348735</v>
      </c>
      <c r="K2372" s="9" t="s">
        <v>3378</v>
      </c>
    </row>
    <row r="2373" spans="1:11" x14ac:dyDescent="0.2">
      <c r="A2373" s="9" t="s">
        <v>26</v>
      </c>
      <c r="B2373" s="9" t="s">
        <v>392</v>
      </c>
      <c r="C2373" s="9"/>
      <c r="D2373" s="9" t="s">
        <v>76</v>
      </c>
      <c r="E2373" s="38">
        <v>3423</v>
      </c>
      <c r="F2373" s="39">
        <v>1068103.6299999999</v>
      </c>
      <c r="G2373" s="40">
        <v>312.03728600642711</v>
      </c>
      <c r="H2373" s="41">
        <v>0.16351902108974189</v>
      </c>
      <c r="I2373" s="40">
        <v>42.40879929886065</v>
      </c>
      <c r="J2373" s="41">
        <v>0.13590939673147631</v>
      </c>
      <c r="K2373" s="9" t="s">
        <v>3379</v>
      </c>
    </row>
    <row r="2374" spans="1:11" x14ac:dyDescent="0.2">
      <c r="A2374" s="9" t="s">
        <v>26</v>
      </c>
      <c r="B2374" s="9" t="s">
        <v>396</v>
      </c>
      <c r="C2374" s="9"/>
      <c r="D2374" s="9" t="s">
        <v>78</v>
      </c>
      <c r="E2374" s="38">
        <v>1468</v>
      </c>
      <c r="F2374" s="39">
        <v>1634433.59</v>
      </c>
      <c r="G2374" s="40">
        <v>1113.374380108992</v>
      </c>
      <c r="H2374" s="41">
        <v>0.22110577157191211</v>
      </c>
      <c r="I2374" s="40">
        <v>85.149891008174379</v>
      </c>
      <c r="J2374" s="41">
        <v>7.6479118371520979E-2</v>
      </c>
      <c r="K2374" s="9" t="s">
        <v>3380</v>
      </c>
    </row>
    <row r="2375" spans="1:11" x14ac:dyDescent="0.2">
      <c r="A2375" s="9" t="s">
        <v>26</v>
      </c>
      <c r="B2375" s="9" t="s">
        <v>398</v>
      </c>
      <c r="C2375" s="9"/>
      <c r="D2375" s="9" t="s">
        <v>76</v>
      </c>
      <c r="E2375" s="38">
        <v>2577</v>
      </c>
      <c r="F2375" s="39">
        <v>417197.54</v>
      </c>
      <c r="G2375" s="40">
        <v>161.8927202173069</v>
      </c>
      <c r="H2375" s="41">
        <v>1</v>
      </c>
      <c r="I2375" s="40">
        <v>39.501233993015127</v>
      </c>
      <c r="J2375" s="41">
        <v>0.24399635721725499</v>
      </c>
      <c r="K2375" s="9" t="s">
        <v>3381</v>
      </c>
    </row>
    <row r="2376" spans="1:11" x14ac:dyDescent="0.2">
      <c r="A2376" s="9" t="s">
        <v>63</v>
      </c>
      <c r="B2376" s="9" t="s">
        <v>3382</v>
      </c>
      <c r="C2376" s="9" t="s">
        <v>86</v>
      </c>
      <c r="D2376" s="9" t="s">
        <v>81</v>
      </c>
      <c r="E2376" s="38">
        <v>2155</v>
      </c>
      <c r="F2376" s="39">
        <v>0</v>
      </c>
      <c r="G2376" s="40"/>
      <c r="H2376" s="41"/>
      <c r="I2376" s="40">
        <v>60.111368909512763</v>
      </c>
      <c r="J2376" s="41"/>
      <c r="K2376" s="9" t="s">
        <v>3383</v>
      </c>
    </row>
    <row r="2377" spans="1:11" x14ac:dyDescent="0.2">
      <c r="A2377" s="9" t="s">
        <v>63</v>
      </c>
      <c r="B2377" s="9" t="s">
        <v>3384</v>
      </c>
      <c r="C2377" s="9"/>
      <c r="D2377" s="9" t="s">
        <v>78</v>
      </c>
      <c r="E2377" s="38">
        <v>203</v>
      </c>
      <c r="F2377" s="39">
        <v>525371</v>
      </c>
      <c r="G2377" s="40">
        <v>2588.03448275862</v>
      </c>
      <c r="H2377" s="41">
        <v>7.8155412850271097E-2</v>
      </c>
      <c r="I2377" s="40">
        <v>532.01970443349751</v>
      </c>
      <c r="J2377" s="41">
        <v>0.20556901694231311</v>
      </c>
      <c r="K2377" s="9" t="s">
        <v>3385</v>
      </c>
    </row>
    <row r="2378" spans="1:11" x14ac:dyDescent="0.2">
      <c r="A2378" s="9" t="s">
        <v>63</v>
      </c>
      <c r="B2378" s="9" t="s">
        <v>2099</v>
      </c>
      <c r="C2378" s="9"/>
      <c r="D2378" s="9" t="s">
        <v>76</v>
      </c>
      <c r="E2378" s="38">
        <v>5915</v>
      </c>
      <c r="F2378" s="39">
        <v>1293576</v>
      </c>
      <c r="G2378" s="40">
        <v>218.69416737109049</v>
      </c>
      <c r="H2378" s="41">
        <v>-8.8424726039801352E-2</v>
      </c>
      <c r="I2378" s="40">
        <v>48.99002535925613</v>
      </c>
      <c r="J2378" s="41">
        <v>0.22401157720922471</v>
      </c>
      <c r="K2378" s="9" t="s">
        <v>3386</v>
      </c>
    </row>
    <row r="2379" spans="1:11" x14ac:dyDescent="0.2">
      <c r="A2379" s="9" t="s">
        <v>63</v>
      </c>
      <c r="B2379" s="9" t="s">
        <v>3387</v>
      </c>
      <c r="C2379" s="9"/>
      <c r="D2379" s="9" t="s">
        <v>78</v>
      </c>
      <c r="E2379" s="38">
        <v>1482</v>
      </c>
      <c r="F2379" s="39">
        <v>0</v>
      </c>
      <c r="G2379" s="40"/>
      <c r="H2379" s="41"/>
      <c r="I2379" s="40">
        <v>108.31578947368421</v>
      </c>
      <c r="J2379" s="41"/>
      <c r="K2379" s="9" t="s">
        <v>3388</v>
      </c>
    </row>
    <row r="2380" spans="1:11" x14ac:dyDescent="0.2">
      <c r="A2380" s="9" t="s">
        <v>63</v>
      </c>
      <c r="B2380" s="9" t="s">
        <v>3389</v>
      </c>
      <c r="C2380" s="9"/>
      <c r="D2380" s="9" t="s">
        <v>76</v>
      </c>
      <c r="E2380" s="38">
        <v>6543</v>
      </c>
      <c r="F2380" s="39">
        <v>573807</v>
      </c>
      <c r="G2380" s="40">
        <v>87.697845025217788</v>
      </c>
      <c r="H2380" s="41">
        <v>-0.16419071025573689</v>
      </c>
      <c r="I2380" s="40">
        <v>34.235671710224658</v>
      </c>
      <c r="J2380" s="41">
        <v>0.39038213197120281</v>
      </c>
      <c r="K2380" s="9" t="s">
        <v>3390</v>
      </c>
    </row>
    <row r="2381" spans="1:11" x14ac:dyDescent="0.2">
      <c r="A2381" s="9" t="s">
        <v>63</v>
      </c>
      <c r="B2381" s="9" t="s">
        <v>171</v>
      </c>
      <c r="C2381" s="9"/>
      <c r="D2381" s="9" t="s">
        <v>84</v>
      </c>
      <c r="E2381" s="38">
        <v>1437</v>
      </c>
      <c r="F2381" s="39">
        <v>0</v>
      </c>
      <c r="G2381" s="40"/>
      <c r="H2381" s="41"/>
      <c r="I2381" s="40">
        <v>95.54070981210856</v>
      </c>
      <c r="J2381" s="41"/>
      <c r="K2381" s="9" t="s">
        <v>3391</v>
      </c>
    </row>
    <row r="2382" spans="1:11" x14ac:dyDescent="0.2">
      <c r="A2382" s="9" t="s">
        <v>63</v>
      </c>
      <c r="B2382" s="9" t="s">
        <v>173</v>
      </c>
      <c r="C2382" s="9"/>
      <c r="D2382" s="9" t="s">
        <v>80</v>
      </c>
      <c r="E2382" s="38">
        <v>521</v>
      </c>
      <c r="F2382" s="39">
        <v>992294</v>
      </c>
      <c r="G2382" s="40">
        <v>1904.595009596929</v>
      </c>
      <c r="H2382" s="41">
        <v>8.5563560859694358E-3</v>
      </c>
      <c r="I2382" s="40">
        <v>255.52399232245679</v>
      </c>
      <c r="J2382" s="41">
        <v>0.13416185122554411</v>
      </c>
      <c r="K2382" s="9" t="s">
        <v>3392</v>
      </c>
    </row>
    <row r="2383" spans="1:11" x14ac:dyDescent="0.2">
      <c r="A2383" s="9" t="s">
        <v>63</v>
      </c>
      <c r="B2383" s="9" t="s">
        <v>179</v>
      </c>
      <c r="C2383" s="9"/>
      <c r="D2383" s="9" t="s">
        <v>79</v>
      </c>
      <c r="E2383" s="38">
        <v>3800</v>
      </c>
      <c r="F2383" s="39">
        <v>3542227</v>
      </c>
      <c r="G2383" s="40">
        <v>932.16499999999996</v>
      </c>
      <c r="H2383" s="41">
        <v>-1.4404714460608011E-2</v>
      </c>
      <c r="I2383" s="40">
        <v>64.02</v>
      </c>
      <c r="J2383" s="41">
        <v>6.8678828319020765E-2</v>
      </c>
      <c r="K2383" s="9" t="s">
        <v>3393</v>
      </c>
    </row>
    <row r="2384" spans="1:11" x14ac:dyDescent="0.2">
      <c r="A2384" s="9" t="s">
        <v>63</v>
      </c>
      <c r="B2384" s="9" t="s">
        <v>3394</v>
      </c>
      <c r="C2384" s="9"/>
      <c r="D2384" s="9" t="s">
        <v>78</v>
      </c>
      <c r="E2384" s="38">
        <v>200</v>
      </c>
      <c r="F2384" s="39">
        <v>210926</v>
      </c>
      <c r="G2384" s="40">
        <v>1054.6300000000001</v>
      </c>
      <c r="H2384" s="41">
        <v>1.785195841234552E-2</v>
      </c>
      <c r="I2384" s="40">
        <v>372.12</v>
      </c>
      <c r="J2384" s="41">
        <v>0.35284412542787519</v>
      </c>
      <c r="K2384" s="9" t="s">
        <v>3395</v>
      </c>
    </row>
    <row r="2385" spans="1:11" x14ac:dyDescent="0.2">
      <c r="A2385" s="9" t="s">
        <v>63</v>
      </c>
      <c r="B2385" s="9" t="s">
        <v>3396</v>
      </c>
      <c r="C2385" s="9"/>
      <c r="D2385" s="9" t="s">
        <v>81</v>
      </c>
      <c r="E2385" s="38">
        <v>180</v>
      </c>
      <c r="F2385" s="39">
        <v>430305</v>
      </c>
      <c r="G2385" s="40">
        <v>2390.583333333333</v>
      </c>
      <c r="H2385" s="41">
        <v>5.4897844781317463E-2</v>
      </c>
      <c r="I2385" s="40">
        <v>520.79999999999995</v>
      </c>
      <c r="J2385" s="41">
        <v>0.21785477742531459</v>
      </c>
      <c r="K2385" s="9" t="s">
        <v>3397</v>
      </c>
    </row>
    <row r="2386" spans="1:11" x14ac:dyDescent="0.2">
      <c r="A2386" s="9" t="s">
        <v>63</v>
      </c>
      <c r="B2386" s="9" t="s">
        <v>200</v>
      </c>
      <c r="C2386" s="9"/>
      <c r="D2386" s="9" t="s">
        <v>77</v>
      </c>
      <c r="E2386" s="38">
        <v>6400</v>
      </c>
      <c r="F2386" s="39">
        <v>2716851</v>
      </c>
      <c r="G2386" s="40">
        <v>424.50796874999997</v>
      </c>
      <c r="H2386" s="41">
        <v>-5.6717930366292503E-2</v>
      </c>
      <c r="I2386" s="40">
        <v>81.530625000000001</v>
      </c>
      <c r="J2386" s="41">
        <v>0.19205911549805271</v>
      </c>
      <c r="K2386" s="9" t="s">
        <v>3398</v>
      </c>
    </row>
    <row r="2387" spans="1:11" x14ac:dyDescent="0.2">
      <c r="A2387" s="9" t="s">
        <v>63</v>
      </c>
      <c r="B2387" s="9" t="s">
        <v>202</v>
      </c>
      <c r="C2387" s="9"/>
      <c r="D2387" s="9" t="s">
        <v>81</v>
      </c>
      <c r="E2387" s="38">
        <v>661</v>
      </c>
      <c r="F2387" s="39">
        <v>2435068</v>
      </c>
      <c r="G2387" s="40">
        <v>3683.915279878971</v>
      </c>
      <c r="H2387" s="41">
        <v>-5.1946715960985983E-2</v>
      </c>
      <c r="I2387" s="40">
        <v>394.1664145234493</v>
      </c>
      <c r="J2387" s="41">
        <v>0.1069966013269445</v>
      </c>
      <c r="K2387" s="9" t="s">
        <v>3399</v>
      </c>
    </row>
    <row r="2388" spans="1:11" x14ac:dyDescent="0.2">
      <c r="A2388" s="9" t="s">
        <v>63</v>
      </c>
      <c r="B2388" s="9" t="s">
        <v>3400</v>
      </c>
      <c r="C2388" s="9"/>
      <c r="D2388" s="9" t="s">
        <v>79</v>
      </c>
      <c r="E2388" s="38">
        <v>3021</v>
      </c>
      <c r="F2388" s="39">
        <v>1015588</v>
      </c>
      <c r="G2388" s="40">
        <v>336.17610062893078</v>
      </c>
      <c r="H2388" s="41">
        <v>-1.6655081708031781E-2</v>
      </c>
      <c r="I2388" s="40">
        <v>59.72194637537239</v>
      </c>
      <c r="J2388" s="41">
        <v>0.17765077964686471</v>
      </c>
      <c r="K2388" s="9" t="s">
        <v>3401</v>
      </c>
    </row>
    <row r="2389" spans="1:11" x14ac:dyDescent="0.2">
      <c r="A2389" s="9" t="s">
        <v>63</v>
      </c>
      <c r="B2389" s="9" t="s">
        <v>204</v>
      </c>
      <c r="C2389" s="9"/>
      <c r="D2389" s="9" t="s">
        <v>81</v>
      </c>
      <c r="E2389" s="38">
        <v>2244</v>
      </c>
      <c r="F2389" s="39">
        <v>0</v>
      </c>
      <c r="G2389" s="40"/>
      <c r="H2389" s="41"/>
      <c r="I2389" s="40">
        <v>76.80213903743315</v>
      </c>
      <c r="J2389" s="41"/>
      <c r="K2389" s="9" t="s">
        <v>3402</v>
      </c>
    </row>
    <row r="2390" spans="1:11" x14ac:dyDescent="0.2">
      <c r="A2390" s="9" t="s">
        <v>63</v>
      </c>
      <c r="B2390" s="9" t="s">
        <v>206</v>
      </c>
      <c r="C2390" s="9"/>
      <c r="D2390" s="9" t="s">
        <v>80</v>
      </c>
      <c r="E2390" s="38">
        <v>529</v>
      </c>
      <c r="F2390" s="39">
        <v>683861</v>
      </c>
      <c r="G2390" s="40">
        <v>1292.7429111531189</v>
      </c>
      <c r="H2390" s="41">
        <v>-0.1004309389137603</v>
      </c>
      <c r="I2390" s="40">
        <v>235.44045368620041</v>
      </c>
      <c r="J2390" s="41">
        <v>0.18212473002554611</v>
      </c>
      <c r="K2390" s="9" t="s">
        <v>3403</v>
      </c>
    </row>
    <row r="2391" spans="1:11" x14ac:dyDescent="0.2">
      <c r="A2391" s="9" t="s">
        <v>63</v>
      </c>
      <c r="B2391" s="9" t="s">
        <v>3404</v>
      </c>
      <c r="C2391" s="9"/>
      <c r="D2391" s="9" t="s">
        <v>78</v>
      </c>
      <c r="E2391" s="38">
        <v>200</v>
      </c>
      <c r="F2391" s="39">
        <v>575284</v>
      </c>
      <c r="G2391" s="40">
        <v>2876.42</v>
      </c>
      <c r="H2391" s="41">
        <v>8.9840080827854038E-2</v>
      </c>
      <c r="I2391" s="40">
        <v>586.08000000000004</v>
      </c>
      <c r="J2391" s="41">
        <v>0.2037532766424931</v>
      </c>
      <c r="K2391" s="9" t="s">
        <v>3405</v>
      </c>
    </row>
    <row r="2392" spans="1:11" x14ac:dyDescent="0.2">
      <c r="A2392" s="9" t="s">
        <v>63</v>
      </c>
      <c r="B2392" s="9" t="s">
        <v>208</v>
      </c>
      <c r="C2392" s="9"/>
      <c r="D2392" s="9" t="s">
        <v>78</v>
      </c>
      <c r="E2392" s="38">
        <v>949</v>
      </c>
      <c r="F2392" s="39">
        <v>446583</v>
      </c>
      <c r="G2392" s="40">
        <v>470.58271865121179</v>
      </c>
      <c r="H2392" s="41">
        <v>-0.18798369666775969</v>
      </c>
      <c r="I2392" s="40">
        <v>93.87565858798736</v>
      </c>
      <c r="J2392" s="41">
        <v>0.19948811307192621</v>
      </c>
      <c r="K2392" s="9" t="s">
        <v>3406</v>
      </c>
    </row>
    <row r="2393" spans="1:11" x14ac:dyDescent="0.2">
      <c r="A2393" s="9" t="s">
        <v>63</v>
      </c>
      <c r="B2393" s="9" t="s">
        <v>3407</v>
      </c>
      <c r="C2393" s="9"/>
      <c r="D2393" s="9" t="s">
        <v>80</v>
      </c>
      <c r="E2393" s="38">
        <v>200</v>
      </c>
      <c r="F2393" s="39">
        <v>246939</v>
      </c>
      <c r="G2393" s="40">
        <v>1234.6949999999999</v>
      </c>
      <c r="H2393" s="41">
        <v>-0.123547210169698</v>
      </c>
      <c r="I2393" s="40">
        <v>470.94</v>
      </c>
      <c r="J2393" s="41">
        <v>0.38142213259144969</v>
      </c>
      <c r="K2393" s="9" t="s">
        <v>3408</v>
      </c>
    </row>
    <row r="2394" spans="1:11" x14ac:dyDescent="0.2">
      <c r="A2394" s="9" t="s">
        <v>63</v>
      </c>
      <c r="B2394" s="9" t="s">
        <v>3409</v>
      </c>
      <c r="C2394" s="9"/>
      <c r="D2394" s="9" t="s">
        <v>83</v>
      </c>
      <c r="E2394" s="38">
        <v>90830</v>
      </c>
      <c r="F2394" s="39">
        <v>0</v>
      </c>
      <c r="G2394" s="40"/>
      <c r="H2394" s="41"/>
      <c r="I2394" s="40">
        <v>0.76996587030716723</v>
      </c>
      <c r="J2394" s="41"/>
      <c r="K2394" s="9" t="s">
        <v>3410</v>
      </c>
    </row>
    <row r="2395" spans="1:11" x14ac:dyDescent="0.2">
      <c r="A2395" s="9" t="s">
        <v>63</v>
      </c>
      <c r="B2395" s="9" t="s">
        <v>3411</v>
      </c>
      <c r="C2395" s="9"/>
      <c r="D2395" s="9" t="s">
        <v>76</v>
      </c>
      <c r="E2395" s="38">
        <v>5006</v>
      </c>
      <c r="F2395" s="39">
        <v>0</v>
      </c>
      <c r="G2395" s="40"/>
      <c r="H2395" s="41"/>
      <c r="I2395" s="40">
        <v>50.51937674790252</v>
      </c>
      <c r="J2395" s="41"/>
      <c r="K2395" s="9" t="s">
        <v>3412</v>
      </c>
    </row>
    <row r="2396" spans="1:11" x14ac:dyDescent="0.2">
      <c r="A2396" s="9" t="s">
        <v>63</v>
      </c>
      <c r="B2396" s="9" t="s">
        <v>3413</v>
      </c>
      <c r="C2396" s="9"/>
      <c r="D2396" s="9" t="s">
        <v>80</v>
      </c>
      <c r="E2396" s="38">
        <v>1509</v>
      </c>
      <c r="F2396" s="39">
        <v>582552</v>
      </c>
      <c r="G2396" s="40">
        <v>386.05168986083498</v>
      </c>
      <c r="H2396" s="41">
        <v>-1.9357843137254901E-2</v>
      </c>
      <c r="I2396" s="40">
        <v>82.74353876739562</v>
      </c>
      <c r="J2396" s="41">
        <v>0.21433279775882669</v>
      </c>
      <c r="K2396" s="9" t="s">
        <v>3414</v>
      </c>
    </row>
    <row r="2397" spans="1:11" x14ac:dyDescent="0.2">
      <c r="A2397" s="9" t="s">
        <v>63</v>
      </c>
      <c r="B2397" s="9" t="s">
        <v>768</v>
      </c>
      <c r="C2397" s="9"/>
      <c r="D2397" s="9" t="s">
        <v>77</v>
      </c>
      <c r="E2397" s="38">
        <v>15952</v>
      </c>
      <c r="F2397" s="39">
        <v>3645614</v>
      </c>
      <c r="G2397" s="40">
        <v>228.53648445336009</v>
      </c>
      <c r="H2397" s="41">
        <v>-1.148998764988078E-2</v>
      </c>
      <c r="I2397" s="40">
        <v>18.999749247743232</v>
      </c>
      <c r="J2397" s="41">
        <v>8.3136612927205131E-2</v>
      </c>
      <c r="K2397" s="9" t="s">
        <v>3415</v>
      </c>
    </row>
    <row r="2398" spans="1:11" x14ac:dyDescent="0.2">
      <c r="A2398" s="9" t="s">
        <v>63</v>
      </c>
      <c r="B2398" s="9" t="s">
        <v>1359</v>
      </c>
      <c r="C2398" s="9"/>
      <c r="D2398" s="9" t="s">
        <v>77</v>
      </c>
      <c r="E2398" s="38">
        <v>5264</v>
      </c>
      <c r="F2398" s="39">
        <v>3841473</v>
      </c>
      <c r="G2398" s="40">
        <v>729.76310790273556</v>
      </c>
      <c r="H2398" s="41">
        <v>-0.16913856110816841</v>
      </c>
      <c r="I2398" s="40">
        <v>39.800151975683889</v>
      </c>
      <c r="J2398" s="41">
        <v>5.4538454389761418E-2</v>
      </c>
      <c r="K2398" s="9" t="s">
        <v>3416</v>
      </c>
    </row>
    <row r="2399" spans="1:11" x14ac:dyDescent="0.2">
      <c r="A2399" s="9" t="s">
        <v>63</v>
      </c>
      <c r="B2399" s="9" t="s">
        <v>3417</v>
      </c>
      <c r="C2399" s="9"/>
      <c r="D2399" s="9" t="s">
        <v>83</v>
      </c>
      <c r="E2399" s="38">
        <v>1124</v>
      </c>
      <c r="F2399" s="39">
        <v>0</v>
      </c>
      <c r="G2399" s="40"/>
      <c r="H2399" s="41"/>
      <c r="I2399" s="40">
        <v>64.62277580071175</v>
      </c>
      <c r="J2399" s="41"/>
      <c r="K2399" s="9" t="s">
        <v>3418</v>
      </c>
    </row>
    <row r="2400" spans="1:11" x14ac:dyDescent="0.2">
      <c r="A2400" s="9" t="s">
        <v>63</v>
      </c>
      <c r="B2400" s="9" t="s">
        <v>3419</v>
      </c>
      <c r="C2400" s="9"/>
      <c r="D2400" s="9" t="s">
        <v>76</v>
      </c>
      <c r="E2400" s="38">
        <v>3280</v>
      </c>
      <c r="F2400" s="39">
        <v>1016132</v>
      </c>
      <c r="G2400" s="40">
        <v>309.79634146341459</v>
      </c>
      <c r="H2400" s="41">
        <v>-9.8475169053206885E-2</v>
      </c>
      <c r="I2400" s="40">
        <v>72.248780487804879</v>
      </c>
      <c r="J2400" s="41">
        <v>0.2332137950581224</v>
      </c>
      <c r="K2400" s="9" t="s">
        <v>3420</v>
      </c>
    </row>
    <row r="2401" spans="1:11" x14ac:dyDescent="0.2">
      <c r="A2401" s="9" t="s">
        <v>63</v>
      </c>
      <c r="B2401" s="9" t="s">
        <v>1477</v>
      </c>
      <c r="C2401" s="9"/>
      <c r="D2401" s="9" t="s">
        <v>85</v>
      </c>
      <c r="E2401" s="38">
        <v>8568</v>
      </c>
      <c r="F2401" s="39">
        <v>3085575</v>
      </c>
      <c r="G2401" s="40">
        <v>360.12780112044823</v>
      </c>
      <c r="H2401" s="41">
        <v>0.1171640906293089</v>
      </c>
      <c r="I2401" s="40">
        <v>31.929971988795518</v>
      </c>
      <c r="J2401" s="41">
        <v>8.8662891033275806E-2</v>
      </c>
      <c r="K2401" s="9" t="s">
        <v>3421</v>
      </c>
    </row>
    <row r="2402" spans="1:11" x14ac:dyDescent="0.2">
      <c r="A2402" s="9" t="s">
        <v>63</v>
      </c>
      <c r="B2402" s="9" t="s">
        <v>449</v>
      </c>
      <c r="C2402" s="9"/>
      <c r="D2402" s="9" t="s">
        <v>81</v>
      </c>
      <c r="E2402" s="38">
        <v>2400</v>
      </c>
      <c r="F2402" s="39">
        <v>1182262</v>
      </c>
      <c r="G2402" s="40">
        <v>492.60916666666668</v>
      </c>
      <c r="H2402" s="41">
        <v>-2.3333611833326849E-2</v>
      </c>
      <c r="I2402" s="40">
        <v>71.16</v>
      </c>
      <c r="J2402" s="41">
        <v>0.14445528994419171</v>
      </c>
      <c r="K2402" s="9" t="s">
        <v>3422</v>
      </c>
    </row>
    <row r="2403" spans="1:11" x14ac:dyDescent="0.2">
      <c r="A2403" s="9" t="s">
        <v>63</v>
      </c>
      <c r="B2403" s="9" t="s">
        <v>235</v>
      </c>
      <c r="C2403" s="9"/>
      <c r="D2403" s="9" t="s">
        <v>77</v>
      </c>
      <c r="E2403" s="38">
        <v>8000</v>
      </c>
      <c r="F2403" s="39">
        <v>5393306</v>
      </c>
      <c r="G2403" s="40">
        <v>674.16324999999995</v>
      </c>
      <c r="H2403" s="41">
        <v>6.2884916703727381E-2</v>
      </c>
      <c r="I2403" s="40">
        <v>65.350499999999997</v>
      </c>
      <c r="J2403" s="41">
        <v>9.6935719946170312E-2</v>
      </c>
      <c r="K2403" s="9" t="s">
        <v>3423</v>
      </c>
    </row>
    <row r="2404" spans="1:11" x14ac:dyDescent="0.2">
      <c r="A2404" s="9" t="s">
        <v>63</v>
      </c>
      <c r="B2404" s="9" t="s">
        <v>243</v>
      </c>
      <c r="C2404" s="9"/>
      <c r="D2404" s="9" t="s">
        <v>82</v>
      </c>
      <c r="E2404" s="38">
        <v>1455</v>
      </c>
      <c r="F2404" s="39">
        <v>1294993</v>
      </c>
      <c r="G2404" s="40">
        <v>890.02955326460483</v>
      </c>
      <c r="H2404" s="41">
        <v>-5.4083496152159183E-2</v>
      </c>
      <c r="I2404" s="40">
        <v>87.488659793814435</v>
      </c>
      <c r="J2404" s="41">
        <v>9.8298600841857833E-2</v>
      </c>
      <c r="K2404" s="9" t="s">
        <v>3424</v>
      </c>
    </row>
    <row r="2405" spans="1:11" x14ac:dyDescent="0.2">
      <c r="A2405" s="9" t="s">
        <v>63</v>
      </c>
      <c r="B2405" s="9" t="s">
        <v>3425</v>
      </c>
      <c r="C2405" s="9"/>
      <c r="D2405" s="9" t="s">
        <v>80</v>
      </c>
      <c r="E2405" s="38">
        <v>672</v>
      </c>
      <c r="F2405" s="39">
        <v>608716</v>
      </c>
      <c r="G2405" s="40">
        <v>905.82738095238096</v>
      </c>
      <c r="H2405" s="41">
        <v>-0.47770173145064448</v>
      </c>
      <c r="I2405" s="40">
        <v>187.51785714285711</v>
      </c>
      <c r="J2405" s="41">
        <v>0.2070127941437386</v>
      </c>
      <c r="K2405" s="9" t="s">
        <v>3426</v>
      </c>
    </row>
    <row r="2406" spans="1:11" x14ac:dyDescent="0.2">
      <c r="A2406" s="9" t="s">
        <v>63</v>
      </c>
      <c r="B2406" s="9" t="s">
        <v>245</v>
      </c>
      <c r="C2406" s="9"/>
      <c r="D2406" s="9" t="s">
        <v>79</v>
      </c>
      <c r="E2406" s="38">
        <v>1455</v>
      </c>
      <c r="F2406" s="39">
        <v>660310</v>
      </c>
      <c r="G2406" s="40">
        <v>453.82130584192441</v>
      </c>
      <c r="H2406" s="41">
        <v>-0.11459418205463071</v>
      </c>
      <c r="I2406" s="40">
        <v>96.989690721649481</v>
      </c>
      <c r="J2406" s="41">
        <v>0.21371779921552</v>
      </c>
      <c r="K2406" s="9" t="s">
        <v>3427</v>
      </c>
    </row>
    <row r="2407" spans="1:11" x14ac:dyDescent="0.2">
      <c r="A2407" s="9" t="s">
        <v>63</v>
      </c>
      <c r="B2407" s="9" t="s">
        <v>3428</v>
      </c>
      <c r="C2407" s="9"/>
      <c r="D2407" s="9" t="s">
        <v>78</v>
      </c>
      <c r="E2407" s="38">
        <v>200</v>
      </c>
      <c r="F2407" s="39">
        <v>528180</v>
      </c>
      <c r="G2407" s="40">
        <v>2640.9</v>
      </c>
      <c r="H2407" s="41">
        <v>1.090789220261641E-3</v>
      </c>
      <c r="I2407" s="40">
        <v>750.24</v>
      </c>
      <c r="J2407" s="41">
        <v>0.2840849710326025</v>
      </c>
      <c r="K2407" s="9" t="s">
        <v>3429</v>
      </c>
    </row>
    <row r="2408" spans="1:11" x14ac:dyDescent="0.2">
      <c r="A2408" s="9" t="s">
        <v>63</v>
      </c>
      <c r="B2408" s="9" t="s">
        <v>3430</v>
      </c>
      <c r="C2408" s="9"/>
      <c r="D2408" s="9" t="s">
        <v>78</v>
      </c>
      <c r="E2408" s="38">
        <v>200</v>
      </c>
      <c r="F2408" s="39">
        <v>251404</v>
      </c>
      <c r="G2408" s="40">
        <v>1257.02</v>
      </c>
      <c r="H2408" s="41">
        <v>-0.36962310937701992</v>
      </c>
      <c r="I2408" s="40">
        <v>554.52</v>
      </c>
      <c r="J2408" s="41">
        <v>0.44113856581438637</v>
      </c>
      <c r="K2408" s="9" t="s">
        <v>3431</v>
      </c>
    </row>
    <row r="2409" spans="1:11" x14ac:dyDescent="0.2">
      <c r="A2409" s="9" t="s">
        <v>63</v>
      </c>
      <c r="B2409" s="9" t="s">
        <v>3432</v>
      </c>
      <c r="C2409" s="9"/>
      <c r="D2409" s="9" t="s">
        <v>81</v>
      </c>
      <c r="E2409" s="38">
        <v>862</v>
      </c>
      <c r="F2409" s="39">
        <v>884341</v>
      </c>
      <c r="G2409" s="40">
        <v>1025.917633410673</v>
      </c>
      <c r="H2409" s="41">
        <v>4.9798175965405742E-2</v>
      </c>
      <c r="I2409" s="40">
        <v>115.2389791183295</v>
      </c>
      <c r="J2409" s="41">
        <v>0.11232771069078561</v>
      </c>
      <c r="K2409" s="9" t="s">
        <v>3433</v>
      </c>
    </row>
    <row r="2410" spans="1:11" x14ac:dyDescent="0.2">
      <c r="A2410" s="9" t="s">
        <v>63</v>
      </c>
      <c r="B2410" s="9" t="s">
        <v>3434</v>
      </c>
      <c r="C2410" s="9"/>
      <c r="D2410" s="9" t="s">
        <v>78</v>
      </c>
      <c r="E2410" s="38">
        <v>1601</v>
      </c>
      <c r="F2410" s="39">
        <v>1095986</v>
      </c>
      <c r="G2410" s="40">
        <v>684.56339787632726</v>
      </c>
      <c r="H2410" s="41">
        <v>-4.188050885438812E-2</v>
      </c>
      <c r="I2410" s="40">
        <v>129.97626483447851</v>
      </c>
      <c r="J2410" s="41">
        <v>0.1898673888170104</v>
      </c>
      <c r="K2410" s="9" t="s">
        <v>3435</v>
      </c>
    </row>
    <row r="2411" spans="1:11" x14ac:dyDescent="0.2">
      <c r="A2411" s="9" t="s">
        <v>63</v>
      </c>
      <c r="B2411" s="9" t="s">
        <v>247</v>
      </c>
      <c r="C2411" s="9"/>
      <c r="D2411" s="9" t="s">
        <v>76</v>
      </c>
      <c r="E2411" s="38">
        <v>20000</v>
      </c>
      <c r="F2411" s="39">
        <v>4006153</v>
      </c>
      <c r="G2411" s="40">
        <v>200.30765</v>
      </c>
      <c r="H2411" s="41">
        <v>-0.111475360846928</v>
      </c>
      <c r="I2411" s="40">
        <v>16.024799999999999</v>
      </c>
      <c r="J2411" s="41">
        <v>8.0000938556265819E-2</v>
      </c>
      <c r="K2411" s="9" t="s">
        <v>3436</v>
      </c>
    </row>
    <row r="2412" spans="1:11" x14ac:dyDescent="0.2">
      <c r="A2412" s="9" t="s">
        <v>63</v>
      </c>
      <c r="B2412" s="9" t="s">
        <v>3437</v>
      </c>
      <c r="C2412" s="9"/>
      <c r="D2412" s="9" t="s">
        <v>79</v>
      </c>
      <c r="E2412" s="38">
        <v>1500</v>
      </c>
      <c r="F2412" s="39">
        <v>150276</v>
      </c>
      <c r="G2412" s="40">
        <v>100.184</v>
      </c>
      <c r="H2412" s="41">
        <v>9.2353939323015707E-2</v>
      </c>
      <c r="I2412" s="40">
        <v>32.783999999999999</v>
      </c>
      <c r="J2412" s="41">
        <v>0.3272378822965743</v>
      </c>
      <c r="K2412" s="9" t="s">
        <v>3438</v>
      </c>
    </row>
    <row r="2413" spans="1:11" x14ac:dyDescent="0.2">
      <c r="A2413" s="9" t="s">
        <v>63</v>
      </c>
      <c r="B2413" s="9" t="s">
        <v>3439</v>
      </c>
      <c r="C2413" s="9"/>
      <c r="D2413" s="9" t="s">
        <v>81</v>
      </c>
      <c r="E2413" s="38">
        <v>4000</v>
      </c>
      <c r="F2413" s="39">
        <v>2423437</v>
      </c>
      <c r="G2413" s="40">
        <v>605.85924999999997</v>
      </c>
      <c r="H2413" s="41">
        <v>0.12661107353020409</v>
      </c>
      <c r="I2413" s="40">
        <v>48.831000000000003</v>
      </c>
      <c r="J2413" s="41">
        <v>8.0597927653988946E-2</v>
      </c>
      <c r="K2413" s="9" t="s">
        <v>3440</v>
      </c>
    </row>
    <row r="2414" spans="1:11" x14ac:dyDescent="0.2">
      <c r="A2414" s="9" t="s">
        <v>63</v>
      </c>
      <c r="B2414" s="9" t="s">
        <v>3441</v>
      </c>
      <c r="C2414" s="9"/>
      <c r="D2414" s="9" t="s">
        <v>84</v>
      </c>
      <c r="E2414" s="38">
        <v>1519</v>
      </c>
      <c r="F2414" s="39">
        <v>462693</v>
      </c>
      <c r="G2414" s="40">
        <v>304.60368663594471</v>
      </c>
      <c r="H2414" s="41">
        <v>6.1191938429983481E-2</v>
      </c>
      <c r="I2414" s="40">
        <v>83.69980250164582</v>
      </c>
      <c r="J2414" s="41">
        <v>0.27478263124793328</v>
      </c>
      <c r="K2414" s="9" t="s">
        <v>3442</v>
      </c>
    </row>
    <row r="2415" spans="1:11" x14ac:dyDescent="0.2">
      <c r="A2415" s="9" t="s">
        <v>63</v>
      </c>
      <c r="B2415" s="9" t="s">
        <v>3443</v>
      </c>
      <c r="C2415" s="9"/>
      <c r="D2415" s="9" t="s">
        <v>80</v>
      </c>
      <c r="E2415" s="38">
        <v>209</v>
      </c>
      <c r="F2415" s="39">
        <v>406323</v>
      </c>
      <c r="G2415" s="40">
        <v>1944.129186602871</v>
      </c>
      <c r="H2415" s="41">
        <v>0.17573260364631391</v>
      </c>
      <c r="I2415" s="40">
        <v>298.16267942583733</v>
      </c>
      <c r="J2415" s="41">
        <v>0.1533656721376836</v>
      </c>
      <c r="K2415" s="9" t="s">
        <v>3444</v>
      </c>
    </row>
    <row r="2416" spans="1:11" x14ac:dyDescent="0.2">
      <c r="A2416" s="9" t="s">
        <v>63</v>
      </c>
      <c r="B2416" s="9" t="s">
        <v>3443</v>
      </c>
      <c r="C2416" s="9"/>
      <c r="D2416" s="9" t="s">
        <v>80</v>
      </c>
      <c r="E2416" s="38">
        <v>379</v>
      </c>
      <c r="F2416" s="39">
        <v>415024</v>
      </c>
      <c r="G2416" s="40">
        <v>1095.0501319261209</v>
      </c>
      <c r="H2416" s="41">
        <v>0.13521373500732831</v>
      </c>
      <c r="I2416" s="40">
        <v>187.15567282321899</v>
      </c>
      <c r="J2416" s="41">
        <v>0.17091059794132391</v>
      </c>
      <c r="K2416" s="9" t="s">
        <v>3444</v>
      </c>
    </row>
    <row r="2417" spans="1:11" x14ac:dyDescent="0.2">
      <c r="A2417" s="9" t="s">
        <v>63</v>
      </c>
      <c r="B2417" s="9" t="s">
        <v>3445</v>
      </c>
      <c r="C2417" s="9"/>
      <c r="D2417" s="9" t="s">
        <v>78</v>
      </c>
      <c r="E2417" s="38">
        <v>200</v>
      </c>
      <c r="F2417" s="39">
        <v>317217</v>
      </c>
      <c r="G2417" s="40">
        <v>1586.085</v>
      </c>
      <c r="H2417" s="41"/>
      <c r="I2417" s="40">
        <v>467.1</v>
      </c>
      <c r="J2417" s="41">
        <v>0.29449871854282722</v>
      </c>
      <c r="K2417" s="9" t="s">
        <v>3446</v>
      </c>
    </row>
    <row r="2418" spans="1:11" x14ac:dyDescent="0.2">
      <c r="A2418" s="9" t="s">
        <v>63</v>
      </c>
      <c r="B2418" s="9" t="s">
        <v>479</v>
      </c>
      <c r="C2418" s="9"/>
      <c r="D2418" s="9" t="s">
        <v>77</v>
      </c>
      <c r="E2418" s="38">
        <v>7064</v>
      </c>
      <c r="F2418" s="39">
        <v>4426570</v>
      </c>
      <c r="G2418" s="40">
        <v>626.6378822197056</v>
      </c>
      <c r="H2418" s="41">
        <v>4.0089178600294657E-2</v>
      </c>
      <c r="I2418" s="40">
        <v>90.07984144960362</v>
      </c>
      <c r="J2418" s="41">
        <v>0.14375103070774889</v>
      </c>
      <c r="K2418" s="9" t="s">
        <v>3447</v>
      </c>
    </row>
    <row r="2419" spans="1:11" x14ac:dyDescent="0.2">
      <c r="A2419" s="9" t="s">
        <v>63</v>
      </c>
      <c r="B2419" s="9" t="s">
        <v>271</v>
      </c>
      <c r="C2419" s="9"/>
      <c r="D2419" s="9" t="s">
        <v>78</v>
      </c>
      <c r="E2419" s="38">
        <v>1927</v>
      </c>
      <c r="F2419" s="39">
        <v>757088</v>
      </c>
      <c r="G2419" s="40">
        <v>392.8842760768033</v>
      </c>
      <c r="H2419" s="41">
        <v>-9.6472329347456323E-2</v>
      </c>
      <c r="I2419" s="40">
        <v>77.286974571873372</v>
      </c>
      <c r="J2419" s="41">
        <v>0.19671689420516511</v>
      </c>
      <c r="K2419" s="9" t="s">
        <v>3448</v>
      </c>
    </row>
    <row r="2420" spans="1:11" x14ac:dyDescent="0.2">
      <c r="A2420" s="9" t="s">
        <v>63</v>
      </c>
      <c r="B2420" s="9" t="s">
        <v>273</v>
      </c>
      <c r="C2420" s="9"/>
      <c r="D2420" s="9" t="s">
        <v>80</v>
      </c>
      <c r="E2420" s="38">
        <v>709</v>
      </c>
      <c r="F2420" s="39">
        <v>1083722</v>
      </c>
      <c r="G2420" s="40">
        <v>1528.5218617771509</v>
      </c>
      <c r="H2420" s="41">
        <v>-0.1800428168949349</v>
      </c>
      <c r="I2420" s="40">
        <v>264.57545839210161</v>
      </c>
      <c r="J2420" s="41">
        <v>0.17309236132513689</v>
      </c>
      <c r="K2420" s="9" t="s">
        <v>3449</v>
      </c>
    </row>
    <row r="2421" spans="1:11" x14ac:dyDescent="0.2">
      <c r="A2421" s="9" t="s">
        <v>63</v>
      </c>
      <c r="B2421" s="9" t="s">
        <v>487</v>
      </c>
      <c r="C2421" s="9"/>
      <c r="D2421" s="9" t="s">
        <v>77</v>
      </c>
      <c r="E2421" s="38">
        <v>4400</v>
      </c>
      <c r="F2421" s="39">
        <v>2808661</v>
      </c>
      <c r="G2421" s="40">
        <v>638.33204545454544</v>
      </c>
      <c r="H2421" s="41">
        <v>1.7167252340593221E-2</v>
      </c>
      <c r="I2421" s="40">
        <v>81.99</v>
      </c>
      <c r="J2421" s="41">
        <v>0.12844412337409181</v>
      </c>
      <c r="K2421" s="9" t="s">
        <v>3450</v>
      </c>
    </row>
    <row r="2422" spans="1:11" x14ac:dyDescent="0.2">
      <c r="A2422" s="9" t="s">
        <v>63</v>
      </c>
      <c r="B2422" s="9" t="s">
        <v>3451</v>
      </c>
      <c r="C2422" s="9"/>
      <c r="D2422" s="9" t="s">
        <v>76</v>
      </c>
      <c r="E2422" s="38">
        <v>8364</v>
      </c>
      <c r="F2422" s="39">
        <v>0</v>
      </c>
      <c r="G2422" s="40"/>
      <c r="H2422" s="41"/>
      <c r="I2422" s="40">
        <v>17.490674318507889</v>
      </c>
      <c r="J2422" s="41"/>
      <c r="K2422" s="9" t="s">
        <v>3452</v>
      </c>
    </row>
    <row r="2423" spans="1:11" x14ac:dyDescent="0.2">
      <c r="A2423" s="9" t="s">
        <v>63</v>
      </c>
      <c r="B2423" s="9" t="s">
        <v>3453</v>
      </c>
      <c r="C2423" s="9"/>
      <c r="D2423" s="9" t="s">
        <v>80</v>
      </c>
      <c r="E2423" s="38">
        <v>4331</v>
      </c>
      <c r="F2423" s="39">
        <v>0</v>
      </c>
      <c r="G2423" s="40"/>
      <c r="H2423" s="41"/>
      <c r="I2423" s="40">
        <v>23.878088201339182</v>
      </c>
      <c r="J2423" s="41"/>
      <c r="K2423" s="9" t="s">
        <v>3454</v>
      </c>
    </row>
    <row r="2424" spans="1:11" x14ac:dyDescent="0.2">
      <c r="A2424" s="9" t="s">
        <v>63</v>
      </c>
      <c r="B2424" s="9" t="s">
        <v>3455</v>
      </c>
      <c r="C2424" s="9"/>
      <c r="D2424" s="9" t="s">
        <v>82</v>
      </c>
      <c r="E2424" s="38">
        <v>3887</v>
      </c>
      <c r="F2424" s="39">
        <v>605914</v>
      </c>
      <c r="G2424" s="40">
        <v>155.88217134036529</v>
      </c>
      <c r="H2424" s="41">
        <v>4.6194273905541511E-2</v>
      </c>
      <c r="I2424" s="40">
        <v>41.550810393619763</v>
      </c>
      <c r="J2424" s="41">
        <v>0.26655267909307262</v>
      </c>
      <c r="K2424" s="9" t="s">
        <v>3456</v>
      </c>
    </row>
    <row r="2425" spans="1:11" x14ac:dyDescent="0.2">
      <c r="A2425" s="9" t="s">
        <v>63</v>
      </c>
      <c r="B2425" s="9" t="s">
        <v>1389</v>
      </c>
      <c r="C2425" s="9"/>
      <c r="D2425" s="9" t="s">
        <v>79</v>
      </c>
      <c r="E2425" s="38">
        <v>120</v>
      </c>
      <c r="F2425" s="39">
        <v>274572</v>
      </c>
      <c r="G2425" s="40">
        <v>2288.1</v>
      </c>
      <c r="H2425" s="41">
        <v>-1.1930836164252929E-2</v>
      </c>
      <c r="I2425" s="40">
        <v>958.3</v>
      </c>
      <c r="J2425" s="41">
        <v>0.41881910755648788</v>
      </c>
      <c r="K2425" s="9" t="s">
        <v>3457</v>
      </c>
    </row>
    <row r="2426" spans="1:11" x14ac:dyDescent="0.2">
      <c r="A2426" s="9" t="s">
        <v>63</v>
      </c>
      <c r="B2426" s="9" t="s">
        <v>3458</v>
      </c>
      <c r="C2426" s="9"/>
      <c r="D2426" s="9" t="s">
        <v>80</v>
      </c>
      <c r="E2426" s="38">
        <v>200</v>
      </c>
      <c r="F2426" s="39">
        <v>228085</v>
      </c>
      <c r="G2426" s="40">
        <v>1140.425</v>
      </c>
      <c r="H2426" s="41">
        <v>8.8284505547821905E-3</v>
      </c>
      <c r="I2426" s="40">
        <v>371.34</v>
      </c>
      <c r="J2426" s="41">
        <v>0.32561545038034068</v>
      </c>
      <c r="K2426" s="9" t="s">
        <v>3459</v>
      </c>
    </row>
    <row r="2427" spans="1:11" x14ac:dyDescent="0.2">
      <c r="A2427" s="9" t="s">
        <v>63</v>
      </c>
      <c r="B2427" s="9" t="s">
        <v>3460</v>
      </c>
      <c r="C2427" s="9"/>
      <c r="D2427" s="9" t="s">
        <v>76</v>
      </c>
      <c r="E2427" s="38">
        <v>3562</v>
      </c>
      <c r="F2427" s="39">
        <v>658602</v>
      </c>
      <c r="G2427" s="40">
        <v>184.89668725435149</v>
      </c>
      <c r="H2427" s="41">
        <v>-3.6176514420398792E-2</v>
      </c>
      <c r="I2427" s="40">
        <v>49.027512633352053</v>
      </c>
      <c r="J2427" s="41">
        <v>0.26516166060837959</v>
      </c>
      <c r="K2427" s="9" t="s">
        <v>3461</v>
      </c>
    </row>
    <row r="2428" spans="1:11" x14ac:dyDescent="0.2">
      <c r="A2428" s="9" t="s">
        <v>63</v>
      </c>
      <c r="B2428" s="9" t="s">
        <v>277</v>
      </c>
      <c r="C2428" s="9"/>
      <c r="D2428" s="9" t="s">
        <v>76</v>
      </c>
      <c r="E2428" s="38">
        <v>1681</v>
      </c>
      <c r="F2428" s="39">
        <v>990630</v>
      </c>
      <c r="G2428" s="40">
        <v>589.3099345627603</v>
      </c>
      <c r="H2428" s="41">
        <v>-3.0636195793673181E-2</v>
      </c>
      <c r="I2428" s="40">
        <v>71.179060083283758</v>
      </c>
      <c r="J2428" s="41">
        <v>0.1207837436782653</v>
      </c>
      <c r="K2428" s="9" t="s">
        <v>3462</v>
      </c>
    </row>
    <row r="2429" spans="1:11" x14ac:dyDescent="0.2">
      <c r="A2429" s="9" t="s">
        <v>63</v>
      </c>
      <c r="B2429" s="9" t="s">
        <v>502</v>
      </c>
      <c r="C2429" s="9"/>
      <c r="D2429" s="9" t="s">
        <v>86</v>
      </c>
      <c r="E2429" s="38">
        <v>195655</v>
      </c>
      <c r="F2429" s="39">
        <v>27729220</v>
      </c>
      <c r="G2429" s="40">
        <v>141.72507730443891</v>
      </c>
      <c r="H2429" s="41">
        <v>-2.0916806706871641E-2</v>
      </c>
      <c r="I2429" s="40">
        <v>5.6523983542459941</v>
      </c>
      <c r="J2429" s="41">
        <v>3.9882838392136528E-2</v>
      </c>
      <c r="K2429" s="9" t="s">
        <v>3463</v>
      </c>
    </row>
    <row r="2430" spans="1:11" x14ac:dyDescent="0.2">
      <c r="A2430" s="9" t="s">
        <v>63</v>
      </c>
      <c r="B2430" s="9" t="s">
        <v>3464</v>
      </c>
      <c r="C2430" s="9"/>
      <c r="D2430" s="9" t="s">
        <v>76</v>
      </c>
      <c r="E2430" s="38">
        <v>4453</v>
      </c>
      <c r="F2430" s="39">
        <v>795768</v>
      </c>
      <c r="G2430" s="40">
        <v>178.70379519425109</v>
      </c>
      <c r="H2430" s="41">
        <v>-0.1279420976574856</v>
      </c>
      <c r="I2430" s="40">
        <v>56.750056141926791</v>
      </c>
      <c r="J2430" s="41">
        <v>0.31756491841843348</v>
      </c>
      <c r="K2430" s="9" t="s">
        <v>3465</v>
      </c>
    </row>
    <row r="2431" spans="1:11" x14ac:dyDescent="0.2">
      <c r="A2431" s="9" t="s">
        <v>63</v>
      </c>
      <c r="B2431" s="9" t="s">
        <v>3466</v>
      </c>
      <c r="C2431" s="9"/>
      <c r="D2431" s="9" t="s">
        <v>76</v>
      </c>
      <c r="E2431" s="38">
        <v>35000</v>
      </c>
      <c r="F2431" s="39">
        <v>12679482</v>
      </c>
      <c r="G2431" s="40">
        <v>362.2709142857143</v>
      </c>
      <c r="H2431" s="41">
        <v>2.8952163022506111E-2</v>
      </c>
      <c r="I2431" s="40">
        <v>10.999999999999989</v>
      </c>
      <c r="J2431" s="41">
        <v>3.036401644799051E-2</v>
      </c>
      <c r="K2431" s="9" t="s">
        <v>3467</v>
      </c>
    </row>
    <row r="2432" spans="1:11" x14ac:dyDescent="0.2">
      <c r="A2432" s="9" t="s">
        <v>63</v>
      </c>
      <c r="B2432" s="9" t="s">
        <v>2698</v>
      </c>
      <c r="C2432" s="9"/>
      <c r="D2432" s="9" t="s">
        <v>81</v>
      </c>
      <c r="E2432" s="38">
        <v>470</v>
      </c>
      <c r="F2432" s="39">
        <v>2143185</v>
      </c>
      <c r="G2432" s="40">
        <v>4559.9680851063831</v>
      </c>
      <c r="H2432" s="41">
        <v>-2.503921462450277E-2</v>
      </c>
      <c r="I2432" s="40">
        <v>666.58723404255318</v>
      </c>
      <c r="J2432" s="41">
        <v>0.14618243408758461</v>
      </c>
      <c r="K2432" s="9" t="s">
        <v>3468</v>
      </c>
    </row>
    <row r="2433" spans="1:11" x14ac:dyDescent="0.2">
      <c r="A2433" s="9" t="s">
        <v>63</v>
      </c>
      <c r="B2433" s="9" t="s">
        <v>3469</v>
      </c>
      <c r="C2433" s="9"/>
      <c r="D2433" s="9" t="s">
        <v>84</v>
      </c>
      <c r="E2433" s="38">
        <v>120</v>
      </c>
      <c r="F2433" s="39">
        <v>130460</v>
      </c>
      <c r="G2433" s="40">
        <v>1087.166666666667</v>
      </c>
      <c r="H2433" s="41">
        <v>0.11410966074005929</v>
      </c>
      <c r="I2433" s="40">
        <v>526</v>
      </c>
      <c r="J2433" s="41">
        <v>0.48382646021769132</v>
      </c>
      <c r="K2433" s="9" t="s">
        <v>3470</v>
      </c>
    </row>
    <row r="2434" spans="1:11" x14ac:dyDescent="0.2">
      <c r="A2434" s="9" t="s">
        <v>63</v>
      </c>
      <c r="B2434" s="9" t="s">
        <v>1399</v>
      </c>
      <c r="C2434" s="9"/>
      <c r="D2434" s="9" t="s">
        <v>84</v>
      </c>
      <c r="E2434" s="38">
        <v>100</v>
      </c>
      <c r="F2434" s="39">
        <v>230863</v>
      </c>
      <c r="G2434" s="40">
        <v>2308.63</v>
      </c>
      <c r="H2434" s="41">
        <v>2.680561690412845E-2</v>
      </c>
      <c r="I2434" s="40">
        <v>914.16</v>
      </c>
      <c r="J2434" s="41">
        <v>0.39597510211683978</v>
      </c>
      <c r="K2434" s="9" t="s">
        <v>3471</v>
      </c>
    </row>
    <row r="2435" spans="1:11" x14ac:dyDescent="0.2">
      <c r="A2435" s="9" t="s">
        <v>63</v>
      </c>
      <c r="B2435" s="9" t="s">
        <v>3472</v>
      </c>
      <c r="C2435" s="9"/>
      <c r="D2435" s="9" t="s">
        <v>78</v>
      </c>
      <c r="E2435" s="38">
        <v>192</v>
      </c>
      <c r="F2435" s="39">
        <v>340844</v>
      </c>
      <c r="G2435" s="40">
        <v>1775.229166666667</v>
      </c>
      <c r="H2435" s="41"/>
      <c r="I2435" s="40">
        <v>494.8125</v>
      </c>
      <c r="J2435" s="41">
        <v>0.27873161915715111</v>
      </c>
      <c r="K2435" s="9" t="s">
        <v>3473</v>
      </c>
    </row>
    <row r="2436" spans="1:11" x14ac:dyDescent="0.2">
      <c r="A2436" s="9" t="s">
        <v>63</v>
      </c>
      <c r="B2436" s="9" t="s">
        <v>3474</v>
      </c>
      <c r="C2436" s="9"/>
      <c r="D2436" s="9" t="s">
        <v>79</v>
      </c>
      <c r="E2436" s="38">
        <v>2161</v>
      </c>
      <c r="F2436" s="39">
        <v>809359</v>
      </c>
      <c r="G2436" s="40">
        <v>374.52984729292001</v>
      </c>
      <c r="H2436" s="41">
        <v>-0.1094823580306071</v>
      </c>
      <c r="I2436" s="40">
        <v>87.498380379453963</v>
      </c>
      <c r="J2436" s="41">
        <v>0.2336219156147025</v>
      </c>
      <c r="K2436" s="9" t="s">
        <v>3475</v>
      </c>
    </row>
    <row r="2437" spans="1:11" x14ac:dyDescent="0.2">
      <c r="A2437" s="9" t="s">
        <v>63</v>
      </c>
      <c r="B2437" s="9" t="s">
        <v>1149</v>
      </c>
      <c r="C2437" s="9"/>
      <c r="D2437" s="9" t="s">
        <v>76</v>
      </c>
      <c r="E2437" s="38">
        <v>14391</v>
      </c>
      <c r="F2437" s="39">
        <v>3264374</v>
      </c>
      <c r="G2437" s="40">
        <v>226.83441039538599</v>
      </c>
      <c r="H2437" s="41">
        <v>-5.9547753698389043E-2</v>
      </c>
      <c r="I2437" s="40">
        <v>22.499895768188448</v>
      </c>
      <c r="J2437" s="41">
        <v>9.9190840265239222E-2</v>
      </c>
      <c r="K2437" s="9" t="s">
        <v>3476</v>
      </c>
    </row>
    <row r="2438" spans="1:11" x14ac:dyDescent="0.2">
      <c r="A2438" s="9" t="s">
        <v>63</v>
      </c>
      <c r="B2438" s="9" t="s">
        <v>3477</v>
      </c>
      <c r="C2438" s="9"/>
      <c r="D2438" s="9" t="s">
        <v>76</v>
      </c>
      <c r="E2438" s="38">
        <v>5303</v>
      </c>
      <c r="F2438" s="39">
        <v>1689314</v>
      </c>
      <c r="G2438" s="40">
        <v>318.5581746181407</v>
      </c>
      <c r="H2438" s="41">
        <v>-0.23294936821051701</v>
      </c>
      <c r="I2438" s="40">
        <v>45.259664340939089</v>
      </c>
      <c r="J2438" s="41">
        <v>0.1420766062437179</v>
      </c>
      <c r="K2438" s="9" t="s">
        <v>3478</v>
      </c>
    </row>
    <row r="2439" spans="1:11" x14ac:dyDescent="0.2">
      <c r="A2439" s="9" t="s">
        <v>63</v>
      </c>
      <c r="B2439" s="9" t="s">
        <v>3479</v>
      </c>
      <c r="C2439" s="9"/>
      <c r="D2439" s="9" t="s">
        <v>84</v>
      </c>
      <c r="E2439" s="38">
        <v>733</v>
      </c>
      <c r="F2439" s="39">
        <v>251818</v>
      </c>
      <c r="G2439" s="40">
        <v>343.54433833560711</v>
      </c>
      <c r="H2439" s="41">
        <v>5.5218892159486208E-2</v>
      </c>
      <c r="I2439" s="40">
        <v>125.1405184174625</v>
      </c>
      <c r="J2439" s="41">
        <v>0.36426307889030968</v>
      </c>
      <c r="K2439" s="9" t="s">
        <v>3480</v>
      </c>
    </row>
    <row r="2440" spans="1:11" x14ac:dyDescent="0.2">
      <c r="A2440" s="9" t="s">
        <v>63</v>
      </c>
      <c r="B2440" s="9" t="s">
        <v>3481</v>
      </c>
      <c r="C2440" s="9"/>
      <c r="D2440" s="9" t="s">
        <v>83</v>
      </c>
      <c r="E2440" s="38">
        <v>1047</v>
      </c>
      <c r="F2440" s="39">
        <v>159506</v>
      </c>
      <c r="G2440" s="40">
        <v>152.34574976122249</v>
      </c>
      <c r="H2440" s="41">
        <v>4.636817968393226E-2</v>
      </c>
      <c r="I2440" s="40">
        <v>82.704871060171925</v>
      </c>
      <c r="J2440" s="41">
        <v>0.54287613005153412</v>
      </c>
      <c r="K2440" s="9" t="s">
        <v>3482</v>
      </c>
    </row>
    <row r="2441" spans="1:11" x14ac:dyDescent="0.2">
      <c r="A2441" s="9" t="s">
        <v>63</v>
      </c>
      <c r="B2441" s="9" t="s">
        <v>3483</v>
      </c>
      <c r="C2441" s="9"/>
      <c r="D2441" s="9" t="s">
        <v>85</v>
      </c>
      <c r="E2441" s="38">
        <v>24331</v>
      </c>
      <c r="F2441" s="39">
        <v>0</v>
      </c>
      <c r="G2441" s="40"/>
      <c r="H2441" s="41"/>
      <c r="I2441" s="40">
        <v>19.380214541120381</v>
      </c>
      <c r="J2441" s="41"/>
      <c r="K2441" s="9" t="s">
        <v>3484</v>
      </c>
    </row>
    <row r="2442" spans="1:11" x14ac:dyDescent="0.2">
      <c r="A2442" s="9" t="s">
        <v>63</v>
      </c>
      <c r="B2442" s="9" t="s">
        <v>331</v>
      </c>
      <c r="C2442" s="9"/>
      <c r="D2442" s="9" t="s">
        <v>81</v>
      </c>
      <c r="E2442" s="38">
        <v>683</v>
      </c>
      <c r="F2442" s="39">
        <v>1614415</v>
      </c>
      <c r="G2442" s="40">
        <v>2363.711566617862</v>
      </c>
      <c r="H2442" s="41">
        <v>3.3127079322691863E-2</v>
      </c>
      <c r="I2442" s="40">
        <v>238.59443631039531</v>
      </c>
      <c r="J2442" s="41">
        <v>0.1009405883865053</v>
      </c>
      <c r="K2442" s="9" t="s">
        <v>3485</v>
      </c>
    </row>
    <row r="2443" spans="1:11" x14ac:dyDescent="0.2">
      <c r="A2443" s="9" t="s">
        <v>63</v>
      </c>
      <c r="B2443" s="9" t="s">
        <v>3486</v>
      </c>
      <c r="C2443" s="9"/>
      <c r="D2443" s="9" t="s">
        <v>78</v>
      </c>
      <c r="E2443" s="38">
        <v>200</v>
      </c>
      <c r="F2443" s="39">
        <v>482704</v>
      </c>
      <c r="G2443" s="40">
        <v>2413.52</v>
      </c>
      <c r="H2443" s="41">
        <v>5.447760855872797E-2</v>
      </c>
      <c r="I2443" s="40">
        <v>451.08</v>
      </c>
      <c r="J2443" s="41">
        <v>0.18689714607709901</v>
      </c>
      <c r="K2443" s="9" t="s">
        <v>3487</v>
      </c>
    </row>
    <row r="2444" spans="1:11" x14ac:dyDescent="0.2">
      <c r="A2444" s="9" t="s">
        <v>63</v>
      </c>
      <c r="B2444" s="9" t="s">
        <v>1943</v>
      </c>
      <c r="C2444" s="9"/>
      <c r="D2444" s="9" t="s">
        <v>76</v>
      </c>
      <c r="E2444" s="38">
        <v>5384</v>
      </c>
      <c r="F2444" s="39">
        <v>1409111</v>
      </c>
      <c r="G2444" s="40">
        <v>261.72195393759279</v>
      </c>
      <c r="H2444" s="41">
        <v>-6.8249745988684246E-2</v>
      </c>
      <c r="I2444" s="40">
        <v>69.398959881129272</v>
      </c>
      <c r="J2444" s="41">
        <v>0.26516292896727078</v>
      </c>
      <c r="K2444" s="9" t="s">
        <v>3488</v>
      </c>
    </row>
    <row r="2445" spans="1:11" x14ac:dyDescent="0.2">
      <c r="A2445" s="9" t="s">
        <v>63</v>
      </c>
      <c r="B2445" s="9" t="s">
        <v>2253</v>
      </c>
      <c r="C2445" s="9"/>
      <c r="D2445" s="9" t="s">
        <v>85</v>
      </c>
      <c r="E2445" s="38">
        <v>30000</v>
      </c>
      <c r="F2445" s="39">
        <v>0</v>
      </c>
      <c r="G2445" s="40"/>
      <c r="H2445" s="41"/>
      <c r="I2445" s="40">
        <v>17.579999999999998</v>
      </c>
      <c r="J2445" s="41"/>
      <c r="K2445" s="9" t="s">
        <v>3489</v>
      </c>
    </row>
    <row r="2446" spans="1:11" x14ac:dyDescent="0.2">
      <c r="A2446" s="9" t="s">
        <v>63</v>
      </c>
      <c r="B2446" s="9" t="s">
        <v>3490</v>
      </c>
      <c r="C2446" s="9"/>
      <c r="D2446" s="9" t="s">
        <v>78</v>
      </c>
      <c r="E2446" s="38">
        <v>784</v>
      </c>
      <c r="F2446" s="39">
        <v>510153</v>
      </c>
      <c r="G2446" s="40">
        <v>650.70535714285711</v>
      </c>
      <c r="H2446" s="41"/>
      <c r="I2446" s="40">
        <v>142.30102040816331</v>
      </c>
      <c r="J2446" s="41">
        <v>0.21868733497597781</v>
      </c>
      <c r="K2446" s="9" t="s">
        <v>3491</v>
      </c>
    </row>
    <row r="2447" spans="1:11" x14ac:dyDescent="0.2">
      <c r="A2447" s="9" t="s">
        <v>63</v>
      </c>
      <c r="B2447" s="9" t="s">
        <v>2851</v>
      </c>
      <c r="C2447" s="9"/>
      <c r="D2447" s="9" t="s">
        <v>80</v>
      </c>
      <c r="E2447" s="38">
        <v>478</v>
      </c>
      <c r="F2447" s="39">
        <v>848747</v>
      </c>
      <c r="G2447" s="40">
        <v>1775.621338912134</v>
      </c>
      <c r="H2447" s="41">
        <v>7.1219821965186822E-2</v>
      </c>
      <c r="I2447" s="40">
        <v>316.84518828451883</v>
      </c>
      <c r="J2447" s="41">
        <v>0.1784418678357626</v>
      </c>
      <c r="K2447" s="9" t="s">
        <v>3492</v>
      </c>
    </row>
    <row r="2448" spans="1:11" x14ac:dyDescent="0.2">
      <c r="A2448" s="9" t="s">
        <v>63</v>
      </c>
      <c r="B2448" s="9" t="s">
        <v>3493</v>
      </c>
      <c r="C2448" s="9"/>
      <c r="D2448" s="9" t="s">
        <v>78</v>
      </c>
      <c r="E2448" s="38">
        <v>2124</v>
      </c>
      <c r="F2448" s="39">
        <v>819402</v>
      </c>
      <c r="G2448" s="40">
        <v>385.78248587570619</v>
      </c>
      <c r="H2448" s="41">
        <v>2.7509538722088979E-2</v>
      </c>
      <c r="I2448" s="40">
        <v>86.192090395480221</v>
      </c>
      <c r="J2448" s="41">
        <v>0.2234214707799102</v>
      </c>
      <c r="K2448" s="9" t="s">
        <v>3494</v>
      </c>
    </row>
    <row r="2449" spans="1:11" x14ac:dyDescent="0.2">
      <c r="A2449" s="9" t="s">
        <v>63</v>
      </c>
      <c r="B2449" s="9" t="s">
        <v>339</v>
      </c>
      <c r="C2449" s="9"/>
      <c r="D2449" s="9" t="s">
        <v>80</v>
      </c>
      <c r="E2449" s="38">
        <v>702</v>
      </c>
      <c r="F2449" s="39">
        <v>797278</v>
      </c>
      <c r="G2449" s="40">
        <v>1135.7236467236471</v>
      </c>
      <c r="H2449" s="41">
        <v>-9.9876345588671228E-2</v>
      </c>
      <c r="I2449" s="40">
        <v>229.74358974358981</v>
      </c>
      <c r="J2449" s="41">
        <v>0.20228828589275011</v>
      </c>
      <c r="K2449" s="9" t="s">
        <v>3495</v>
      </c>
    </row>
    <row r="2450" spans="1:11" x14ac:dyDescent="0.2">
      <c r="A2450" s="9" t="s">
        <v>63</v>
      </c>
      <c r="B2450" s="9" t="s">
        <v>3496</v>
      </c>
      <c r="C2450" s="9"/>
      <c r="D2450" s="9" t="s">
        <v>76</v>
      </c>
      <c r="E2450" s="38">
        <v>863</v>
      </c>
      <c r="F2450" s="39">
        <v>111265</v>
      </c>
      <c r="G2450" s="40">
        <v>128.92815758980299</v>
      </c>
      <c r="H2450" s="41">
        <v>-1</v>
      </c>
      <c r="I2450" s="40">
        <v>86.433371958285051</v>
      </c>
      <c r="J2450" s="41">
        <v>0.67039949669707455</v>
      </c>
      <c r="K2450" s="9" t="s">
        <v>3497</v>
      </c>
    </row>
    <row r="2451" spans="1:11" x14ac:dyDescent="0.2">
      <c r="A2451" s="9" t="s">
        <v>63</v>
      </c>
      <c r="B2451" s="9" t="s">
        <v>1412</v>
      </c>
      <c r="C2451" s="9"/>
      <c r="D2451" s="9" t="s">
        <v>77</v>
      </c>
      <c r="E2451" s="38">
        <v>4720</v>
      </c>
      <c r="F2451" s="39">
        <v>1645482</v>
      </c>
      <c r="G2451" s="40">
        <v>348.61906779661018</v>
      </c>
      <c r="H2451" s="41">
        <v>-6.609335320953158E-2</v>
      </c>
      <c r="I2451" s="40">
        <v>49.291525423728807</v>
      </c>
      <c r="J2451" s="41">
        <v>0.1413907900542212</v>
      </c>
      <c r="K2451" s="9" t="s">
        <v>3498</v>
      </c>
    </row>
    <row r="2452" spans="1:11" x14ac:dyDescent="0.2">
      <c r="A2452" s="9" t="s">
        <v>63</v>
      </c>
      <c r="B2452" s="9" t="s">
        <v>1536</v>
      </c>
      <c r="C2452" s="9"/>
      <c r="D2452" s="9" t="s">
        <v>77</v>
      </c>
      <c r="E2452" s="38">
        <v>8071</v>
      </c>
      <c r="F2452" s="39">
        <v>1709607</v>
      </c>
      <c r="G2452" s="40">
        <v>211.82096394498819</v>
      </c>
      <c r="H2452" s="41"/>
      <c r="I2452" s="40">
        <v>38.270350638086981</v>
      </c>
      <c r="J2452" s="41">
        <v>0.18067310206380771</v>
      </c>
      <c r="K2452" s="9" t="s">
        <v>3499</v>
      </c>
    </row>
    <row r="2453" spans="1:11" x14ac:dyDescent="0.2">
      <c r="A2453" s="9" t="s">
        <v>63</v>
      </c>
      <c r="B2453" s="9" t="s">
        <v>1419</v>
      </c>
      <c r="C2453" s="9"/>
      <c r="D2453" s="9" t="s">
        <v>80</v>
      </c>
      <c r="E2453" s="38">
        <v>1366</v>
      </c>
      <c r="F2453" s="39">
        <v>698061</v>
      </c>
      <c r="G2453" s="40">
        <v>511.02562225475839</v>
      </c>
      <c r="H2453" s="41">
        <v>0.64256993859050593</v>
      </c>
      <c r="I2453" s="40">
        <v>70.919472913616403</v>
      </c>
      <c r="J2453" s="41">
        <v>0.13877870272082241</v>
      </c>
      <c r="K2453" s="9" t="s">
        <v>3500</v>
      </c>
    </row>
    <row r="2454" spans="1:11" x14ac:dyDescent="0.2">
      <c r="A2454" s="9" t="s">
        <v>63</v>
      </c>
      <c r="B2454" s="9" t="s">
        <v>3501</v>
      </c>
      <c r="C2454" s="9"/>
      <c r="D2454" s="9" t="s">
        <v>80</v>
      </c>
      <c r="E2454" s="38">
        <v>735</v>
      </c>
      <c r="F2454" s="39">
        <v>1610057</v>
      </c>
      <c r="G2454" s="40">
        <v>2190.5537414965988</v>
      </c>
      <c r="H2454" s="41">
        <v>-5.3869898788011787E-2</v>
      </c>
      <c r="I2454" s="40">
        <v>433.14285714285722</v>
      </c>
      <c r="J2454" s="41">
        <v>0.19773212998049139</v>
      </c>
      <c r="K2454" s="9" t="s">
        <v>3502</v>
      </c>
    </row>
    <row r="2455" spans="1:11" x14ac:dyDescent="0.2">
      <c r="A2455" s="9" t="s">
        <v>63</v>
      </c>
      <c r="B2455" s="9" t="s">
        <v>830</v>
      </c>
      <c r="C2455" s="9"/>
      <c r="D2455" s="9" t="s">
        <v>86</v>
      </c>
      <c r="E2455" s="38">
        <v>135186</v>
      </c>
      <c r="F2455" s="39">
        <v>0</v>
      </c>
      <c r="G2455" s="40"/>
      <c r="H2455" s="41"/>
      <c r="I2455" s="40">
        <v>7.9699968931694114</v>
      </c>
      <c r="J2455" s="41"/>
      <c r="K2455" s="9" t="s">
        <v>3503</v>
      </c>
    </row>
    <row r="2456" spans="1:11" x14ac:dyDescent="0.2">
      <c r="A2456" s="9" t="s">
        <v>63</v>
      </c>
      <c r="B2456" s="9" t="s">
        <v>550</v>
      </c>
      <c r="C2456" s="9"/>
      <c r="D2456" s="9" t="s">
        <v>76</v>
      </c>
      <c r="E2456" s="38">
        <v>3819</v>
      </c>
      <c r="F2456" s="39">
        <v>1192314</v>
      </c>
      <c r="G2456" s="40">
        <v>312.20581304006282</v>
      </c>
      <c r="H2456" s="41">
        <v>-4.9550584283259223E-2</v>
      </c>
      <c r="I2456" s="40">
        <v>73.699921445404556</v>
      </c>
      <c r="J2456" s="41">
        <v>0.23606197696244449</v>
      </c>
      <c r="K2456" s="9" t="s">
        <v>3504</v>
      </c>
    </row>
    <row r="2457" spans="1:11" x14ac:dyDescent="0.2">
      <c r="A2457" s="9" t="s">
        <v>63</v>
      </c>
      <c r="B2457" s="9" t="s">
        <v>2292</v>
      </c>
      <c r="C2457" s="9"/>
      <c r="D2457" s="9" t="s">
        <v>85</v>
      </c>
      <c r="E2457" s="38">
        <v>27597</v>
      </c>
      <c r="F2457" s="39">
        <v>0</v>
      </c>
      <c r="G2457" s="40"/>
      <c r="H2457" s="41"/>
      <c r="I2457" s="40">
        <v>18.989890205457119</v>
      </c>
      <c r="J2457" s="41"/>
      <c r="K2457" s="9" t="s">
        <v>3505</v>
      </c>
    </row>
    <row r="2458" spans="1:11" x14ac:dyDescent="0.2">
      <c r="A2458" s="9" t="s">
        <v>63</v>
      </c>
      <c r="B2458" s="9" t="s">
        <v>369</v>
      </c>
      <c r="C2458" s="9"/>
      <c r="D2458" s="9" t="s">
        <v>84</v>
      </c>
      <c r="E2458" s="38">
        <v>2245</v>
      </c>
      <c r="F2458" s="39">
        <v>0</v>
      </c>
      <c r="G2458" s="40"/>
      <c r="H2458" s="41"/>
      <c r="I2458" s="40">
        <v>114.1790645879733</v>
      </c>
      <c r="J2458" s="41"/>
      <c r="K2458" s="9" t="s">
        <v>3506</v>
      </c>
    </row>
    <row r="2459" spans="1:11" x14ac:dyDescent="0.2">
      <c r="A2459" s="9" t="s">
        <v>63</v>
      </c>
      <c r="B2459" s="9" t="s">
        <v>3507</v>
      </c>
      <c r="C2459" s="9"/>
      <c r="D2459" s="9" t="s">
        <v>78</v>
      </c>
      <c r="E2459" s="38">
        <v>572</v>
      </c>
      <c r="F2459" s="39">
        <v>972947</v>
      </c>
      <c r="G2459" s="40">
        <v>1700.956293706294</v>
      </c>
      <c r="H2459" s="41">
        <v>0.75314327118448021</v>
      </c>
      <c r="I2459" s="40">
        <v>255.27272727272731</v>
      </c>
      <c r="J2459" s="41">
        <v>0.15007600619560979</v>
      </c>
      <c r="K2459" s="9" t="s">
        <v>3508</v>
      </c>
    </row>
    <row r="2460" spans="1:11" x14ac:dyDescent="0.2">
      <c r="A2460" s="9" t="s">
        <v>63</v>
      </c>
      <c r="B2460" s="9" t="s">
        <v>3509</v>
      </c>
      <c r="C2460" s="9"/>
      <c r="D2460" s="9" t="s">
        <v>80</v>
      </c>
      <c r="E2460" s="38">
        <v>944</v>
      </c>
      <c r="F2460" s="39">
        <v>1233111</v>
      </c>
      <c r="G2460" s="40">
        <v>1306.261652542373</v>
      </c>
      <c r="H2460" s="41">
        <v>0.14895015199271811</v>
      </c>
      <c r="I2460" s="40">
        <v>79.283898305084747</v>
      </c>
      <c r="J2460" s="41">
        <v>6.0695265876307969E-2</v>
      </c>
      <c r="K2460" s="9" t="s">
        <v>3510</v>
      </c>
    </row>
    <row r="2461" spans="1:11" x14ac:dyDescent="0.2">
      <c r="A2461" s="9" t="s">
        <v>63</v>
      </c>
      <c r="B2461" s="9" t="s">
        <v>376</v>
      </c>
      <c r="C2461" s="9"/>
      <c r="D2461" s="9" t="s">
        <v>79</v>
      </c>
      <c r="E2461" s="38">
        <v>10717</v>
      </c>
      <c r="F2461" s="39">
        <v>0</v>
      </c>
      <c r="G2461" s="40"/>
      <c r="H2461" s="41"/>
      <c r="I2461" s="40">
        <v>36.310161425772137</v>
      </c>
      <c r="J2461" s="41"/>
      <c r="K2461" s="9" t="s">
        <v>3511</v>
      </c>
    </row>
    <row r="2462" spans="1:11" x14ac:dyDescent="0.2">
      <c r="A2462" s="9" t="s">
        <v>63</v>
      </c>
      <c r="B2462" s="9" t="s">
        <v>1975</v>
      </c>
      <c r="C2462" s="9"/>
      <c r="D2462" s="9" t="s">
        <v>77</v>
      </c>
      <c r="E2462" s="38">
        <v>2086</v>
      </c>
      <c r="F2462" s="39">
        <v>1113744</v>
      </c>
      <c r="G2462" s="40">
        <v>533.91371045062317</v>
      </c>
      <c r="H2462" s="41">
        <v>-0.1079072542417209</v>
      </c>
      <c r="I2462" s="40">
        <v>96.730584851390219</v>
      </c>
      <c r="J2462" s="41">
        <v>0.18117269318622589</v>
      </c>
      <c r="K2462" s="9" t="s">
        <v>3512</v>
      </c>
    </row>
    <row r="2463" spans="1:11" x14ac:dyDescent="0.2">
      <c r="A2463" s="9" t="s">
        <v>63</v>
      </c>
      <c r="B2463" s="9" t="s">
        <v>3191</v>
      </c>
      <c r="C2463" s="9"/>
      <c r="D2463" s="9" t="s">
        <v>83</v>
      </c>
      <c r="E2463" s="38">
        <v>1085</v>
      </c>
      <c r="F2463" s="39">
        <v>0</v>
      </c>
      <c r="G2463" s="40"/>
      <c r="H2463" s="41"/>
      <c r="I2463" s="40">
        <v>60.475576036866357</v>
      </c>
      <c r="J2463" s="41"/>
      <c r="K2463" s="9" t="s">
        <v>3513</v>
      </c>
    </row>
    <row r="2464" spans="1:11" x14ac:dyDescent="0.2">
      <c r="A2464" s="9" t="s">
        <v>63</v>
      </c>
      <c r="B2464" s="9" t="s">
        <v>388</v>
      </c>
      <c r="C2464" s="9"/>
      <c r="D2464" s="9" t="s">
        <v>76</v>
      </c>
      <c r="E2464" s="38">
        <v>7200</v>
      </c>
      <c r="F2464" s="39">
        <v>4596340</v>
      </c>
      <c r="G2464" s="40">
        <v>638.38055555555559</v>
      </c>
      <c r="H2464" s="41">
        <v>-7.709689912112884E-2</v>
      </c>
      <c r="I2464" s="40">
        <v>49.91</v>
      </c>
      <c r="J2464" s="41">
        <v>7.818220584203954E-2</v>
      </c>
      <c r="K2464" s="9" t="s">
        <v>3514</v>
      </c>
    </row>
    <row r="2465" spans="1:11" x14ac:dyDescent="0.2">
      <c r="A2465" s="9" t="s">
        <v>63</v>
      </c>
      <c r="B2465" s="9" t="s">
        <v>3515</v>
      </c>
      <c r="C2465" s="9"/>
      <c r="D2465" s="9" t="s">
        <v>80</v>
      </c>
      <c r="E2465" s="38">
        <v>840</v>
      </c>
      <c r="F2465" s="39">
        <v>946586</v>
      </c>
      <c r="G2465" s="40">
        <v>1126.888095238095</v>
      </c>
      <c r="H2465" s="41">
        <v>3.4749030926201872E-2</v>
      </c>
      <c r="I2465" s="40">
        <v>273.62857142857138</v>
      </c>
      <c r="J2465" s="41">
        <v>0.24281787391742529</v>
      </c>
      <c r="K2465" s="9" t="s">
        <v>3516</v>
      </c>
    </row>
    <row r="2466" spans="1:11" x14ac:dyDescent="0.2">
      <c r="A2466" s="9" t="s">
        <v>25</v>
      </c>
      <c r="B2466" s="9" t="s">
        <v>650</v>
      </c>
      <c r="C2466" s="9"/>
      <c r="D2466" s="9" t="s">
        <v>76</v>
      </c>
      <c r="E2466" s="38">
        <v>8724</v>
      </c>
      <c r="F2466" s="39">
        <v>2102012.52</v>
      </c>
      <c r="G2466" s="40">
        <v>240.9459559834938</v>
      </c>
      <c r="H2466" s="41">
        <v>-0.14770963960565339</v>
      </c>
      <c r="I2466" s="40">
        <v>10.316368638239339</v>
      </c>
      <c r="J2466" s="41">
        <v>4.2816110343624397E-2</v>
      </c>
      <c r="K2466" s="9" t="s">
        <v>3517</v>
      </c>
    </row>
    <row r="2467" spans="1:11" x14ac:dyDescent="0.2">
      <c r="A2467" s="9" t="s">
        <v>25</v>
      </c>
      <c r="B2467" s="9" t="s">
        <v>166</v>
      </c>
      <c r="C2467" s="9"/>
      <c r="D2467" s="9" t="s">
        <v>76</v>
      </c>
      <c r="E2467" s="38">
        <v>2866</v>
      </c>
      <c r="F2467" s="39">
        <v>1735694.61</v>
      </c>
      <c r="G2467" s="40">
        <v>605.61570481507329</v>
      </c>
      <c r="H2467" s="41">
        <v>4.5038033885094711E-2</v>
      </c>
      <c r="I2467" s="40">
        <v>64.549909281228196</v>
      </c>
      <c r="J2467" s="41">
        <v>0.1065855934184182</v>
      </c>
      <c r="K2467" s="9" t="s">
        <v>3518</v>
      </c>
    </row>
    <row r="2468" spans="1:11" x14ac:dyDescent="0.2">
      <c r="A2468" s="9" t="s">
        <v>25</v>
      </c>
      <c r="B2468" s="9" t="s">
        <v>168</v>
      </c>
      <c r="C2468" s="9"/>
      <c r="D2468" s="9" t="s">
        <v>77</v>
      </c>
      <c r="E2468" s="38">
        <v>1578</v>
      </c>
      <c r="F2468" s="39">
        <v>721690.31</v>
      </c>
      <c r="G2468" s="40">
        <v>457.34493662864389</v>
      </c>
      <c r="H2468" s="41">
        <v>-8.9430379261313558E-2</v>
      </c>
      <c r="I2468" s="40">
        <v>63.371330798479093</v>
      </c>
      <c r="J2468" s="41">
        <v>0.13856353426721221</v>
      </c>
      <c r="K2468" s="9" t="s">
        <v>3519</v>
      </c>
    </row>
    <row r="2469" spans="1:11" x14ac:dyDescent="0.2">
      <c r="A2469" s="9" t="s">
        <v>25</v>
      </c>
      <c r="B2469" s="9" t="s">
        <v>169</v>
      </c>
      <c r="C2469" s="9"/>
      <c r="D2469" s="9" t="s">
        <v>76</v>
      </c>
      <c r="E2469" s="38">
        <v>5647</v>
      </c>
      <c r="F2469" s="39">
        <v>1740562.1</v>
      </c>
      <c r="G2469" s="40">
        <v>308.22774924738798</v>
      </c>
      <c r="H2469" s="41">
        <v>-4.6963367312608792E-2</v>
      </c>
      <c r="I2469" s="40">
        <v>32.760765007968843</v>
      </c>
      <c r="J2469" s="41">
        <v>0.1062875263111842</v>
      </c>
      <c r="K2469" s="9" t="s">
        <v>3520</v>
      </c>
    </row>
    <row r="2470" spans="1:11" x14ac:dyDescent="0.2">
      <c r="A2470" s="9" t="s">
        <v>25</v>
      </c>
      <c r="B2470" s="9" t="s">
        <v>87</v>
      </c>
      <c r="C2470" s="9"/>
      <c r="D2470" s="9" t="s">
        <v>87</v>
      </c>
      <c r="E2470" s="38">
        <v>6984</v>
      </c>
      <c r="F2470" s="39">
        <v>47605208</v>
      </c>
      <c r="G2470" s="40">
        <v>6816.324169530355</v>
      </c>
      <c r="H2470" s="41">
        <v>6.0445124004718818E-2</v>
      </c>
      <c r="I2470" s="40">
        <v>40.091632302405493</v>
      </c>
      <c r="J2470" s="41">
        <v>5.8817085727259077E-3</v>
      </c>
      <c r="K2470" s="9" t="s">
        <v>3521</v>
      </c>
    </row>
    <row r="2471" spans="1:11" x14ac:dyDescent="0.2">
      <c r="A2471" s="9" t="s">
        <v>25</v>
      </c>
      <c r="B2471" s="9" t="s">
        <v>3522</v>
      </c>
      <c r="C2471" s="9"/>
      <c r="D2471" s="9" t="s">
        <v>82</v>
      </c>
      <c r="E2471" s="38">
        <v>11320</v>
      </c>
      <c r="F2471" s="39">
        <v>0</v>
      </c>
      <c r="G2471" s="40"/>
      <c r="H2471" s="41"/>
      <c r="I2471" s="40">
        <v>38.031095406360421</v>
      </c>
      <c r="J2471" s="41"/>
      <c r="K2471" s="9" t="s">
        <v>3523</v>
      </c>
    </row>
    <row r="2472" spans="1:11" x14ac:dyDescent="0.2">
      <c r="A2472" s="9" t="s">
        <v>25</v>
      </c>
      <c r="B2472" s="9" t="s">
        <v>171</v>
      </c>
      <c r="C2472" s="9"/>
      <c r="D2472" s="9" t="s">
        <v>84</v>
      </c>
      <c r="E2472" s="38">
        <v>765</v>
      </c>
      <c r="F2472" s="39">
        <v>0</v>
      </c>
      <c r="G2472" s="40"/>
      <c r="H2472" s="41"/>
      <c r="I2472" s="40">
        <v>80.784313725490193</v>
      </c>
      <c r="J2472" s="41"/>
      <c r="K2472" s="9" t="s">
        <v>3524</v>
      </c>
    </row>
    <row r="2473" spans="1:11" x14ac:dyDescent="0.2">
      <c r="A2473" s="9" t="s">
        <v>25</v>
      </c>
      <c r="B2473" s="9" t="s">
        <v>173</v>
      </c>
      <c r="C2473" s="9"/>
      <c r="D2473" s="9" t="s">
        <v>80</v>
      </c>
      <c r="E2473" s="38">
        <v>790</v>
      </c>
      <c r="F2473" s="39">
        <v>826899.13</v>
      </c>
      <c r="G2473" s="40">
        <v>1046.7077594936709</v>
      </c>
      <c r="H2473" s="41">
        <v>-0.14005980942835919</v>
      </c>
      <c r="I2473" s="40">
        <v>201.77179746835441</v>
      </c>
      <c r="J2473" s="41">
        <v>0.19276803447598251</v>
      </c>
      <c r="K2473" s="9" t="s">
        <v>3525</v>
      </c>
    </row>
    <row r="2474" spans="1:11" x14ac:dyDescent="0.2">
      <c r="A2474" s="9" t="s">
        <v>25</v>
      </c>
      <c r="B2474" s="9" t="s">
        <v>173</v>
      </c>
      <c r="C2474" s="9"/>
      <c r="D2474" s="9" t="s">
        <v>80</v>
      </c>
      <c r="E2474" s="38">
        <v>200</v>
      </c>
      <c r="F2474" s="39">
        <v>794025.45</v>
      </c>
      <c r="G2474" s="40">
        <v>3970.12725</v>
      </c>
      <c r="H2474" s="41">
        <v>-4.3348541777260604E-3</v>
      </c>
      <c r="I2474" s="40">
        <v>424.05120000000011</v>
      </c>
      <c r="J2474" s="41">
        <v>0.1068104806968089</v>
      </c>
      <c r="K2474" s="9" t="s">
        <v>3525</v>
      </c>
    </row>
    <row r="2475" spans="1:11" x14ac:dyDescent="0.2">
      <c r="A2475" s="9" t="s">
        <v>25</v>
      </c>
      <c r="B2475" s="9" t="s">
        <v>179</v>
      </c>
      <c r="C2475" s="9"/>
      <c r="D2475" s="9" t="s">
        <v>79</v>
      </c>
      <c r="E2475" s="38">
        <v>4803</v>
      </c>
      <c r="F2475" s="39">
        <v>5071599</v>
      </c>
      <c r="G2475" s="40">
        <v>1055.923173016864</v>
      </c>
      <c r="H2475" s="41">
        <v>-7.5243260156535471E-2</v>
      </c>
      <c r="I2475" s="40">
        <v>63.073004372267327</v>
      </c>
      <c r="J2475" s="41">
        <v>5.9732569550550042E-2</v>
      </c>
      <c r="K2475" s="9" t="s">
        <v>3526</v>
      </c>
    </row>
    <row r="2476" spans="1:11" x14ac:dyDescent="0.2">
      <c r="A2476" s="9" t="s">
        <v>25</v>
      </c>
      <c r="B2476" s="9" t="s">
        <v>3527</v>
      </c>
      <c r="C2476" s="9"/>
      <c r="D2476" s="9" t="s">
        <v>83</v>
      </c>
      <c r="E2476" s="38">
        <v>4735</v>
      </c>
      <c r="F2476" s="39">
        <v>462266.78</v>
      </c>
      <c r="G2476" s="40">
        <v>97.627619852164742</v>
      </c>
      <c r="H2476" s="41">
        <v>0.61730555235041162</v>
      </c>
      <c r="I2476" s="40">
        <v>28.00422386483633</v>
      </c>
      <c r="J2476" s="41">
        <v>0.28684734819144908</v>
      </c>
      <c r="K2476" s="9" t="s">
        <v>3528</v>
      </c>
    </row>
    <row r="2477" spans="1:11" x14ac:dyDescent="0.2">
      <c r="A2477" s="9" t="s">
        <v>25</v>
      </c>
      <c r="B2477" s="9" t="s">
        <v>3529</v>
      </c>
      <c r="C2477" s="9"/>
      <c r="D2477" s="9" t="s">
        <v>80</v>
      </c>
      <c r="E2477" s="38">
        <v>2174</v>
      </c>
      <c r="F2477" s="39">
        <v>605040.76</v>
      </c>
      <c r="G2477" s="40">
        <v>278.30761729530821</v>
      </c>
      <c r="H2477" s="41">
        <v>0.65143363168862001</v>
      </c>
      <c r="I2477" s="40">
        <v>47.517074517019317</v>
      </c>
      <c r="J2477" s="41">
        <v>0.17073580298953739</v>
      </c>
      <c r="K2477" s="9" t="s">
        <v>3530</v>
      </c>
    </row>
    <row r="2478" spans="1:11" x14ac:dyDescent="0.2">
      <c r="A2478" s="9" t="s">
        <v>25</v>
      </c>
      <c r="B2478" s="9" t="s">
        <v>187</v>
      </c>
      <c r="C2478" s="9"/>
      <c r="D2478" s="9" t="s">
        <v>76</v>
      </c>
      <c r="E2478" s="38">
        <v>2373</v>
      </c>
      <c r="F2478" s="39">
        <v>684876.15</v>
      </c>
      <c r="G2478" s="40">
        <v>288.61194690265489</v>
      </c>
      <c r="H2478" s="41">
        <v>5.5266260160064903E-2</v>
      </c>
      <c r="I2478" s="40">
        <v>33.485107458912772</v>
      </c>
      <c r="J2478" s="41">
        <v>0.11602121055025789</v>
      </c>
      <c r="K2478" s="9" t="s">
        <v>3531</v>
      </c>
    </row>
    <row r="2479" spans="1:11" x14ac:dyDescent="0.2">
      <c r="A2479" s="9" t="s">
        <v>25</v>
      </c>
      <c r="B2479" s="9" t="s">
        <v>420</v>
      </c>
      <c r="C2479" s="9"/>
      <c r="D2479" s="9" t="s">
        <v>78</v>
      </c>
      <c r="E2479" s="38">
        <v>1499</v>
      </c>
      <c r="F2479" s="39">
        <v>782716.42</v>
      </c>
      <c r="G2479" s="40">
        <v>522.15905270180122</v>
      </c>
      <c r="H2479" s="41">
        <v>-0.1009916335513404</v>
      </c>
      <c r="I2479" s="40">
        <v>83.38895263509005</v>
      </c>
      <c r="J2479" s="41">
        <v>0.15970029094317451</v>
      </c>
      <c r="K2479" s="9" t="s">
        <v>3532</v>
      </c>
    </row>
    <row r="2480" spans="1:11" x14ac:dyDescent="0.2">
      <c r="A2480" s="9" t="s">
        <v>25</v>
      </c>
      <c r="B2480" s="9" t="s">
        <v>422</v>
      </c>
      <c r="C2480" s="9"/>
      <c r="D2480" s="9" t="s">
        <v>83</v>
      </c>
      <c r="E2480" s="38">
        <v>813</v>
      </c>
      <c r="F2480" s="39">
        <v>242253.69</v>
      </c>
      <c r="G2480" s="40">
        <v>297.97501845018451</v>
      </c>
      <c r="H2480" s="41">
        <v>-5.8741704668379677E-2</v>
      </c>
      <c r="I2480" s="40">
        <v>150.7412546125461</v>
      </c>
      <c r="J2480" s="41">
        <v>0.50588554502513461</v>
      </c>
      <c r="K2480" s="9" t="s">
        <v>3533</v>
      </c>
    </row>
    <row r="2481" spans="1:11" x14ac:dyDescent="0.2">
      <c r="A2481" s="9" t="s">
        <v>25</v>
      </c>
      <c r="B2481" s="9" t="s">
        <v>426</v>
      </c>
      <c r="C2481" s="9"/>
      <c r="D2481" s="9" t="s">
        <v>81</v>
      </c>
      <c r="E2481" s="38">
        <v>5011</v>
      </c>
      <c r="F2481" s="39">
        <v>2354560.9500000002</v>
      </c>
      <c r="G2481" s="40">
        <v>469.87845739373381</v>
      </c>
      <c r="H2481" s="41">
        <v>-3.7688477289516902E-2</v>
      </c>
      <c r="I2481" s="40">
        <v>49.391339054081023</v>
      </c>
      <c r="J2481" s="41">
        <v>0.1051151383445818</v>
      </c>
      <c r="K2481" s="9" t="s">
        <v>3534</v>
      </c>
    </row>
    <row r="2482" spans="1:11" x14ac:dyDescent="0.2">
      <c r="A2482" s="9" t="s">
        <v>25</v>
      </c>
      <c r="B2482" s="9" t="s">
        <v>197</v>
      </c>
      <c r="C2482" s="9"/>
      <c r="D2482" s="9" t="s">
        <v>76</v>
      </c>
      <c r="E2482" s="38">
        <v>5239</v>
      </c>
      <c r="F2482" s="39">
        <v>1149062.1200000001</v>
      </c>
      <c r="G2482" s="40">
        <v>219.32852071005919</v>
      </c>
      <c r="H2482" s="41">
        <v>-2.5463367329196719E-2</v>
      </c>
      <c r="I2482" s="40">
        <v>27.49999618247757</v>
      </c>
      <c r="J2482" s="41">
        <v>0.12538267295766389</v>
      </c>
      <c r="K2482" s="9" t="s">
        <v>3535</v>
      </c>
    </row>
    <row r="2483" spans="1:11" x14ac:dyDescent="0.2">
      <c r="A2483" s="9" t="s">
        <v>25</v>
      </c>
      <c r="B2483" s="9" t="s">
        <v>3536</v>
      </c>
      <c r="C2483" s="9"/>
      <c r="D2483" s="9" t="s">
        <v>84</v>
      </c>
      <c r="E2483" s="38">
        <v>1119</v>
      </c>
      <c r="F2483" s="39">
        <v>230875.04</v>
      </c>
      <c r="G2483" s="40">
        <v>206.3226452189455</v>
      </c>
      <c r="H2483" s="41">
        <v>-0.1435910220979259</v>
      </c>
      <c r="I2483" s="40">
        <v>56.89544235924933</v>
      </c>
      <c r="J2483" s="41">
        <v>0.27575956240224148</v>
      </c>
      <c r="K2483" s="9" t="s">
        <v>3537</v>
      </c>
    </row>
    <row r="2484" spans="1:11" x14ac:dyDescent="0.2">
      <c r="A2484" s="9" t="s">
        <v>25</v>
      </c>
      <c r="B2484" s="9" t="s">
        <v>3536</v>
      </c>
      <c r="C2484" s="9"/>
      <c r="D2484" s="9" t="s">
        <v>84</v>
      </c>
      <c r="E2484" s="38">
        <v>512</v>
      </c>
      <c r="F2484" s="39">
        <v>140580.96</v>
      </c>
      <c r="G2484" s="40">
        <v>274.57218749999998</v>
      </c>
      <c r="H2484" s="41">
        <v>-0.42652444613564239</v>
      </c>
      <c r="I2484" s="40">
        <v>150.90234375</v>
      </c>
      <c r="J2484" s="41">
        <v>0.54959078384441251</v>
      </c>
      <c r="K2484" s="9" t="s">
        <v>3537</v>
      </c>
    </row>
    <row r="2485" spans="1:11" x14ac:dyDescent="0.2">
      <c r="A2485" s="9" t="s">
        <v>25</v>
      </c>
      <c r="B2485" s="9" t="s">
        <v>200</v>
      </c>
      <c r="C2485" s="9"/>
      <c r="D2485" s="9" t="s">
        <v>77</v>
      </c>
      <c r="E2485" s="38">
        <v>4500</v>
      </c>
      <c r="F2485" s="39">
        <v>2324619.29</v>
      </c>
      <c r="G2485" s="40">
        <v>516.58206444444443</v>
      </c>
      <c r="H2485" s="41">
        <v>-5.3415954892285067E-2</v>
      </c>
      <c r="I2485" s="40">
        <v>77.777786666666657</v>
      </c>
      <c r="J2485" s="41">
        <v>0.15056230562381681</v>
      </c>
      <c r="K2485" s="9" t="s">
        <v>3538</v>
      </c>
    </row>
    <row r="2486" spans="1:11" x14ac:dyDescent="0.2">
      <c r="A2486" s="9" t="s">
        <v>25</v>
      </c>
      <c r="B2486" s="9" t="s">
        <v>202</v>
      </c>
      <c r="C2486" s="9"/>
      <c r="D2486" s="9" t="s">
        <v>81</v>
      </c>
      <c r="E2486" s="38">
        <v>689</v>
      </c>
      <c r="F2486" s="39">
        <v>978609.14</v>
      </c>
      <c r="G2486" s="40">
        <v>1420.332568940494</v>
      </c>
      <c r="H2486" s="41">
        <v>-1.1158825951533479E-2</v>
      </c>
      <c r="I2486" s="40">
        <v>318.74786647314949</v>
      </c>
      <c r="J2486" s="41">
        <v>0.22441776907990049</v>
      </c>
      <c r="K2486" s="9" t="s">
        <v>3539</v>
      </c>
    </row>
    <row r="2487" spans="1:11" x14ac:dyDescent="0.2">
      <c r="A2487" s="9" t="s">
        <v>25</v>
      </c>
      <c r="B2487" s="9" t="s">
        <v>877</v>
      </c>
      <c r="C2487" s="9"/>
      <c r="D2487" s="9" t="s">
        <v>76</v>
      </c>
      <c r="E2487" s="38">
        <v>7995</v>
      </c>
      <c r="F2487" s="39">
        <v>1426265.36</v>
      </c>
      <c r="G2487" s="40">
        <v>178.39466666666669</v>
      </c>
      <c r="H2487" s="41">
        <v>0.10984759009453129</v>
      </c>
      <c r="I2487" s="40">
        <v>16.26015759849906</v>
      </c>
      <c r="J2487" s="41">
        <v>9.1147106033620556E-2</v>
      </c>
      <c r="K2487" s="9" t="s">
        <v>3540</v>
      </c>
    </row>
    <row r="2488" spans="1:11" x14ac:dyDescent="0.2">
      <c r="A2488" s="9" t="s">
        <v>25</v>
      </c>
      <c r="B2488" s="9" t="s">
        <v>3541</v>
      </c>
      <c r="C2488" s="9"/>
      <c r="D2488" s="9" t="s">
        <v>82</v>
      </c>
      <c r="E2488" s="38">
        <v>1499</v>
      </c>
      <c r="F2488" s="39">
        <v>37588.19</v>
      </c>
      <c r="G2488" s="40">
        <v>25.07551034022682</v>
      </c>
      <c r="H2488" s="41"/>
      <c r="I2488" s="40">
        <v>53.369019346230822</v>
      </c>
      <c r="J2488" s="41">
        <v>2.1283323299153271E-2</v>
      </c>
      <c r="K2488" s="9" t="s">
        <v>3542</v>
      </c>
    </row>
    <row r="2489" spans="1:11" x14ac:dyDescent="0.2">
      <c r="A2489" s="9" t="s">
        <v>25</v>
      </c>
      <c r="B2489" s="9" t="s">
        <v>3543</v>
      </c>
      <c r="C2489" s="9"/>
      <c r="D2489" s="9" t="s">
        <v>79</v>
      </c>
      <c r="E2489" s="38">
        <v>1499</v>
      </c>
      <c r="F2489" s="39">
        <v>109581.17</v>
      </c>
      <c r="G2489" s="40">
        <v>73.102848565710474</v>
      </c>
      <c r="H2489" s="41">
        <v>0.181575472027972</v>
      </c>
      <c r="I2489" s="40">
        <v>45.341267511674452</v>
      </c>
      <c r="J2489" s="41">
        <v>0.62023940792017462</v>
      </c>
      <c r="K2489" s="9" t="s">
        <v>3544</v>
      </c>
    </row>
    <row r="2490" spans="1:11" x14ac:dyDescent="0.2">
      <c r="A2490" s="9" t="s">
        <v>25</v>
      </c>
      <c r="B2490" s="9" t="s">
        <v>3543</v>
      </c>
      <c r="C2490" s="9"/>
      <c r="D2490" s="9" t="s">
        <v>79</v>
      </c>
      <c r="E2490" s="38">
        <v>1303</v>
      </c>
      <c r="F2490" s="39">
        <v>386403.11</v>
      </c>
      <c r="G2490" s="40">
        <v>296.5488181120491</v>
      </c>
      <c r="H2490" s="41">
        <v>1.4756575752333721E-2</v>
      </c>
      <c r="I2490" s="40">
        <v>55.322486569455101</v>
      </c>
      <c r="J2490" s="41">
        <v>0.1865543991092618</v>
      </c>
      <c r="K2490" s="9" t="s">
        <v>3544</v>
      </c>
    </row>
    <row r="2491" spans="1:11" x14ac:dyDescent="0.2">
      <c r="A2491" s="9" t="s">
        <v>25</v>
      </c>
      <c r="B2491" s="9" t="s">
        <v>432</v>
      </c>
      <c r="C2491" s="9"/>
      <c r="D2491" s="9" t="s">
        <v>81</v>
      </c>
      <c r="E2491" s="38">
        <v>813</v>
      </c>
      <c r="F2491" s="39">
        <v>3880860.1</v>
      </c>
      <c r="G2491" s="40">
        <v>4773.5056580565806</v>
      </c>
      <c r="H2491" s="41">
        <v>0.16217702187850011</v>
      </c>
      <c r="I2491" s="40">
        <v>269.41062730627311</v>
      </c>
      <c r="J2491" s="41">
        <v>5.6438736351253682E-2</v>
      </c>
      <c r="K2491" s="9" t="s">
        <v>3545</v>
      </c>
    </row>
    <row r="2492" spans="1:11" x14ac:dyDescent="0.2">
      <c r="A2492" s="9" t="s">
        <v>25</v>
      </c>
      <c r="B2492" s="9" t="s">
        <v>759</v>
      </c>
      <c r="C2492" s="9"/>
      <c r="D2492" s="9" t="s">
        <v>76</v>
      </c>
      <c r="E2492" s="38">
        <v>2600</v>
      </c>
      <c r="F2492" s="39">
        <v>503302.06</v>
      </c>
      <c r="G2492" s="40">
        <v>193.5777153846154</v>
      </c>
      <c r="H2492" s="41">
        <v>-0.14332714748732989</v>
      </c>
      <c r="I2492" s="40">
        <v>7.4815384615384612</v>
      </c>
      <c r="J2492" s="41">
        <v>3.8648758957990359E-2</v>
      </c>
      <c r="K2492" s="9" t="s">
        <v>3546</v>
      </c>
    </row>
    <row r="2493" spans="1:11" x14ac:dyDescent="0.2">
      <c r="A2493" s="9" t="s">
        <v>25</v>
      </c>
      <c r="B2493" s="9" t="s">
        <v>206</v>
      </c>
      <c r="C2493" s="9"/>
      <c r="D2493" s="9" t="s">
        <v>80</v>
      </c>
      <c r="E2493" s="38">
        <v>291</v>
      </c>
      <c r="F2493" s="39">
        <v>346434.86</v>
      </c>
      <c r="G2493" s="40">
        <v>1190.497800687285</v>
      </c>
      <c r="H2493" s="41">
        <v>-6.2281951401697448E-2</v>
      </c>
      <c r="I2493" s="40">
        <v>270.44041237113402</v>
      </c>
      <c r="J2493" s="41">
        <v>0.22716582274659081</v>
      </c>
      <c r="K2493" s="9" t="s">
        <v>3547</v>
      </c>
    </row>
    <row r="2494" spans="1:11" x14ac:dyDescent="0.2">
      <c r="A2494" s="9" t="s">
        <v>25</v>
      </c>
      <c r="B2494" s="9" t="s">
        <v>3548</v>
      </c>
      <c r="C2494" s="9"/>
      <c r="D2494" s="9" t="s">
        <v>86</v>
      </c>
      <c r="E2494" s="38">
        <v>95655</v>
      </c>
      <c r="F2494" s="39">
        <v>20636107.02</v>
      </c>
      <c r="G2494" s="40">
        <v>215.73474486435629</v>
      </c>
      <c r="H2494" s="41">
        <v>0.1184112695859395</v>
      </c>
      <c r="I2494" s="40">
        <v>14.068859965501019</v>
      </c>
      <c r="J2494" s="41">
        <v>6.5213695523856613E-2</v>
      </c>
      <c r="K2494" s="9" t="s">
        <v>3549</v>
      </c>
    </row>
    <row r="2495" spans="1:11" x14ac:dyDescent="0.2">
      <c r="A2495" s="9" t="s">
        <v>25</v>
      </c>
      <c r="B2495" s="9" t="s">
        <v>208</v>
      </c>
      <c r="C2495" s="9"/>
      <c r="D2495" s="9" t="s">
        <v>78</v>
      </c>
      <c r="E2495" s="38">
        <v>926</v>
      </c>
      <c r="F2495" s="39">
        <v>444268.66</v>
      </c>
      <c r="G2495" s="40">
        <v>479.77177105831532</v>
      </c>
      <c r="H2495" s="41">
        <v>-0.32886972268656789</v>
      </c>
      <c r="I2495" s="40">
        <v>48.232224622030238</v>
      </c>
      <c r="J2495" s="41">
        <v>0.10053160175646871</v>
      </c>
      <c r="K2495" s="9" t="s">
        <v>3550</v>
      </c>
    </row>
    <row r="2496" spans="1:11" x14ac:dyDescent="0.2">
      <c r="A2496" s="9" t="s">
        <v>25</v>
      </c>
      <c r="B2496" s="9" t="s">
        <v>3551</v>
      </c>
      <c r="C2496" s="9"/>
      <c r="D2496" s="9" t="s">
        <v>82</v>
      </c>
      <c r="E2496" s="38">
        <v>42174</v>
      </c>
      <c r="F2496" s="39">
        <v>4813216.32</v>
      </c>
      <c r="G2496" s="40">
        <v>114.1275743348983</v>
      </c>
      <c r="H2496" s="41">
        <v>2.2469792175032152E-3</v>
      </c>
      <c r="I2496" s="40">
        <v>23.71129036847347</v>
      </c>
      <c r="J2496" s="41">
        <v>0.20776127510512549</v>
      </c>
      <c r="K2496" s="9" t="s">
        <v>3552</v>
      </c>
    </row>
    <row r="2497" spans="1:11" x14ac:dyDescent="0.2">
      <c r="A2497" s="9" t="s">
        <v>25</v>
      </c>
      <c r="B2497" s="9" t="s">
        <v>2489</v>
      </c>
      <c r="C2497" s="9"/>
      <c r="D2497" s="9" t="s">
        <v>78</v>
      </c>
      <c r="E2497" s="38">
        <v>1044</v>
      </c>
      <c r="F2497" s="39">
        <v>640609.88</v>
      </c>
      <c r="G2497" s="40">
        <v>613.61099616858235</v>
      </c>
      <c r="H2497" s="41">
        <v>1.7548727974901032E-2</v>
      </c>
      <c r="I2497" s="40">
        <v>157.90540229885059</v>
      </c>
      <c r="J2497" s="41">
        <v>0.2573379605072591</v>
      </c>
      <c r="K2497" s="9" t="s">
        <v>3553</v>
      </c>
    </row>
    <row r="2498" spans="1:11" x14ac:dyDescent="0.2">
      <c r="A2498" s="9" t="s">
        <v>25</v>
      </c>
      <c r="B2498" s="9" t="s">
        <v>231</v>
      </c>
      <c r="C2498" s="9"/>
      <c r="D2498" s="9" t="s">
        <v>76</v>
      </c>
      <c r="E2498" s="38">
        <v>7271</v>
      </c>
      <c r="F2498" s="39">
        <v>1272492.6000000001</v>
      </c>
      <c r="G2498" s="40">
        <v>175.00929720808691</v>
      </c>
      <c r="H2498" s="41">
        <v>-0.14290347974185191</v>
      </c>
      <c r="I2498" s="40">
        <v>0</v>
      </c>
      <c r="J2498" s="41">
        <v>0</v>
      </c>
      <c r="K2498" s="9" t="s">
        <v>3554</v>
      </c>
    </row>
    <row r="2499" spans="1:11" x14ac:dyDescent="0.2">
      <c r="A2499" s="9" t="s">
        <v>25</v>
      </c>
      <c r="B2499" s="9" t="s">
        <v>3555</v>
      </c>
      <c r="C2499" s="9"/>
      <c r="D2499" s="9" t="s">
        <v>79</v>
      </c>
      <c r="E2499" s="38">
        <v>800</v>
      </c>
      <c r="F2499" s="39">
        <v>928149</v>
      </c>
      <c r="G2499" s="40">
        <v>1160.18625</v>
      </c>
      <c r="H2499" s="41">
        <v>4.9871227609759712E-2</v>
      </c>
      <c r="I2499" s="40">
        <v>87.455099999999987</v>
      </c>
      <c r="J2499" s="41">
        <v>7.5380224511366153E-2</v>
      </c>
      <c r="K2499" s="9" t="s">
        <v>3556</v>
      </c>
    </row>
    <row r="2500" spans="1:11" x14ac:dyDescent="0.2">
      <c r="A2500" s="9" t="s">
        <v>25</v>
      </c>
      <c r="B2500" s="9" t="s">
        <v>893</v>
      </c>
      <c r="C2500" s="9"/>
      <c r="D2500" s="9" t="s">
        <v>78</v>
      </c>
      <c r="E2500" s="38">
        <v>560</v>
      </c>
      <c r="F2500" s="39">
        <v>300563.68</v>
      </c>
      <c r="G2500" s="40">
        <v>536.72085714285708</v>
      </c>
      <c r="H2500" s="41">
        <v>-0.16959497170162069</v>
      </c>
      <c r="I2500" s="40">
        <v>122.8270714285714</v>
      </c>
      <c r="J2500" s="41">
        <v>0.22884721134636099</v>
      </c>
      <c r="K2500" s="9" t="s">
        <v>3557</v>
      </c>
    </row>
    <row r="2501" spans="1:11" x14ac:dyDescent="0.2">
      <c r="A2501" s="9" t="s">
        <v>25</v>
      </c>
      <c r="B2501" s="9" t="s">
        <v>895</v>
      </c>
      <c r="C2501" s="9"/>
      <c r="D2501" s="9" t="s">
        <v>77</v>
      </c>
      <c r="E2501" s="38">
        <v>0</v>
      </c>
      <c r="F2501" s="39">
        <v>2234051.63</v>
      </c>
      <c r="G2501" s="40"/>
      <c r="H2501" s="41">
        <v>-2.5992761837286809E-2</v>
      </c>
      <c r="I2501" s="40"/>
      <c r="J2501" s="41">
        <v>0.22463663474062151</v>
      </c>
      <c r="K2501" s="9" t="s">
        <v>3558</v>
      </c>
    </row>
    <row r="2502" spans="1:11" x14ac:dyDescent="0.2">
      <c r="A2502" s="9" t="s">
        <v>25</v>
      </c>
      <c r="B2502" s="9" t="s">
        <v>897</v>
      </c>
      <c r="C2502" s="9"/>
      <c r="D2502" s="9" t="s">
        <v>77</v>
      </c>
      <c r="E2502" s="38">
        <v>6598</v>
      </c>
      <c r="F2502" s="39">
        <v>1741707.18</v>
      </c>
      <c r="G2502" s="40">
        <v>263.9750197029403</v>
      </c>
      <c r="H2502" s="41">
        <v>-7.3875745116320529E-2</v>
      </c>
      <c r="I2502" s="40">
        <v>37.035913913307063</v>
      </c>
      <c r="J2502" s="41">
        <v>0.14030082829422569</v>
      </c>
      <c r="K2502" s="9" t="s">
        <v>3559</v>
      </c>
    </row>
    <row r="2503" spans="1:11" x14ac:dyDescent="0.2">
      <c r="A2503" s="9" t="s">
        <v>25</v>
      </c>
      <c r="B2503" s="9" t="s">
        <v>235</v>
      </c>
      <c r="C2503" s="9"/>
      <c r="D2503" s="9" t="s">
        <v>77</v>
      </c>
      <c r="E2503" s="38">
        <v>5423</v>
      </c>
      <c r="F2503" s="39">
        <v>3308268.42</v>
      </c>
      <c r="G2503" s="40">
        <v>610.04396459524253</v>
      </c>
      <c r="H2503" s="41">
        <v>-2.8672928125309079E-2</v>
      </c>
      <c r="I2503" s="40">
        <v>87.589887516134979</v>
      </c>
      <c r="J2503" s="41">
        <v>0.143579631304524</v>
      </c>
      <c r="K2503" s="9" t="s">
        <v>3560</v>
      </c>
    </row>
    <row r="2504" spans="1:11" x14ac:dyDescent="0.2">
      <c r="A2504" s="9" t="s">
        <v>25</v>
      </c>
      <c r="B2504" s="9" t="s">
        <v>456</v>
      </c>
      <c r="C2504" s="9"/>
      <c r="D2504" s="9" t="s">
        <v>76</v>
      </c>
      <c r="E2504" s="38">
        <v>1499</v>
      </c>
      <c r="F2504" s="39">
        <v>558833.22</v>
      </c>
      <c r="G2504" s="40">
        <v>372.80401601067382</v>
      </c>
      <c r="H2504" s="41">
        <v>4.3741467458466007E-2</v>
      </c>
      <c r="I2504" s="40">
        <v>40.026684456304203</v>
      </c>
      <c r="J2504" s="41">
        <v>0.1073665592034776</v>
      </c>
      <c r="K2504" s="9" t="s">
        <v>3561</v>
      </c>
    </row>
    <row r="2505" spans="1:11" x14ac:dyDescent="0.2">
      <c r="A2505" s="9" t="s">
        <v>25</v>
      </c>
      <c r="B2505" s="9" t="s">
        <v>242</v>
      </c>
      <c r="C2505" s="9"/>
      <c r="D2505" s="9" t="s">
        <v>82</v>
      </c>
      <c r="E2505" s="38">
        <v>5500</v>
      </c>
      <c r="F2505" s="39">
        <v>675790.95</v>
      </c>
      <c r="G2505" s="40">
        <v>122.87108181818181</v>
      </c>
      <c r="H2505" s="41">
        <v>-0.11018565346731379</v>
      </c>
      <c r="I2505" s="40">
        <v>13.454552727272731</v>
      </c>
      <c r="J2505" s="41">
        <v>0.10950137760797179</v>
      </c>
      <c r="K2505" s="9" t="s">
        <v>3562</v>
      </c>
    </row>
    <row r="2506" spans="1:11" x14ac:dyDescent="0.2">
      <c r="A2506" s="9" t="s">
        <v>25</v>
      </c>
      <c r="B2506" s="9" t="s">
        <v>3563</v>
      </c>
      <c r="C2506" s="9"/>
      <c r="D2506" s="9" t="s">
        <v>76</v>
      </c>
      <c r="E2506" s="38">
        <v>1602</v>
      </c>
      <c r="F2506" s="39">
        <v>29264.27</v>
      </c>
      <c r="G2506" s="40">
        <v>18.267334581772779</v>
      </c>
      <c r="H2506" s="41">
        <v>0.88272756223642612</v>
      </c>
      <c r="I2506" s="40">
        <v>62.579775280898879</v>
      </c>
      <c r="J2506" s="41">
        <v>3.4257748442042123E-2</v>
      </c>
      <c r="K2506" s="9" t="s">
        <v>3564</v>
      </c>
    </row>
    <row r="2507" spans="1:11" x14ac:dyDescent="0.2">
      <c r="A2507" s="9" t="s">
        <v>25</v>
      </c>
      <c r="B2507" s="9" t="s">
        <v>243</v>
      </c>
      <c r="C2507" s="9"/>
      <c r="D2507" s="9" t="s">
        <v>82</v>
      </c>
      <c r="E2507" s="38">
        <v>1151</v>
      </c>
      <c r="F2507" s="39">
        <v>939624.44</v>
      </c>
      <c r="G2507" s="40">
        <v>816.35485664639441</v>
      </c>
      <c r="H2507" s="41">
        <v>0.2489750024740254</v>
      </c>
      <c r="I2507" s="40">
        <v>104.9253518679409</v>
      </c>
      <c r="J2507" s="41">
        <v>0.12852909615675809</v>
      </c>
      <c r="K2507" s="9" t="s">
        <v>3565</v>
      </c>
    </row>
    <row r="2508" spans="1:11" x14ac:dyDescent="0.2">
      <c r="A2508" s="9" t="s">
        <v>25</v>
      </c>
      <c r="B2508" s="9" t="s">
        <v>777</v>
      </c>
      <c r="C2508" s="9"/>
      <c r="D2508" s="9" t="s">
        <v>76</v>
      </c>
      <c r="E2508" s="38">
        <v>5000</v>
      </c>
      <c r="F2508" s="39">
        <v>498354.79</v>
      </c>
      <c r="G2508" s="40">
        <v>99.670957999999999</v>
      </c>
      <c r="H2508" s="41">
        <v>-8.2335624983277844E-2</v>
      </c>
      <c r="I2508" s="40">
        <v>0</v>
      </c>
      <c r="J2508" s="41">
        <v>0</v>
      </c>
      <c r="K2508" s="9" t="s">
        <v>3566</v>
      </c>
    </row>
    <row r="2509" spans="1:11" x14ac:dyDescent="0.2">
      <c r="A2509" s="9" t="s">
        <v>25</v>
      </c>
      <c r="B2509" s="9" t="s">
        <v>247</v>
      </c>
      <c r="C2509" s="9"/>
      <c r="D2509" s="9" t="s">
        <v>76</v>
      </c>
      <c r="E2509" s="38">
        <v>25974</v>
      </c>
      <c r="F2509" s="39">
        <v>5092598.45</v>
      </c>
      <c r="G2509" s="40">
        <v>196.06523639023641</v>
      </c>
      <c r="H2509" s="41">
        <v>0.1006685566071822</v>
      </c>
      <c r="I2509" s="40">
        <v>16.83000231000231</v>
      </c>
      <c r="J2509" s="41">
        <v>8.5838788251604639E-2</v>
      </c>
      <c r="K2509" s="9" t="s">
        <v>3567</v>
      </c>
    </row>
    <row r="2510" spans="1:11" x14ac:dyDescent="0.2">
      <c r="A2510" s="9" t="s">
        <v>25</v>
      </c>
      <c r="B2510" s="9" t="s">
        <v>249</v>
      </c>
      <c r="C2510" s="9"/>
      <c r="D2510" s="9" t="s">
        <v>82</v>
      </c>
      <c r="E2510" s="38">
        <v>3047</v>
      </c>
      <c r="F2510" s="39">
        <v>788918.26</v>
      </c>
      <c r="G2510" s="40">
        <v>258.91639645552999</v>
      </c>
      <c r="H2510" s="41">
        <v>3.9756464485066296E-3</v>
      </c>
      <c r="I2510" s="40">
        <v>14.768624876928129</v>
      </c>
      <c r="J2510" s="41">
        <v>5.7040129860855292E-2</v>
      </c>
      <c r="K2510" s="9" t="s">
        <v>3568</v>
      </c>
    </row>
    <row r="2511" spans="1:11" x14ac:dyDescent="0.2">
      <c r="A2511" s="9" t="s">
        <v>25</v>
      </c>
      <c r="B2511" s="9" t="s">
        <v>467</v>
      </c>
      <c r="C2511" s="9"/>
      <c r="D2511" s="9" t="s">
        <v>78</v>
      </c>
      <c r="E2511" s="38">
        <v>2028</v>
      </c>
      <c r="F2511" s="39">
        <v>3814200.38</v>
      </c>
      <c r="G2511" s="40">
        <v>1880.769418145956</v>
      </c>
      <c r="H2511" s="41">
        <v>-8.8001437314565056E-2</v>
      </c>
      <c r="I2511" s="40">
        <v>194.3877514792899</v>
      </c>
      <c r="J2511" s="41">
        <v>0.1033554403872195</v>
      </c>
      <c r="K2511" s="9" t="s">
        <v>3569</v>
      </c>
    </row>
    <row r="2512" spans="1:11" x14ac:dyDescent="0.2">
      <c r="A2512" s="9" t="s">
        <v>25</v>
      </c>
      <c r="B2512" s="9" t="s">
        <v>140</v>
      </c>
      <c r="C2512" s="9"/>
      <c r="D2512" s="9" t="s">
        <v>83</v>
      </c>
      <c r="E2512" s="38">
        <v>6798</v>
      </c>
      <c r="F2512" s="39">
        <v>3187380.7</v>
      </c>
      <c r="G2512" s="40">
        <v>468.87035892909682</v>
      </c>
      <c r="H2512" s="41">
        <v>-4.9095127418056543E-2</v>
      </c>
      <c r="I2512" s="40">
        <v>33.097969991173883</v>
      </c>
      <c r="J2512" s="41">
        <v>7.0590877330718602E-2</v>
      </c>
      <c r="K2512" s="9" t="s">
        <v>3570</v>
      </c>
    </row>
    <row r="2513" spans="1:11" x14ac:dyDescent="0.2">
      <c r="A2513" s="9" t="s">
        <v>25</v>
      </c>
      <c r="B2513" s="9" t="s">
        <v>256</v>
      </c>
      <c r="C2513" s="9"/>
      <c r="D2513" s="9" t="s">
        <v>76</v>
      </c>
      <c r="E2513" s="38">
        <v>1471</v>
      </c>
      <c r="F2513" s="39">
        <v>1076750.98</v>
      </c>
      <c r="G2513" s="40">
        <v>731.98571040108766</v>
      </c>
      <c r="H2513" s="41">
        <v>5.4180542373755469E-2</v>
      </c>
      <c r="I2513" s="40">
        <v>94.493514615907543</v>
      </c>
      <c r="J2513" s="41">
        <v>0.12909202088676061</v>
      </c>
      <c r="K2513" s="9" t="s">
        <v>3571</v>
      </c>
    </row>
    <row r="2514" spans="1:11" x14ac:dyDescent="0.2">
      <c r="A2514" s="9" t="s">
        <v>25</v>
      </c>
      <c r="B2514" s="9" t="s">
        <v>1010</v>
      </c>
      <c r="C2514" s="9"/>
      <c r="D2514" s="9" t="s">
        <v>84</v>
      </c>
      <c r="E2514" s="38">
        <v>150</v>
      </c>
      <c r="F2514" s="39">
        <v>247277.62</v>
      </c>
      <c r="G2514" s="40">
        <v>1648.5174666666669</v>
      </c>
      <c r="H2514" s="41">
        <v>-0.1737261500012898</v>
      </c>
      <c r="I2514" s="40">
        <v>530.53039999999999</v>
      </c>
      <c r="J2514" s="41">
        <v>0.32182273511043991</v>
      </c>
      <c r="K2514" s="9" t="s">
        <v>3572</v>
      </c>
    </row>
    <row r="2515" spans="1:11" x14ac:dyDescent="0.2">
      <c r="A2515" s="9" t="s">
        <v>25</v>
      </c>
      <c r="B2515" s="9" t="s">
        <v>267</v>
      </c>
      <c r="C2515" s="9"/>
      <c r="D2515" s="9" t="s">
        <v>77</v>
      </c>
      <c r="E2515" s="38">
        <v>2047</v>
      </c>
      <c r="F2515" s="39">
        <v>2430417.13</v>
      </c>
      <c r="G2515" s="40">
        <v>1187.3068539325841</v>
      </c>
      <c r="H2515" s="41">
        <v>0.36213494428493159</v>
      </c>
      <c r="I2515" s="40">
        <v>119.2444748412311</v>
      </c>
      <c r="J2515" s="41">
        <v>0.1004327351823759</v>
      </c>
      <c r="K2515" s="9" t="s">
        <v>3573</v>
      </c>
    </row>
    <row r="2516" spans="1:11" x14ac:dyDescent="0.2">
      <c r="A2516" s="9" t="s">
        <v>25</v>
      </c>
      <c r="B2516" s="9" t="s">
        <v>271</v>
      </c>
      <c r="C2516" s="9"/>
      <c r="D2516" s="9" t="s">
        <v>78</v>
      </c>
      <c r="E2516" s="38">
        <v>1399</v>
      </c>
      <c r="F2516" s="39">
        <v>4279442.33</v>
      </c>
      <c r="G2516" s="40">
        <v>3058.9294710507511</v>
      </c>
      <c r="H2516" s="41">
        <v>-9.0606192752738565E-3</v>
      </c>
      <c r="I2516" s="40">
        <v>303.78844889206567</v>
      </c>
      <c r="J2516" s="41">
        <v>9.9312014797030806E-2</v>
      </c>
      <c r="K2516" s="9" t="s">
        <v>3574</v>
      </c>
    </row>
    <row r="2517" spans="1:11" x14ac:dyDescent="0.2">
      <c r="A2517" s="9" t="s">
        <v>25</v>
      </c>
      <c r="B2517" s="9" t="s">
        <v>273</v>
      </c>
      <c r="C2517" s="9"/>
      <c r="D2517" s="9" t="s">
        <v>80</v>
      </c>
      <c r="E2517" s="38">
        <v>815</v>
      </c>
      <c r="F2517" s="39">
        <v>778155.08</v>
      </c>
      <c r="G2517" s="40">
        <v>954.79150920245388</v>
      </c>
      <c r="H2517" s="41">
        <v>0.17530328071576501</v>
      </c>
      <c r="I2517" s="40">
        <v>204.7361963190184</v>
      </c>
      <c r="J2517" s="41">
        <v>0.21443026498008599</v>
      </c>
      <c r="K2517" s="9" t="s">
        <v>3575</v>
      </c>
    </row>
    <row r="2518" spans="1:11" x14ac:dyDescent="0.2">
      <c r="A2518" s="9" t="s">
        <v>25</v>
      </c>
      <c r="B2518" s="9" t="s">
        <v>487</v>
      </c>
      <c r="C2518" s="9"/>
      <c r="D2518" s="9" t="s">
        <v>77</v>
      </c>
      <c r="E2518" s="38">
        <v>2800</v>
      </c>
      <c r="F2518" s="39">
        <v>1507297.34</v>
      </c>
      <c r="G2518" s="40">
        <v>538.32047857142857</v>
      </c>
      <c r="H2518" s="41">
        <v>0.220141502989356</v>
      </c>
      <c r="I2518" s="40">
        <v>33.140014285714287</v>
      </c>
      <c r="J2518" s="41">
        <v>6.1561868078397849E-2</v>
      </c>
      <c r="K2518" s="9" t="s">
        <v>3576</v>
      </c>
    </row>
    <row r="2519" spans="1:11" x14ac:dyDescent="0.2">
      <c r="A2519" s="9" t="s">
        <v>25</v>
      </c>
      <c r="B2519" s="9" t="s">
        <v>3577</v>
      </c>
      <c r="C2519" s="9"/>
      <c r="D2519" s="9" t="s">
        <v>81</v>
      </c>
      <c r="E2519" s="38">
        <v>3242</v>
      </c>
      <c r="F2519" s="39">
        <v>4225434.4400000004</v>
      </c>
      <c r="G2519" s="40">
        <v>1303.34190006169</v>
      </c>
      <c r="H2519" s="41">
        <v>-0.16027337924514221</v>
      </c>
      <c r="I2519" s="40">
        <v>60.698975940777302</v>
      </c>
      <c r="J2519" s="41">
        <v>4.6571798188874511E-2</v>
      </c>
      <c r="K2519" s="9" t="s">
        <v>3578</v>
      </c>
    </row>
    <row r="2520" spans="1:11" x14ac:dyDescent="0.2">
      <c r="A2520" s="9" t="s">
        <v>25</v>
      </c>
      <c r="B2520" s="9" t="s">
        <v>275</v>
      </c>
      <c r="C2520" s="9"/>
      <c r="D2520" s="9" t="s">
        <v>83</v>
      </c>
      <c r="E2520" s="38">
        <v>3196</v>
      </c>
      <c r="F2520" s="39">
        <v>1440255.11</v>
      </c>
      <c r="G2520" s="40">
        <v>450.64302565707129</v>
      </c>
      <c r="H2520" s="41">
        <v>7.5793962818825333E-2</v>
      </c>
      <c r="I2520" s="40">
        <v>61.013767209011263</v>
      </c>
      <c r="J2520" s="41">
        <v>0.1353926805369918</v>
      </c>
      <c r="K2520" s="9" t="s">
        <v>3579</v>
      </c>
    </row>
    <row r="2521" spans="1:11" x14ac:dyDescent="0.2">
      <c r="A2521" s="9" t="s">
        <v>25</v>
      </c>
      <c r="B2521" s="9" t="s">
        <v>277</v>
      </c>
      <c r="C2521" s="9"/>
      <c r="D2521" s="9" t="s">
        <v>76</v>
      </c>
      <c r="E2521" s="38">
        <v>800</v>
      </c>
      <c r="F2521" s="39">
        <v>506247.36</v>
      </c>
      <c r="G2521" s="40">
        <v>632.80920000000003</v>
      </c>
      <c r="H2521" s="41">
        <v>1.6089053740482671E-2</v>
      </c>
      <c r="I2521" s="40">
        <v>62.500050000000002</v>
      </c>
      <c r="J2521" s="41">
        <v>9.8766026157647527E-2</v>
      </c>
      <c r="K2521" s="9" t="s">
        <v>3580</v>
      </c>
    </row>
    <row r="2522" spans="1:11" x14ac:dyDescent="0.2">
      <c r="A2522" s="9" t="s">
        <v>25</v>
      </c>
      <c r="B2522" s="9" t="s">
        <v>3581</v>
      </c>
      <c r="C2522" s="9"/>
      <c r="D2522" s="9" t="s">
        <v>83</v>
      </c>
      <c r="E2522" s="38">
        <v>5500</v>
      </c>
      <c r="F2522" s="39">
        <v>726438.67</v>
      </c>
      <c r="G2522" s="40">
        <v>132.07975818181819</v>
      </c>
      <c r="H2522" s="41">
        <v>-0.2070696651547434</v>
      </c>
      <c r="I2522" s="40">
        <v>27.00473454545455</v>
      </c>
      <c r="J2522" s="41">
        <v>0.20445778306377879</v>
      </c>
      <c r="K2522" s="9" t="s">
        <v>3582</v>
      </c>
    </row>
    <row r="2523" spans="1:11" x14ac:dyDescent="0.2">
      <c r="A2523" s="9" t="s">
        <v>25</v>
      </c>
      <c r="B2523" s="9" t="s">
        <v>2536</v>
      </c>
      <c r="C2523" s="9"/>
      <c r="D2523" s="9" t="s">
        <v>76</v>
      </c>
      <c r="E2523" s="38">
        <v>3142</v>
      </c>
      <c r="F2523" s="39">
        <v>731133.72</v>
      </c>
      <c r="G2523" s="40">
        <v>232.6969191597708</v>
      </c>
      <c r="H2523" s="41">
        <v>-0.1178869933965829</v>
      </c>
      <c r="I2523" s="40">
        <v>38.82878421387651</v>
      </c>
      <c r="J2523" s="41">
        <v>0.16686419551268949</v>
      </c>
      <c r="K2523" s="9" t="s">
        <v>3583</v>
      </c>
    </row>
    <row r="2524" spans="1:11" x14ac:dyDescent="0.2">
      <c r="A2524" s="9" t="s">
        <v>25</v>
      </c>
      <c r="B2524" s="9" t="s">
        <v>283</v>
      </c>
      <c r="C2524" s="9"/>
      <c r="D2524" s="9" t="s">
        <v>78</v>
      </c>
      <c r="E2524" s="38">
        <v>1497</v>
      </c>
      <c r="F2524" s="39">
        <v>627769.67000000004</v>
      </c>
      <c r="G2524" s="40">
        <v>419.35181696726789</v>
      </c>
      <c r="H2524" s="41">
        <v>5.5061315502843253E-2</v>
      </c>
      <c r="I2524" s="40">
        <v>72.120561122244496</v>
      </c>
      <c r="J2524" s="41">
        <v>0.17198103884184149</v>
      </c>
      <c r="K2524" s="9" t="s">
        <v>3584</v>
      </c>
    </row>
    <row r="2525" spans="1:11" x14ac:dyDescent="0.2">
      <c r="A2525" s="9" t="s">
        <v>25</v>
      </c>
      <c r="B2525" s="9" t="s">
        <v>287</v>
      </c>
      <c r="C2525" s="9"/>
      <c r="D2525" s="9" t="s">
        <v>79</v>
      </c>
      <c r="E2525" s="38">
        <v>1035</v>
      </c>
      <c r="F2525" s="39">
        <v>636157.03</v>
      </c>
      <c r="G2525" s="40">
        <v>614.64447342995174</v>
      </c>
      <c r="H2525" s="41">
        <v>-5.9735539039462701E-2</v>
      </c>
      <c r="I2525" s="40">
        <v>0</v>
      </c>
      <c r="J2525" s="41">
        <v>0</v>
      </c>
      <c r="K2525" s="9" t="s">
        <v>3585</v>
      </c>
    </row>
    <row r="2526" spans="1:11" x14ac:dyDescent="0.2">
      <c r="A2526" s="9" t="s">
        <v>25</v>
      </c>
      <c r="B2526" s="9" t="s">
        <v>301</v>
      </c>
      <c r="C2526" s="9"/>
      <c r="D2526" s="9" t="s">
        <v>82</v>
      </c>
      <c r="E2526" s="38">
        <v>3500</v>
      </c>
      <c r="F2526" s="39">
        <v>928558.88</v>
      </c>
      <c r="G2526" s="40">
        <v>265.30253714285709</v>
      </c>
      <c r="H2526" s="41">
        <v>2.1771823098266248E-2</v>
      </c>
      <c r="I2526" s="40">
        <v>37.742571428571431</v>
      </c>
      <c r="J2526" s="41">
        <v>0.14226238405043309</v>
      </c>
      <c r="K2526" s="9" t="s">
        <v>3586</v>
      </c>
    </row>
    <row r="2527" spans="1:11" x14ac:dyDescent="0.2">
      <c r="A2527" s="9" t="s">
        <v>25</v>
      </c>
      <c r="B2527" s="9" t="s">
        <v>3587</v>
      </c>
      <c r="C2527" s="9"/>
      <c r="D2527" s="9" t="s">
        <v>78</v>
      </c>
      <c r="E2527" s="38">
        <v>1071</v>
      </c>
      <c r="F2527" s="39">
        <v>300829.62</v>
      </c>
      <c r="G2527" s="40">
        <v>280.88666666666671</v>
      </c>
      <c r="H2527" s="41">
        <v>0.28727392656436362</v>
      </c>
      <c r="I2527" s="40">
        <v>75.114285714285714</v>
      </c>
      <c r="J2527" s="41">
        <v>0.26741848093282827</v>
      </c>
      <c r="K2527" s="9" t="s">
        <v>3588</v>
      </c>
    </row>
    <row r="2528" spans="1:11" x14ac:dyDescent="0.2">
      <c r="A2528" s="9" t="s">
        <v>25</v>
      </c>
      <c r="B2528" s="9" t="s">
        <v>3589</v>
      </c>
      <c r="C2528" s="9"/>
      <c r="D2528" s="9" t="s">
        <v>79</v>
      </c>
      <c r="E2528" s="38">
        <v>1499</v>
      </c>
      <c r="F2528" s="39">
        <v>475440</v>
      </c>
      <c r="G2528" s="40">
        <v>317.17144763175452</v>
      </c>
      <c r="H2528" s="41">
        <v>-8.0242745962133336E-2</v>
      </c>
      <c r="I2528" s="40">
        <v>90.294916611074058</v>
      </c>
      <c r="J2528" s="41">
        <v>0.28468803634528023</v>
      </c>
      <c r="K2528" s="9" t="s">
        <v>3590</v>
      </c>
    </row>
    <row r="2529" spans="1:11" x14ac:dyDescent="0.2">
      <c r="A2529" s="9" t="s">
        <v>25</v>
      </c>
      <c r="B2529" s="9" t="s">
        <v>3591</v>
      </c>
      <c r="C2529" s="9"/>
      <c r="D2529" s="9" t="s">
        <v>76</v>
      </c>
      <c r="E2529" s="38">
        <v>2882</v>
      </c>
      <c r="F2529" s="39">
        <v>347188.02</v>
      </c>
      <c r="G2529" s="40">
        <v>120.46773768216519</v>
      </c>
      <c r="H2529" s="41"/>
      <c r="I2529" s="40">
        <v>34.008299791811247</v>
      </c>
      <c r="J2529" s="41">
        <v>0.28230213703802343</v>
      </c>
      <c r="K2529" s="9" t="s">
        <v>3592</v>
      </c>
    </row>
    <row r="2530" spans="1:11" x14ac:dyDescent="0.2">
      <c r="A2530" s="9" t="s">
        <v>25</v>
      </c>
      <c r="B2530" s="9" t="s">
        <v>317</v>
      </c>
      <c r="C2530" s="9"/>
      <c r="D2530" s="9" t="s">
        <v>76</v>
      </c>
      <c r="E2530" s="38">
        <v>3739</v>
      </c>
      <c r="F2530" s="39">
        <v>1524853</v>
      </c>
      <c r="G2530" s="40">
        <v>407.82374966568602</v>
      </c>
      <c r="H2530" s="41">
        <v>0.18037135740503821</v>
      </c>
      <c r="I2530" s="40">
        <v>51.083188018186682</v>
      </c>
      <c r="J2530" s="41">
        <v>0.12525800191887351</v>
      </c>
      <c r="K2530" s="9" t="s">
        <v>3593</v>
      </c>
    </row>
    <row r="2531" spans="1:11" x14ac:dyDescent="0.2">
      <c r="A2531" s="9" t="s">
        <v>25</v>
      </c>
      <c r="B2531" s="9" t="s">
        <v>321</v>
      </c>
      <c r="C2531" s="9"/>
      <c r="D2531" s="9" t="s">
        <v>78</v>
      </c>
      <c r="E2531" s="38">
        <v>1000</v>
      </c>
      <c r="F2531" s="39">
        <v>3259286.65</v>
      </c>
      <c r="G2531" s="40">
        <v>3259.28665</v>
      </c>
      <c r="H2531" s="41">
        <v>-5.934069068168886E-2</v>
      </c>
      <c r="I2531" s="40">
        <v>263.00051999999999</v>
      </c>
      <c r="J2531" s="41">
        <v>8.0692663224328554E-2</v>
      </c>
      <c r="K2531" s="9" t="s">
        <v>3594</v>
      </c>
    </row>
    <row r="2532" spans="1:11" x14ac:dyDescent="0.2">
      <c r="A2532" s="9" t="s">
        <v>25</v>
      </c>
      <c r="B2532" s="9" t="s">
        <v>1684</v>
      </c>
      <c r="C2532" s="9"/>
      <c r="D2532" s="9" t="s">
        <v>79</v>
      </c>
      <c r="E2532" s="38">
        <v>1502</v>
      </c>
      <c r="F2532" s="39">
        <v>1878515.75</v>
      </c>
      <c r="G2532" s="40">
        <v>1250.6762649800271</v>
      </c>
      <c r="H2532" s="41">
        <v>8.6267549918121762E-3</v>
      </c>
      <c r="I2532" s="40">
        <v>128.90428761651131</v>
      </c>
      <c r="J2532" s="41">
        <v>0.1030676692489802</v>
      </c>
      <c r="K2532" s="9" t="s">
        <v>3595</v>
      </c>
    </row>
    <row r="2533" spans="1:11" x14ac:dyDescent="0.2">
      <c r="A2533" s="9" t="s">
        <v>25</v>
      </c>
      <c r="B2533" s="9" t="s">
        <v>3596</v>
      </c>
      <c r="C2533" s="9"/>
      <c r="D2533" s="9" t="s">
        <v>78</v>
      </c>
      <c r="E2533" s="38">
        <v>150</v>
      </c>
      <c r="F2533" s="39">
        <v>852911.05</v>
      </c>
      <c r="G2533" s="40">
        <v>5686.0736666666671</v>
      </c>
      <c r="H2533" s="41">
        <v>6.5480002584962426E-3</v>
      </c>
      <c r="I2533" s="40">
        <v>692.11359999999991</v>
      </c>
      <c r="J2533" s="41">
        <v>0.1217208289187952</v>
      </c>
      <c r="K2533" s="9" t="s">
        <v>3597</v>
      </c>
    </row>
    <row r="2534" spans="1:11" x14ac:dyDescent="0.2">
      <c r="A2534" s="9" t="s">
        <v>25</v>
      </c>
      <c r="B2534" s="9" t="s">
        <v>331</v>
      </c>
      <c r="C2534" s="9"/>
      <c r="D2534" s="9" t="s">
        <v>81</v>
      </c>
      <c r="E2534" s="38">
        <v>774</v>
      </c>
      <c r="F2534" s="39">
        <v>1222838.74</v>
      </c>
      <c r="G2534" s="40">
        <v>1579.895012919897</v>
      </c>
      <c r="H2534" s="41">
        <v>1.7150216382952811E-2</v>
      </c>
      <c r="I2534" s="40">
        <v>246.05844961240311</v>
      </c>
      <c r="J2534" s="41">
        <v>0.15574354472937291</v>
      </c>
      <c r="K2534" s="9" t="s">
        <v>3598</v>
      </c>
    </row>
    <row r="2535" spans="1:11" x14ac:dyDescent="0.2">
      <c r="A2535" s="9" t="s">
        <v>25</v>
      </c>
      <c r="B2535" s="9" t="s">
        <v>339</v>
      </c>
      <c r="C2535" s="9"/>
      <c r="D2535" s="9" t="s">
        <v>80</v>
      </c>
      <c r="E2535" s="38">
        <v>762</v>
      </c>
      <c r="F2535" s="39">
        <v>921166.3</v>
      </c>
      <c r="G2535" s="40">
        <v>1208.8796587926511</v>
      </c>
      <c r="H2535" s="41">
        <v>-6.567867057561029E-2</v>
      </c>
      <c r="I2535" s="40">
        <v>216.90110236220471</v>
      </c>
      <c r="J2535" s="41">
        <v>0.17942323769334589</v>
      </c>
      <c r="K2535" s="9" t="s">
        <v>3599</v>
      </c>
    </row>
    <row r="2536" spans="1:11" x14ac:dyDescent="0.2">
      <c r="A2536" s="9" t="s">
        <v>25</v>
      </c>
      <c r="B2536" s="9" t="s">
        <v>3600</v>
      </c>
      <c r="C2536" s="9"/>
      <c r="D2536" s="9" t="s">
        <v>80</v>
      </c>
      <c r="E2536" s="38">
        <v>892</v>
      </c>
      <c r="F2536" s="39">
        <v>210000.6</v>
      </c>
      <c r="G2536" s="40">
        <v>235.4266816143498</v>
      </c>
      <c r="H2536" s="41">
        <v>-0.2225079600148093</v>
      </c>
      <c r="I2536" s="40">
        <v>71.360986547085204</v>
      </c>
      <c r="J2536" s="41">
        <v>0.3031134196759438</v>
      </c>
      <c r="K2536" s="9" t="s">
        <v>3601</v>
      </c>
    </row>
    <row r="2537" spans="1:11" x14ac:dyDescent="0.2">
      <c r="A2537" s="9" t="s">
        <v>25</v>
      </c>
      <c r="B2537" s="9" t="s">
        <v>3600</v>
      </c>
      <c r="C2537" s="9"/>
      <c r="D2537" s="9" t="s">
        <v>80</v>
      </c>
      <c r="E2537" s="38">
        <v>200</v>
      </c>
      <c r="F2537" s="39">
        <v>206645.75</v>
      </c>
      <c r="G2537" s="40">
        <v>1033.22875</v>
      </c>
      <c r="H2537" s="41">
        <v>-0.19149516804256819</v>
      </c>
      <c r="I2537" s="40">
        <v>318.27</v>
      </c>
      <c r="J2537" s="41">
        <v>0.30803440186889891</v>
      </c>
      <c r="K2537" s="9" t="s">
        <v>3601</v>
      </c>
    </row>
    <row r="2538" spans="1:11" x14ac:dyDescent="0.2">
      <c r="A2538" s="9" t="s">
        <v>25</v>
      </c>
      <c r="B2538" s="9" t="s">
        <v>727</v>
      </c>
      <c r="C2538" s="9"/>
      <c r="D2538" s="9" t="s">
        <v>77</v>
      </c>
      <c r="E2538" s="38">
        <v>4891</v>
      </c>
      <c r="F2538" s="39">
        <v>3611418</v>
      </c>
      <c r="G2538" s="40">
        <v>738.38029032917609</v>
      </c>
      <c r="H2538" s="41">
        <v>-5.0119280267861138E-2</v>
      </c>
      <c r="I2538" s="40">
        <v>44.360425270905743</v>
      </c>
      <c r="J2538" s="41">
        <v>6.0078019215720813E-2</v>
      </c>
      <c r="K2538" s="9" t="s">
        <v>3602</v>
      </c>
    </row>
    <row r="2539" spans="1:11" x14ac:dyDescent="0.2">
      <c r="A2539" s="9" t="s">
        <v>25</v>
      </c>
      <c r="B2539" s="9" t="s">
        <v>355</v>
      </c>
      <c r="C2539" s="9"/>
      <c r="D2539" s="9" t="s">
        <v>82</v>
      </c>
      <c r="E2539" s="38">
        <v>1867</v>
      </c>
      <c r="F2539" s="39">
        <v>882326.79</v>
      </c>
      <c r="G2539" s="40">
        <v>472.59067487948579</v>
      </c>
      <c r="H2539" s="41">
        <v>-0.1139890880269247</v>
      </c>
      <c r="I2539" s="40">
        <v>64.274236743438678</v>
      </c>
      <c r="J2539" s="41">
        <v>0.1360040308874674</v>
      </c>
      <c r="K2539" s="9" t="s">
        <v>3603</v>
      </c>
    </row>
    <row r="2540" spans="1:11" x14ac:dyDescent="0.2">
      <c r="A2540" s="9" t="s">
        <v>25</v>
      </c>
      <c r="B2540" s="9" t="s">
        <v>538</v>
      </c>
      <c r="C2540" s="9"/>
      <c r="D2540" s="9" t="s">
        <v>80</v>
      </c>
      <c r="E2540" s="38">
        <v>1235</v>
      </c>
      <c r="F2540" s="39">
        <v>974583.98</v>
      </c>
      <c r="G2540" s="40">
        <v>789.13682591093118</v>
      </c>
      <c r="H2540" s="41">
        <v>-0.1588186142569884</v>
      </c>
      <c r="I2540" s="40">
        <v>98.341700404858301</v>
      </c>
      <c r="J2540" s="41">
        <v>0.12461932731543569</v>
      </c>
      <c r="K2540" s="9" t="s">
        <v>3604</v>
      </c>
    </row>
    <row r="2541" spans="1:11" x14ac:dyDescent="0.2">
      <c r="A2541" s="9" t="s">
        <v>25</v>
      </c>
      <c r="B2541" s="9" t="s">
        <v>357</v>
      </c>
      <c r="C2541" s="9"/>
      <c r="D2541" s="9" t="s">
        <v>76</v>
      </c>
      <c r="E2541" s="38">
        <v>756</v>
      </c>
      <c r="F2541" s="39">
        <v>1106184.33</v>
      </c>
      <c r="G2541" s="40">
        <v>1463.2067857142861</v>
      </c>
      <c r="H2541" s="41">
        <v>3.3500802324522239E-2</v>
      </c>
      <c r="I2541" s="40">
        <v>203.63095238095241</v>
      </c>
      <c r="J2541" s="41">
        <v>0.1391675833990525</v>
      </c>
      <c r="K2541" s="9" t="s">
        <v>3605</v>
      </c>
    </row>
    <row r="2542" spans="1:11" x14ac:dyDescent="0.2">
      <c r="A2542" s="9" t="s">
        <v>25</v>
      </c>
      <c r="B2542" s="9" t="s">
        <v>2288</v>
      </c>
      <c r="C2542" s="9"/>
      <c r="D2542" s="9" t="s">
        <v>78</v>
      </c>
      <c r="E2542" s="38">
        <v>728</v>
      </c>
      <c r="F2542" s="39">
        <v>356740</v>
      </c>
      <c r="G2542" s="40">
        <v>490.02747252747253</v>
      </c>
      <c r="H2542" s="41">
        <v>-3.2503452506846407E-2</v>
      </c>
      <c r="I2542" s="40">
        <v>88.112472527472534</v>
      </c>
      <c r="J2542" s="41">
        <v>0.1798112911364019</v>
      </c>
      <c r="K2542" s="9" t="s">
        <v>3606</v>
      </c>
    </row>
    <row r="2543" spans="1:11" x14ac:dyDescent="0.2">
      <c r="A2543" s="9" t="s">
        <v>25</v>
      </c>
      <c r="B2543" s="9" t="s">
        <v>369</v>
      </c>
      <c r="C2543" s="9"/>
      <c r="D2543" s="9" t="s">
        <v>84</v>
      </c>
      <c r="E2543" s="38">
        <v>2005</v>
      </c>
      <c r="F2543" s="39">
        <v>0</v>
      </c>
      <c r="G2543" s="40"/>
      <c r="H2543" s="41"/>
      <c r="I2543" s="40">
        <v>67.077067331670833</v>
      </c>
      <c r="J2543" s="41"/>
      <c r="K2543" s="9" t="s">
        <v>3607</v>
      </c>
    </row>
    <row r="2544" spans="1:11" x14ac:dyDescent="0.2">
      <c r="A2544" s="9" t="s">
        <v>25</v>
      </c>
      <c r="B2544" s="9" t="s">
        <v>1844</v>
      </c>
      <c r="C2544" s="9"/>
      <c r="D2544" s="9" t="s">
        <v>76</v>
      </c>
      <c r="E2544" s="38">
        <v>3500</v>
      </c>
      <c r="F2544" s="39">
        <v>1173565.31</v>
      </c>
      <c r="G2544" s="40">
        <v>335.30437428571429</v>
      </c>
      <c r="H2544" s="41">
        <v>-0.17196508259243309</v>
      </c>
      <c r="I2544" s="40">
        <v>0</v>
      </c>
      <c r="J2544" s="41">
        <v>0</v>
      </c>
      <c r="K2544" s="9" t="s">
        <v>3608</v>
      </c>
    </row>
    <row r="2545" spans="1:11" x14ac:dyDescent="0.2">
      <c r="A2545" s="9" t="s">
        <v>25</v>
      </c>
      <c r="B2545" s="9" t="s">
        <v>371</v>
      </c>
      <c r="C2545" s="9"/>
      <c r="D2545" s="9" t="s">
        <v>76</v>
      </c>
      <c r="E2545" s="38">
        <v>3384</v>
      </c>
      <c r="F2545" s="39">
        <v>365402.9</v>
      </c>
      <c r="G2545" s="40">
        <v>107.9795803782506</v>
      </c>
      <c r="H2545" s="41">
        <v>9.7729010770757158E-2</v>
      </c>
      <c r="I2545" s="40">
        <v>0</v>
      </c>
      <c r="J2545" s="41">
        <v>0</v>
      </c>
      <c r="K2545" s="9" t="s">
        <v>3609</v>
      </c>
    </row>
    <row r="2546" spans="1:11" x14ac:dyDescent="0.2">
      <c r="A2546" s="9" t="s">
        <v>25</v>
      </c>
      <c r="B2546" s="9" t="s">
        <v>384</v>
      </c>
      <c r="C2546" s="9"/>
      <c r="D2546" s="9" t="s">
        <v>77</v>
      </c>
      <c r="E2546" s="38">
        <v>3000</v>
      </c>
      <c r="F2546" s="39">
        <v>572014.75</v>
      </c>
      <c r="G2546" s="40">
        <v>190.6715833333333</v>
      </c>
      <c r="H2546" s="41">
        <v>-0.15396160279793661</v>
      </c>
      <c r="I2546" s="40">
        <v>23.333320000000001</v>
      </c>
      <c r="J2546" s="41">
        <v>0.1223743968140682</v>
      </c>
      <c r="K2546" s="9" t="s">
        <v>3610</v>
      </c>
    </row>
    <row r="2547" spans="1:11" x14ac:dyDescent="0.2">
      <c r="A2547" s="9" t="s">
        <v>25</v>
      </c>
      <c r="B2547" s="9" t="s">
        <v>3611</v>
      </c>
      <c r="C2547" s="9"/>
      <c r="D2547" s="9" t="s">
        <v>77</v>
      </c>
      <c r="E2547" s="38">
        <v>3317</v>
      </c>
      <c r="F2547" s="39">
        <v>0</v>
      </c>
      <c r="G2547" s="40"/>
      <c r="H2547" s="41"/>
      <c r="I2547" s="40">
        <v>47.328405185408513</v>
      </c>
      <c r="J2547" s="41"/>
      <c r="K2547" s="9" t="s">
        <v>3612</v>
      </c>
    </row>
    <row r="2548" spans="1:11" x14ac:dyDescent="0.2">
      <c r="A2548" s="9" t="s">
        <v>25</v>
      </c>
      <c r="B2548" s="9" t="s">
        <v>1560</v>
      </c>
      <c r="C2548" s="9"/>
      <c r="D2548" s="9" t="s">
        <v>76</v>
      </c>
      <c r="E2548" s="38">
        <v>6174</v>
      </c>
      <c r="F2548" s="39">
        <v>465935</v>
      </c>
      <c r="G2548" s="40">
        <v>75.467282150955626</v>
      </c>
      <c r="H2548" s="41">
        <v>-4.7611747487878872E-2</v>
      </c>
      <c r="I2548" s="40">
        <v>12.95757045675413</v>
      </c>
      <c r="J2548" s="41">
        <v>0.1716978548509985</v>
      </c>
      <c r="K2548" s="9" t="s">
        <v>3613</v>
      </c>
    </row>
    <row r="2549" spans="1:11" x14ac:dyDescent="0.2">
      <c r="A2549" s="9" t="s">
        <v>25</v>
      </c>
      <c r="B2549" s="9" t="s">
        <v>388</v>
      </c>
      <c r="C2549" s="9"/>
      <c r="D2549" s="9" t="s">
        <v>76</v>
      </c>
      <c r="E2549" s="38">
        <v>12525</v>
      </c>
      <c r="F2549" s="39">
        <v>6390155.46</v>
      </c>
      <c r="G2549" s="40">
        <v>510.19205269461082</v>
      </c>
      <c r="H2549" s="41">
        <v>-3.1104832634482289E-2</v>
      </c>
      <c r="I2549" s="40">
        <v>59.880239520958092</v>
      </c>
      <c r="J2549" s="41">
        <v>0.1173680366142454</v>
      </c>
      <c r="K2549" s="9" t="s">
        <v>3614</v>
      </c>
    </row>
    <row r="2550" spans="1:11" x14ac:dyDescent="0.2">
      <c r="A2550" s="9" t="s">
        <v>25</v>
      </c>
      <c r="B2550" s="9" t="s">
        <v>392</v>
      </c>
      <c r="C2550" s="9"/>
      <c r="D2550" s="9" t="s">
        <v>76</v>
      </c>
      <c r="E2550" s="38">
        <v>4310</v>
      </c>
      <c r="F2550" s="39">
        <v>1714482.21</v>
      </c>
      <c r="G2550" s="40">
        <v>397.79169605568438</v>
      </c>
      <c r="H2550" s="41">
        <v>0.25179839553191902</v>
      </c>
      <c r="I2550" s="40">
        <v>44.083600928074247</v>
      </c>
      <c r="J2550" s="41">
        <v>0.1108208174408529</v>
      </c>
      <c r="K2550" s="9" t="s">
        <v>3615</v>
      </c>
    </row>
    <row r="2551" spans="1:11" x14ac:dyDescent="0.2">
      <c r="A2551" s="9" t="s">
        <v>25</v>
      </c>
      <c r="B2551" s="9" t="s">
        <v>3616</v>
      </c>
      <c r="C2551" s="9"/>
      <c r="D2551" s="9" t="s">
        <v>81</v>
      </c>
      <c r="E2551" s="38">
        <v>762</v>
      </c>
      <c r="F2551" s="39">
        <v>2225105.2000000002</v>
      </c>
      <c r="G2551" s="40">
        <v>2920.085564304462</v>
      </c>
      <c r="H2551" s="41">
        <v>3.9948837123197418E-2</v>
      </c>
      <c r="I2551" s="40">
        <v>429.18456692913389</v>
      </c>
      <c r="J2551" s="41">
        <v>0.1469767092360397</v>
      </c>
      <c r="K2551" s="9" t="s">
        <v>3617</v>
      </c>
    </row>
    <row r="2552" spans="1:11" x14ac:dyDescent="0.2">
      <c r="A2552" s="9" t="s">
        <v>25</v>
      </c>
      <c r="B2552" s="9" t="s">
        <v>396</v>
      </c>
      <c r="C2552" s="9"/>
      <c r="D2552" s="9" t="s">
        <v>78</v>
      </c>
      <c r="E2552" s="38">
        <v>1798</v>
      </c>
      <c r="F2552" s="39">
        <v>1518822.3</v>
      </c>
      <c r="G2552" s="40">
        <v>844.72875417130149</v>
      </c>
      <c r="H2552" s="41">
        <v>-5.7561426478603177E-2</v>
      </c>
      <c r="I2552" s="40">
        <v>138.96660734149049</v>
      </c>
      <c r="J2552" s="41">
        <v>0.16451033145878879</v>
      </c>
      <c r="K2552" s="9" t="s">
        <v>3618</v>
      </c>
    </row>
    <row r="2553" spans="1:11" x14ac:dyDescent="0.2">
      <c r="A2553" s="9" t="s">
        <v>25</v>
      </c>
      <c r="B2553" s="9" t="s">
        <v>398</v>
      </c>
      <c r="C2553" s="9"/>
      <c r="D2553" s="9" t="s">
        <v>76</v>
      </c>
      <c r="E2553" s="38">
        <v>2000</v>
      </c>
      <c r="F2553" s="39">
        <v>962634.34</v>
      </c>
      <c r="G2553" s="40">
        <v>481.31716999999998</v>
      </c>
      <c r="H2553" s="41">
        <v>0.28517044315424361</v>
      </c>
      <c r="I2553" s="40">
        <v>55.000019999999999</v>
      </c>
      <c r="J2553" s="41">
        <v>0.1142698067471809</v>
      </c>
      <c r="K2553" s="9" t="s">
        <v>3619</v>
      </c>
    </row>
    <row r="2554" spans="1:11" x14ac:dyDescent="0.2">
      <c r="A2554" s="9" t="s">
        <v>43</v>
      </c>
      <c r="B2554" s="9" t="s">
        <v>3620</v>
      </c>
      <c r="C2554" s="9"/>
      <c r="D2554" s="9" t="s">
        <v>76</v>
      </c>
      <c r="E2554" s="38">
        <v>7221</v>
      </c>
      <c r="F2554" s="39">
        <v>974445.02</v>
      </c>
      <c r="G2554" s="40">
        <v>134.9459936296912</v>
      </c>
      <c r="H2554" s="41">
        <v>-0.12314844885176771</v>
      </c>
      <c r="I2554" s="40">
        <v>21.819969588699621</v>
      </c>
      <c r="J2554" s="41">
        <v>0.16169408962652401</v>
      </c>
      <c r="K2554" s="9" t="s">
        <v>3621</v>
      </c>
    </row>
    <row r="2555" spans="1:11" x14ac:dyDescent="0.2">
      <c r="A2555" s="9" t="s">
        <v>43</v>
      </c>
      <c r="B2555" s="9" t="s">
        <v>166</v>
      </c>
      <c r="C2555" s="9"/>
      <c r="D2555" s="9" t="s">
        <v>76</v>
      </c>
      <c r="E2555" s="38">
        <v>7924</v>
      </c>
      <c r="F2555" s="39">
        <v>3117303.28</v>
      </c>
      <c r="G2555" s="40">
        <v>393.4002120141343</v>
      </c>
      <c r="H2555" s="41">
        <v>-1.5393896900416199E-3</v>
      </c>
      <c r="I2555" s="40">
        <v>59.607515042907622</v>
      </c>
      <c r="J2555" s="41">
        <v>0.1515187669516711</v>
      </c>
      <c r="K2555" s="9" t="s">
        <v>3622</v>
      </c>
    </row>
    <row r="2556" spans="1:11" x14ac:dyDescent="0.2">
      <c r="A2556" s="9" t="s">
        <v>43</v>
      </c>
      <c r="B2556" s="9" t="s">
        <v>3623</v>
      </c>
      <c r="C2556" s="9"/>
      <c r="D2556" s="9" t="s">
        <v>76</v>
      </c>
      <c r="E2556" s="38">
        <v>37293</v>
      </c>
      <c r="F2556" s="39">
        <v>0</v>
      </c>
      <c r="G2556" s="40"/>
      <c r="H2556" s="41"/>
      <c r="I2556" s="40">
        <v>5.63</v>
      </c>
      <c r="J2556" s="41"/>
      <c r="K2556" s="9" t="s">
        <v>3624</v>
      </c>
    </row>
    <row r="2557" spans="1:11" x14ac:dyDescent="0.2">
      <c r="A2557" s="9" t="s">
        <v>43</v>
      </c>
      <c r="B2557" s="9" t="s">
        <v>169</v>
      </c>
      <c r="C2557" s="9"/>
      <c r="D2557" s="9" t="s">
        <v>76</v>
      </c>
      <c r="E2557" s="38">
        <v>10763</v>
      </c>
      <c r="F2557" s="39">
        <v>4882671</v>
      </c>
      <c r="G2557" s="40">
        <v>453.65334943788912</v>
      </c>
      <c r="H2557" s="41">
        <v>0.13398253454308931</v>
      </c>
      <c r="I2557" s="40">
        <v>68.846976084734749</v>
      </c>
      <c r="J2557" s="41">
        <v>0.1517611986554081</v>
      </c>
      <c r="K2557" s="9" t="s">
        <v>3625</v>
      </c>
    </row>
    <row r="2558" spans="1:11" x14ac:dyDescent="0.2">
      <c r="A2558" s="9" t="s">
        <v>43</v>
      </c>
      <c r="B2558" s="9" t="s">
        <v>173</v>
      </c>
      <c r="C2558" s="9"/>
      <c r="D2558" s="9" t="s">
        <v>80</v>
      </c>
      <c r="E2558" s="38">
        <v>180</v>
      </c>
      <c r="F2558" s="39">
        <v>619484</v>
      </c>
      <c r="G2558" s="40">
        <v>3441.577777777778</v>
      </c>
      <c r="H2558" s="41">
        <v>1.797209223716317E-2</v>
      </c>
      <c r="I2558" s="40">
        <v>445.82444444444451</v>
      </c>
      <c r="J2558" s="41">
        <v>0.12954071453015739</v>
      </c>
      <c r="K2558" s="9" t="s">
        <v>3626</v>
      </c>
    </row>
    <row r="2559" spans="1:11" x14ac:dyDescent="0.2">
      <c r="A2559" s="9" t="s">
        <v>43</v>
      </c>
      <c r="B2559" s="9" t="s">
        <v>415</v>
      </c>
      <c r="C2559" s="9"/>
      <c r="D2559" s="9" t="s">
        <v>83</v>
      </c>
      <c r="E2559" s="38">
        <v>7500</v>
      </c>
      <c r="F2559" s="39">
        <v>0</v>
      </c>
      <c r="G2559" s="40"/>
      <c r="H2559" s="41"/>
      <c r="I2559" s="40">
        <v>27.968982879999999</v>
      </c>
      <c r="J2559" s="41"/>
      <c r="K2559" s="9" t="s">
        <v>3627</v>
      </c>
    </row>
    <row r="2560" spans="1:11" x14ac:dyDescent="0.2">
      <c r="A2560" s="9" t="s">
        <v>43</v>
      </c>
      <c r="B2560" s="9" t="s">
        <v>1443</v>
      </c>
      <c r="C2560" s="9"/>
      <c r="D2560" s="9" t="s">
        <v>78</v>
      </c>
      <c r="E2560" s="38">
        <v>192</v>
      </c>
      <c r="F2560" s="39">
        <v>631981.92000000004</v>
      </c>
      <c r="G2560" s="40">
        <v>3291.5725000000002</v>
      </c>
      <c r="H2560" s="41">
        <v>0.11653729790723399</v>
      </c>
      <c r="I2560" s="40">
        <v>390.625</v>
      </c>
      <c r="J2560" s="41">
        <v>0.11867428106171141</v>
      </c>
      <c r="K2560" s="9" t="s">
        <v>3628</v>
      </c>
    </row>
    <row r="2561" spans="1:11" x14ac:dyDescent="0.2">
      <c r="A2561" s="9" t="s">
        <v>43</v>
      </c>
      <c r="B2561" s="9" t="s">
        <v>177</v>
      </c>
      <c r="C2561" s="9"/>
      <c r="D2561" s="9" t="s">
        <v>85</v>
      </c>
      <c r="E2561" s="38">
        <v>19398</v>
      </c>
      <c r="F2561" s="39">
        <v>0</v>
      </c>
      <c r="G2561" s="40"/>
      <c r="H2561" s="41"/>
      <c r="I2561" s="40">
        <v>22.94</v>
      </c>
      <c r="J2561" s="41"/>
      <c r="K2561" s="9" t="s">
        <v>3629</v>
      </c>
    </row>
    <row r="2562" spans="1:11" x14ac:dyDescent="0.2">
      <c r="A2562" s="9" t="s">
        <v>43</v>
      </c>
      <c r="B2562" s="9" t="s">
        <v>179</v>
      </c>
      <c r="C2562" s="9"/>
      <c r="D2562" s="9" t="s">
        <v>79</v>
      </c>
      <c r="E2562" s="38">
        <v>4547</v>
      </c>
      <c r="F2562" s="39">
        <v>4538009</v>
      </c>
      <c r="G2562" s="40">
        <v>998.02265229821865</v>
      </c>
      <c r="H2562" s="41">
        <v>9.1614044247742984E-2</v>
      </c>
      <c r="I2562" s="40">
        <v>82.291575632285046</v>
      </c>
      <c r="J2562" s="41">
        <v>8.2454617079869189E-2</v>
      </c>
      <c r="K2562" s="9" t="s">
        <v>3630</v>
      </c>
    </row>
    <row r="2563" spans="1:11" x14ac:dyDescent="0.2">
      <c r="A2563" s="9" t="s">
        <v>43</v>
      </c>
      <c r="B2563" s="9" t="s">
        <v>181</v>
      </c>
      <c r="C2563" s="9"/>
      <c r="D2563" s="9" t="s">
        <v>83</v>
      </c>
      <c r="E2563" s="38">
        <v>1404</v>
      </c>
      <c r="F2563" s="39">
        <v>135374</v>
      </c>
      <c r="G2563" s="40">
        <v>96.420227920227916</v>
      </c>
      <c r="H2563" s="41"/>
      <c r="I2563" s="40">
        <v>67.663817948717949</v>
      </c>
      <c r="J2563" s="41">
        <v>0.70175957273922618</v>
      </c>
      <c r="K2563" s="9" t="s">
        <v>3631</v>
      </c>
    </row>
    <row r="2564" spans="1:11" x14ac:dyDescent="0.2">
      <c r="A2564" s="9" t="s">
        <v>43</v>
      </c>
      <c r="B2564" s="9" t="s">
        <v>1447</v>
      </c>
      <c r="C2564" s="9"/>
      <c r="D2564" s="9" t="s">
        <v>83</v>
      </c>
      <c r="E2564" s="38">
        <v>4</v>
      </c>
      <c r="F2564" s="39">
        <v>0</v>
      </c>
      <c r="G2564" s="40"/>
      <c r="H2564" s="41"/>
      <c r="I2564" s="40">
        <v>1200</v>
      </c>
      <c r="J2564" s="41"/>
      <c r="K2564" s="9" t="s">
        <v>3632</v>
      </c>
    </row>
    <row r="2565" spans="1:11" x14ac:dyDescent="0.2">
      <c r="A2565" s="9" t="s">
        <v>43</v>
      </c>
      <c r="B2565" s="9" t="s">
        <v>868</v>
      </c>
      <c r="C2565" s="9"/>
      <c r="D2565" s="9" t="s">
        <v>85</v>
      </c>
      <c r="E2565" s="38">
        <v>4924</v>
      </c>
      <c r="F2565" s="39">
        <v>0</v>
      </c>
      <c r="G2565" s="40"/>
      <c r="H2565" s="41">
        <v>7.8259547253804171E-2</v>
      </c>
      <c r="I2565" s="40">
        <v>20.307979203899269</v>
      </c>
      <c r="J2565" s="41"/>
      <c r="K2565" s="9" t="s">
        <v>3633</v>
      </c>
    </row>
    <row r="2566" spans="1:11" x14ac:dyDescent="0.2">
      <c r="A2566" s="9" t="s">
        <v>43</v>
      </c>
      <c r="B2566" s="9" t="s">
        <v>187</v>
      </c>
      <c r="C2566" s="9"/>
      <c r="D2566" s="9" t="s">
        <v>76</v>
      </c>
      <c r="E2566" s="38">
        <v>2522</v>
      </c>
      <c r="F2566" s="39">
        <v>781356.81</v>
      </c>
      <c r="G2566" s="40">
        <v>309.8163402061856</v>
      </c>
      <c r="H2566" s="41">
        <v>8.8080385015059132E-2</v>
      </c>
      <c r="I2566" s="40">
        <v>34.892941950832672</v>
      </c>
      <c r="J2566" s="41">
        <v>0.1126246018128389</v>
      </c>
      <c r="K2566" s="9" t="s">
        <v>3634</v>
      </c>
    </row>
    <row r="2567" spans="1:11" x14ac:dyDescent="0.2">
      <c r="A2567" s="9" t="s">
        <v>43</v>
      </c>
      <c r="B2567" s="9" t="s">
        <v>191</v>
      </c>
      <c r="C2567" s="9"/>
      <c r="D2567" s="9" t="s">
        <v>76</v>
      </c>
      <c r="E2567" s="38">
        <v>5345</v>
      </c>
      <c r="F2567" s="39">
        <v>2278584.5099999998</v>
      </c>
      <c r="G2567" s="40">
        <v>426.30205986903638</v>
      </c>
      <c r="H2567" s="41">
        <v>-2.3953907309070429E-2</v>
      </c>
      <c r="I2567" s="40">
        <v>57.360163442469599</v>
      </c>
      <c r="J2567" s="41">
        <v>0.1345528648397597</v>
      </c>
      <c r="K2567" s="9" t="s">
        <v>3635</v>
      </c>
    </row>
    <row r="2568" spans="1:11" x14ac:dyDescent="0.2">
      <c r="A2568" s="9" t="s">
        <v>43</v>
      </c>
      <c r="B2568" s="9" t="s">
        <v>193</v>
      </c>
      <c r="C2568" s="9"/>
      <c r="D2568" s="9" t="s">
        <v>82</v>
      </c>
      <c r="E2568" s="38">
        <v>2500</v>
      </c>
      <c r="F2568" s="39">
        <v>610940.91999999993</v>
      </c>
      <c r="G2568" s="40">
        <v>244.37636800000001</v>
      </c>
      <c r="H2568" s="41">
        <v>2.4095002997066441E-2</v>
      </c>
      <c r="I2568" s="40">
        <v>12.80000016</v>
      </c>
      <c r="J2568" s="41">
        <v>5.237822406788533E-2</v>
      </c>
      <c r="K2568" s="9" t="s">
        <v>3636</v>
      </c>
    </row>
    <row r="2569" spans="1:11" x14ac:dyDescent="0.2">
      <c r="A2569" s="9" t="s">
        <v>43</v>
      </c>
      <c r="B2569" s="9" t="s">
        <v>3637</v>
      </c>
      <c r="C2569" s="9"/>
      <c r="D2569" s="9" t="s">
        <v>76</v>
      </c>
      <c r="E2569" s="38">
        <v>4808</v>
      </c>
      <c r="F2569" s="39">
        <v>549190</v>
      </c>
      <c r="G2569" s="40">
        <v>114.2242096505824</v>
      </c>
      <c r="H2569" s="41">
        <v>0.1145732884858871</v>
      </c>
      <c r="I2569" s="40">
        <v>13.70690515806988</v>
      </c>
      <c r="J2569" s="41">
        <v>0.12</v>
      </c>
      <c r="K2569" s="9" t="s">
        <v>3638</v>
      </c>
    </row>
    <row r="2570" spans="1:11" x14ac:dyDescent="0.2">
      <c r="A2570" s="9" t="s">
        <v>43</v>
      </c>
      <c r="B2570" s="9" t="s">
        <v>3639</v>
      </c>
      <c r="C2570" s="9"/>
      <c r="D2570" s="9" t="s">
        <v>84</v>
      </c>
      <c r="E2570" s="38">
        <v>180</v>
      </c>
      <c r="F2570" s="39">
        <v>0</v>
      </c>
      <c r="G2570" s="40"/>
      <c r="H2570" s="41"/>
      <c r="I2570" s="40">
        <v>472.22</v>
      </c>
      <c r="J2570" s="41"/>
      <c r="K2570" s="9" t="s">
        <v>3640</v>
      </c>
    </row>
    <row r="2571" spans="1:11" x14ac:dyDescent="0.2">
      <c r="A2571" s="9" t="s">
        <v>43</v>
      </c>
      <c r="B2571" s="9" t="s">
        <v>3639</v>
      </c>
      <c r="C2571" s="9"/>
      <c r="D2571" s="9" t="s">
        <v>84</v>
      </c>
      <c r="E2571" s="38">
        <v>180</v>
      </c>
      <c r="F2571" s="39">
        <v>0</v>
      </c>
      <c r="G2571" s="40"/>
      <c r="H2571" s="41"/>
      <c r="I2571" s="40">
        <v>388.89</v>
      </c>
      <c r="J2571" s="41"/>
      <c r="K2571" s="9" t="s">
        <v>3640</v>
      </c>
    </row>
    <row r="2572" spans="1:11" x14ac:dyDescent="0.2">
      <c r="A2572" s="9" t="s">
        <v>43</v>
      </c>
      <c r="B2572" s="9" t="s">
        <v>200</v>
      </c>
      <c r="C2572" s="9"/>
      <c r="D2572" s="9" t="s">
        <v>77</v>
      </c>
      <c r="E2572" s="38">
        <v>5320</v>
      </c>
      <c r="F2572" s="39">
        <v>3449524.28</v>
      </c>
      <c r="G2572" s="40">
        <v>648.40681954887214</v>
      </c>
      <c r="H2572" s="41">
        <v>-5.5129828892009861E-2</v>
      </c>
      <c r="I2572" s="40">
        <v>63.140340977443621</v>
      </c>
      <c r="J2572" s="41">
        <v>9.7377663333913414E-2</v>
      </c>
      <c r="K2572" s="9" t="s">
        <v>3641</v>
      </c>
    </row>
    <row r="2573" spans="1:11" x14ac:dyDescent="0.2">
      <c r="A2573" s="9" t="s">
        <v>43</v>
      </c>
      <c r="B2573" s="9" t="s">
        <v>202</v>
      </c>
      <c r="C2573" s="9"/>
      <c r="D2573" s="9" t="s">
        <v>81</v>
      </c>
      <c r="E2573" s="38">
        <v>541</v>
      </c>
      <c r="F2573" s="39">
        <v>851306.77000000014</v>
      </c>
      <c r="G2573" s="40">
        <v>1573.579981515712</v>
      </c>
      <c r="H2573" s="41">
        <v>1.2632004335993629E-2</v>
      </c>
      <c r="I2573" s="40">
        <v>208.82972273567469</v>
      </c>
      <c r="J2573" s="41">
        <v>0.1327099513140251</v>
      </c>
      <c r="K2573" s="9" t="s">
        <v>3642</v>
      </c>
    </row>
    <row r="2574" spans="1:11" x14ac:dyDescent="0.2">
      <c r="A2574" s="9" t="s">
        <v>43</v>
      </c>
      <c r="B2574" s="9" t="s">
        <v>877</v>
      </c>
      <c r="C2574" s="9"/>
      <c r="D2574" s="9" t="s">
        <v>76</v>
      </c>
      <c r="E2574" s="38">
        <v>8427</v>
      </c>
      <c r="F2574" s="39">
        <v>797514.00000000012</v>
      </c>
      <c r="G2574" s="40">
        <v>94.637949448202221</v>
      </c>
      <c r="H2574" s="41">
        <v>-1.6654985989777701E-2</v>
      </c>
      <c r="I2574" s="40">
        <v>9.4637949448202239</v>
      </c>
      <c r="J2574" s="41">
        <v>0.1</v>
      </c>
      <c r="K2574" s="9" t="s">
        <v>3643</v>
      </c>
    </row>
    <row r="2575" spans="1:11" x14ac:dyDescent="0.2">
      <c r="A2575" s="9" t="s">
        <v>43</v>
      </c>
      <c r="B2575" s="9" t="s">
        <v>432</v>
      </c>
      <c r="C2575" s="9"/>
      <c r="D2575" s="9" t="s">
        <v>81</v>
      </c>
      <c r="E2575" s="38">
        <v>1186</v>
      </c>
      <c r="F2575" s="39">
        <v>2992564.55</v>
      </c>
      <c r="G2575" s="40">
        <v>2523.2416104553122</v>
      </c>
      <c r="H2575" s="41">
        <v>-4.7052362438482549E-2</v>
      </c>
      <c r="I2575" s="40">
        <v>187.00766509274879</v>
      </c>
      <c r="J2575" s="41">
        <v>7.4114054047723046E-2</v>
      </c>
      <c r="K2575" s="9" t="s">
        <v>3644</v>
      </c>
    </row>
    <row r="2576" spans="1:11" x14ac:dyDescent="0.2">
      <c r="A2576" s="9" t="s">
        <v>43</v>
      </c>
      <c r="B2576" s="9" t="s">
        <v>3645</v>
      </c>
      <c r="C2576" s="9"/>
      <c r="D2576" s="9" t="s">
        <v>81</v>
      </c>
      <c r="E2576" s="38">
        <v>18561</v>
      </c>
      <c r="F2576" s="39">
        <v>2278363.64</v>
      </c>
      <c r="G2576" s="40">
        <v>122.7500479500027</v>
      </c>
      <c r="H2576" s="41">
        <v>-1.185614155321915E-3</v>
      </c>
      <c r="I2576" s="40">
        <v>15.4</v>
      </c>
      <c r="J2576" s="41">
        <v>0.12545819946459469</v>
      </c>
      <c r="K2576" s="9" t="s">
        <v>3646</v>
      </c>
    </row>
    <row r="2577" spans="1:11" x14ac:dyDescent="0.2">
      <c r="A2577" s="9" t="s">
        <v>43</v>
      </c>
      <c r="B2577" s="9" t="s">
        <v>1096</v>
      </c>
      <c r="C2577" s="9"/>
      <c r="D2577" s="9" t="s">
        <v>85</v>
      </c>
      <c r="E2577" s="38">
        <v>68900</v>
      </c>
      <c r="F2577" s="39">
        <v>12817578.949999999</v>
      </c>
      <c r="G2577" s="40">
        <v>186.03162481857771</v>
      </c>
      <c r="H2577" s="41">
        <v>-2.2719738702208201E-2</v>
      </c>
      <c r="I2577" s="40">
        <v>18.603162481857769</v>
      </c>
      <c r="J2577" s="41">
        <v>0.1</v>
      </c>
      <c r="K2577" s="9" t="s">
        <v>3647</v>
      </c>
    </row>
    <row r="2578" spans="1:11" x14ac:dyDescent="0.2">
      <c r="A2578" s="9" t="s">
        <v>43</v>
      </c>
      <c r="B2578" s="9" t="s">
        <v>208</v>
      </c>
      <c r="C2578" s="9"/>
      <c r="D2578" s="9" t="s">
        <v>78</v>
      </c>
      <c r="E2578" s="38">
        <v>1221</v>
      </c>
      <c r="F2578" s="39">
        <v>431910.92</v>
      </c>
      <c r="G2578" s="40">
        <v>353.73539721539731</v>
      </c>
      <c r="H2578" s="41">
        <v>-0.1692039215746842</v>
      </c>
      <c r="I2578" s="40">
        <v>28.298832104832108</v>
      </c>
      <c r="J2578" s="41">
        <v>8.0000000926116893E-2</v>
      </c>
      <c r="K2578" s="9" t="s">
        <v>3648</v>
      </c>
    </row>
    <row r="2579" spans="1:11" x14ac:dyDescent="0.2">
      <c r="A2579" s="9" t="s">
        <v>43</v>
      </c>
      <c r="B2579" s="9" t="s">
        <v>3649</v>
      </c>
      <c r="C2579" s="9"/>
      <c r="D2579" s="9" t="s">
        <v>76</v>
      </c>
      <c r="E2579" s="38">
        <v>2207</v>
      </c>
      <c r="F2579" s="39">
        <v>0</v>
      </c>
      <c r="G2579" s="40"/>
      <c r="H2579" s="41"/>
      <c r="I2579" s="40">
        <v>54.372451291345719</v>
      </c>
      <c r="J2579" s="41"/>
      <c r="K2579" s="9" t="s">
        <v>3650</v>
      </c>
    </row>
    <row r="2580" spans="1:11" x14ac:dyDescent="0.2">
      <c r="A2580" s="9" t="s">
        <v>43</v>
      </c>
      <c r="B2580" s="9" t="s">
        <v>2489</v>
      </c>
      <c r="C2580" s="9"/>
      <c r="D2580" s="9" t="s">
        <v>78</v>
      </c>
      <c r="E2580" s="38">
        <v>2147</v>
      </c>
      <c r="F2580" s="39">
        <v>808240.71</v>
      </c>
      <c r="G2580" s="40">
        <v>376.45119236143461</v>
      </c>
      <c r="H2580" s="41">
        <v>3.1180837660789069E-2</v>
      </c>
      <c r="I2580" s="40">
        <v>97.53973414066138</v>
      </c>
      <c r="J2580" s="41">
        <v>0.25910326788661758</v>
      </c>
      <c r="K2580" s="9" t="s">
        <v>3651</v>
      </c>
    </row>
    <row r="2581" spans="1:11" x14ac:dyDescent="0.2">
      <c r="A2581" s="9" t="s">
        <v>43</v>
      </c>
      <c r="B2581" s="9" t="s">
        <v>888</v>
      </c>
      <c r="C2581" s="9"/>
      <c r="D2581" s="9" t="s">
        <v>86</v>
      </c>
      <c r="E2581" s="38">
        <v>153673</v>
      </c>
      <c r="F2581" s="39">
        <v>0</v>
      </c>
      <c r="G2581" s="40"/>
      <c r="H2581" s="41">
        <v>-1</v>
      </c>
      <c r="I2581" s="40">
        <v>0.63261028287337395</v>
      </c>
      <c r="J2581" s="41"/>
      <c r="K2581" s="9" t="s">
        <v>3652</v>
      </c>
    </row>
    <row r="2582" spans="1:11" x14ac:dyDescent="0.2">
      <c r="A2582" s="9" t="s">
        <v>43</v>
      </c>
      <c r="B2582" s="9" t="s">
        <v>3653</v>
      </c>
      <c r="C2582" s="9"/>
      <c r="D2582" s="9" t="s">
        <v>76</v>
      </c>
      <c r="E2582" s="38">
        <v>2549</v>
      </c>
      <c r="F2582" s="39">
        <v>0</v>
      </c>
      <c r="G2582" s="40"/>
      <c r="H2582" s="41"/>
      <c r="I2582" s="40">
        <v>29.42330325617889</v>
      </c>
      <c r="J2582" s="41"/>
      <c r="K2582" s="9" t="s">
        <v>3654</v>
      </c>
    </row>
    <row r="2583" spans="1:11" x14ac:dyDescent="0.2">
      <c r="A2583" s="9" t="s">
        <v>43</v>
      </c>
      <c r="B2583" s="9" t="s">
        <v>231</v>
      </c>
      <c r="C2583" s="9"/>
      <c r="D2583" s="9" t="s">
        <v>76</v>
      </c>
      <c r="E2583" s="38">
        <v>9320</v>
      </c>
      <c r="F2583" s="39">
        <v>1637373.62</v>
      </c>
      <c r="G2583" s="40">
        <v>175.68386480686701</v>
      </c>
      <c r="H2583" s="41">
        <v>-0.2284111389977099</v>
      </c>
      <c r="I2583" s="40">
        <v>17.568386480686701</v>
      </c>
      <c r="J2583" s="41">
        <v>0.1</v>
      </c>
      <c r="K2583" s="9" t="s">
        <v>3655</v>
      </c>
    </row>
    <row r="2584" spans="1:11" x14ac:dyDescent="0.2">
      <c r="A2584" s="9" t="s">
        <v>43</v>
      </c>
      <c r="B2584" s="9" t="s">
        <v>243</v>
      </c>
      <c r="C2584" s="9"/>
      <c r="D2584" s="9" t="s">
        <v>82</v>
      </c>
      <c r="E2584" s="38">
        <v>1588</v>
      </c>
      <c r="F2584" s="39">
        <v>984404.66</v>
      </c>
      <c r="G2584" s="40">
        <v>619.90217884130982</v>
      </c>
      <c r="H2584" s="41">
        <v>-3.0021722822760371E-2</v>
      </c>
      <c r="I2584" s="40">
        <v>56.184025566750627</v>
      </c>
      <c r="J2584" s="41">
        <v>9.0633695903064901E-2</v>
      </c>
      <c r="K2584" s="9" t="s">
        <v>3656</v>
      </c>
    </row>
    <row r="2585" spans="1:11" x14ac:dyDescent="0.2">
      <c r="A2585" s="9" t="s">
        <v>43</v>
      </c>
      <c r="B2585" s="9" t="s">
        <v>245</v>
      </c>
      <c r="C2585" s="9"/>
      <c r="D2585" s="9" t="s">
        <v>79</v>
      </c>
      <c r="E2585" s="38">
        <v>1810</v>
      </c>
      <c r="F2585" s="39">
        <v>793432.29</v>
      </c>
      <c r="G2585" s="40">
        <v>438.36038121546972</v>
      </c>
      <c r="H2585" s="41">
        <v>0.1200796090543573</v>
      </c>
      <c r="I2585" s="40">
        <v>53.301110055248607</v>
      </c>
      <c r="J2585" s="41">
        <v>0.1215919876414407</v>
      </c>
      <c r="K2585" s="9" t="s">
        <v>3657</v>
      </c>
    </row>
    <row r="2586" spans="1:11" x14ac:dyDescent="0.2">
      <c r="A2586" s="9" t="s">
        <v>43</v>
      </c>
      <c r="B2586" s="9" t="s">
        <v>247</v>
      </c>
      <c r="C2586" s="9"/>
      <c r="D2586" s="9" t="s">
        <v>76</v>
      </c>
      <c r="E2586" s="38">
        <v>26058</v>
      </c>
      <c r="F2586" s="39">
        <v>2926490.6</v>
      </c>
      <c r="G2586" s="40">
        <v>112.30680021490519</v>
      </c>
      <c r="H2586" s="41">
        <v>5.4076410715856491E-2</v>
      </c>
      <c r="I2586" s="40">
        <v>5.6153400107452596</v>
      </c>
      <c r="J2586" s="41">
        <v>0.05</v>
      </c>
      <c r="K2586" s="9" t="s">
        <v>3658</v>
      </c>
    </row>
    <row r="2587" spans="1:11" x14ac:dyDescent="0.2">
      <c r="A2587" s="9" t="s">
        <v>43</v>
      </c>
      <c r="B2587" s="9" t="s">
        <v>140</v>
      </c>
      <c r="C2587" s="9"/>
      <c r="D2587" s="9" t="s">
        <v>83</v>
      </c>
      <c r="E2587" s="38">
        <v>6500</v>
      </c>
      <c r="F2587" s="39">
        <v>2422447.35</v>
      </c>
      <c r="G2587" s="40">
        <v>372.68420769230761</v>
      </c>
      <c r="H2587" s="41">
        <v>-4.9514125999859528E-2</v>
      </c>
      <c r="I2587" s="40">
        <v>48.44894699999999</v>
      </c>
      <c r="J2587" s="41">
        <v>0.13</v>
      </c>
      <c r="K2587" s="9" t="s">
        <v>3659</v>
      </c>
    </row>
    <row r="2588" spans="1:11" x14ac:dyDescent="0.2">
      <c r="A2588" s="9" t="s">
        <v>43</v>
      </c>
      <c r="B2588" s="9" t="s">
        <v>256</v>
      </c>
      <c r="C2588" s="9"/>
      <c r="D2588" s="9" t="s">
        <v>76</v>
      </c>
      <c r="E2588" s="38">
        <v>1500</v>
      </c>
      <c r="F2588" s="39">
        <v>840311.8600000001</v>
      </c>
      <c r="G2588" s="40">
        <v>560.20790666666676</v>
      </c>
      <c r="H2588" s="41">
        <v>-0.12910953861376501</v>
      </c>
      <c r="I2588" s="40">
        <v>88.4</v>
      </c>
      <c r="J2588" s="41">
        <v>0.1577985582638331</v>
      </c>
      <c r="K2588" s="9" t="s">
        <v>3660</v>
      </c>
    </row>
    <row r="2589" spans="1:11" x14ac:dyDescent="0.2">
      <c r="A2589" s="9" t="s">
        <v>43</v>
      </c>
      <c r="B2589" s="9" t="s">
        <v>1251</v>
      </c>
      <c r="C2589" s="9"/>
      <c r="D2589" s="9" t="s">
        <v>77</v>
      </c>
      <c r="E2589" s="38">
        <v>22847</v>
      </c>
      <c r="F2589" s="39">
        <v>0</v>
      </c>
      <c r="G2589" s="40"/>
      <c r="H2589" s="41">
        <v>0.42000789499042629</v>
      </c>
      <c r="I2589" s="40">
        <v>21.245476810959861</v>
      </c>
      <c r="J2589" s="41"/>
      <c r="K2589" s="9" t="s">
        <v>3661</v>
      </c>
    </row>
    <row r="2590" spans="1:11" x14ac:dyDescent="0.2">
      <c r="A2590" s="9" t="s">
        <v>43</v>
      </c>
      <c r="B2590" s="9" t="s">
        <v>3662</v>
      </c>
      <c r="C2590" s="9"/>
      <c r="D2590" s="9" t="s">
        <v>81</v>
      </c>
      <c r="E2590" s="38">
        <v>3000</v>
      </c>
      <c r="F2590" s="39">
        <v>0</v>
      </c>
      <c r="G2590" s="40"/>
      <c r="H2590" s="41"/>
      <c r="I2590" s="40">
        <v>47.333333199999991</v>
      </c>
      <c r="J2590" s="41"/>
      <c r="K2590" s="9" t="s">
        <v>3663</v>
      </c>
    </row>
    <row r="2591" spans="1:11" x14ac:dyDescent="0.2">
      <c r="A2591" s="9" t="s">
        <v>43</v>
      </c>
      <c r="B2591" s="9" t="s">
        <v>3664</v>
      </c>
      <c r="C2591" s="9"/>
      <c r="D2591" s="9" t="s">
        <v>83</v>
      </c>
      <c r="E2591" s="38">
        <v>3281</v>
      </c>
      <c r="F2591" s="39">
        <v>0</v>
      </c>
      <c r="G2591" s="40"/>
      <c r="H2591" s="41"/>
      <c r="I2591" s="40">
        <v>71.613985857970135</v>
      </c>
      <c r="J2591" s="41"/>
      <c r="K2591" s="9" t="s">
        <v>3665</v>
      </c>
    </row>
    <row r="2592" spans="1:11" x14ac:dyDescent="0.2">
      <c r="A2592" s="9" t="s">
        <v>43</v>
      </c>
      <c r="B2592" s="9" t="s">
        <v>3664</v>
      </c>
      <c r="C2592" s="9"/>
      <c r="D2592" s="9" t="s">
        <v>83</v>
      </c>
      <c r="E2592" s="38">
        <v>1581</v>
      </c>
      <c r="F2592" s="39">
        <v>0</v>
      </c>
      <c r="G2592" s="40"/>
      <c r="H2592" s="41"/>
      <c r="I2592" s="40">
        <v>64.753259962049327</v>
      </c>
      <c r="J2592" s="41"/>
      <c r="K2592" s="9" t="s">
        <v>3665</v>
      </c>
    </row>
    <row r="2593" spans="1:11" x14ac:dyDescent="0.2">
      <c r="A2593" s="9" t="s">
        <v>43</v>
      </c>
      <c r="B2593" s="9" t="s">
        <v>473</v>
      </c>
      <c r="C2593" s="9"/>
      <c r="D2593" s="9" t="s">
        <v>86</v>
      </c>
      <c r="E2593" s="38">
        <v>122716</v>
      </c>
      <c r="F2593" s="39">
        <v>0</v>
      </c>
      <c r="G2593" s="40"/>
      <c r="H2593" s="41">
        <v>-2.654867964601771E-2</v>
      </c>
      <c r="I2593" s="40">
        <v>0.66222367091495815</v>
      </c>
      <c r="J2593" s="41"/>
      <c r="K2593" s="9" t="s">
        <v>3666</v>
      </c>
    </row>
    <row r="2594" spans="1:11" x14ac:dyDescent="0.2">
      <c r="A2594" s="9" t="s">
        <v>43</v>
      </c>
      <c r="B2594" s="9" t="s">
        <v>3667</v>
      </c>
      <c r="C2594" s="9"/>
      <c r="D2594" s="9" t="s">
        <v>78</v>
      </c>
      <c r="E2594" s="38">
        <v>2353</v>
      </c>
      <c r="F2594" s="39">
        <v>0</v>
      </c>
      <c r="G2594" s="40"/>
      <c r="H2594" s="41"/>
      <c r="I2594" s="40">
        <v>78.999999830004242</v>
      </c>
      <c r="J2594" s="41"/>
      <c r="K2594" s="9" t="s">
        <v>3668</v>
      </c>
    </row>
    <row r="2595" spans="1:11" x14ac:dyDescent="0.2">
      <c r="A2595" s="9" t="s">
        <v>43</v>
      </c>
      <c r="B2595" s="9" t="s">
        <v>479</v>
      </c>
      <c r="C2595" s="9"/>
      <c r="D2595" s="9" t="s">
        <v>77</v>
      </c>
      <c r="E2595" s="38">
        <v>7920</v>
      </c>
      <c r="F2595" s="39">
        <v>5897523.8200000003</v>
      </c>
      <c r="G2595" s="40">
        <v>744.63684595959603</v>
      </c>
      <c r="H2595" s="41">
        <v>0.35364837364217711</v>
      </c>
      <c r="I2595" s="40">
        <v>72.70190772727274</v>
      </c>
      <c r="J2595" s="41">
        <v>9.7634045537437111E-2</v>
      </c>
      <c r="K2595" s="9" t="s">
        <v>3669</v>
      </c>
    </row>
    <row r="2596" spans="1:11" x14ac:dyDescent="0.2">
      <c r="A2596" s="9" t="s">
        <v>43</v>
      </c>
      <c r="B2596" s="9" t="s">
        <v>267</v>
      </c>
      <c r="C2596" s="9"/>
      <c r="D2596" s="9" t="s">
        <v>77</v>
      </c>
      <c r="E2596" s="38">
        <v>2815</v>
      </c>
      <c r="F2596" s="39">
        <v>1637474.02</v>
      </c>
      <c r="G2596" s="40">
        <v>581.69592184724695</v>
      </c>
      <c r="H2596" s="41">
        <v>-4.9049111471265963E-2</v>
      </c>
      <c r="I2596" s="40">
        <v>79.868639715808172</v>
      </c>
      <c r="J2596" s="41">
        <v>0.13730307660087329</v>
      </c>
      <c r="K2596" s="9" t="s">
        <v>3670</v>
      </c>
    </row>
    <row r="2597" spans="1:11" x14ac:dyDescent="0.2">
      <c r="A2597" s="9" t="s">
        <v>43</v>
      </c>
      <c r="B2597" s="9" t="s">
        <v>484</v>
      </c>
      <c r="C2597" s="9"/>
      <c r="D2597" s="9" t="s">
        <v>77</v>
      </c>
      <c r="E2597" s="38">
        <v>1546</v>
      </c>
      <c r="F2597" s="39">
        <v>1264684.17</v>
      </c>
      <c r="G2597" s="40">
        <v>818.0363324708926</v>
      </c>
      <c r="H2597" s="41">
        <v>-7.4101815446179914E-3</v>
      </c>
      <c r="I2597" s="40">
        <v>107.5442668822768</v>
      </c>
      <c r="J2597" s="41">
        <v>0.13146636966287009</v>
      </c>
      <c r="K2597" s="9" t="s">
        <v>3671</v>
      </c>
    </row>
    <row r="2598" spans="1:11" x14ac:dyDescent="0.2">
      <c r="A2598" s="9" t="s">
        <v>43</v>
      </c>
      <c r="B2598" s="9" t="s">
        <v>271</v>
      </c>
      <c r="C2598" s="9"/>
      <c r="D2598" s="9" t="s">
        <v>78</v>
      </c>
      <c r="E2598" s="38">
        <v>1510</v>
      </c>
      <c r="F2598" s="39">
        <v>1918344.1</v>
      </c>
      <c r="G2598" s="40">
        <v>1270.4265562913911</v>
      </c>
      <c r="H2598" s="41">
        <v>-2.634397431897981E-2</v>
      </c>
      <c r="I2598" s="40">
        <v>158.29710119205299</v>
      </c>
      <c r="J2598" s="41">
        <v>0.12460153671074969</v>
      </c>
      <c r="K2598" s="9" t="s">
        <v>3672</v>
      </c>
    </row>
    <row r="2599" spans="1:11" x14ac:dyDescent="0.2">
      <c r="A2599" s="9" t="s">
        <v>43</v>
      </c>
      <c r="B2599" s="9" t="s">
        <v>597</v>
      </c>
      <c r="C2599" s="9"/>
      <c r="D2599" s="9" t="s">
        <v>78</v>
      </c>
      <c r="E2599" s="38">
        <v>2593</v>
      </c>
      <c r="F2599" s="39">
        <v>1069686.9099999999</v>
      </c>
      <c r="G2599" s="40">
        <v>412.52869649055128</v>
      </c>
      <c r="H2599" s="41"/>
      <c r="I2599" s="40">
        <v>65.013500038565354</v>
      </c>
      <c r="J2599" s="41">
        <v>0.15759752131584001</v>
      </c>
      <c r="K2599" s="9" t="s">
        <v>3673</v>
      </c>
    </row>
    <row r="2600" spans="1:11" x14ac:dyDescent="0.2">
      <c r="A2600" s="9" t="s">
        <v>43</v>
      </c>
      <c r="B2600" s="9" t="s">
        <v>277</v>
      </c>
      <c r="C2600" s="9"/>
      <c r="D2600" s="9" t="s">
        <v>76</v>
      </c>
      <c r="E2600" s="38">
        <v>1082</v>
      </c>
      <c r="F2600" s="39">
        <v>1125452.33</v>
      </c>
      <c r="G2600" s="40">
        <v>1040.1592698706099</v>
      </c>
      <c r="H2600" s="41">
        <v>-5.5080713577747561E-2</v>
      </c>
      <c r="I2600" s="40">
        <v>124.8191123844732</v>
      </c>
      <c r="J2600" s="41">
        <v>0.12</v>
      </c>
      <c r="K2600" s="9" t="s">
        <v>3674</v>
      </c>
    </row>
    <row r="2601" spans="1:11" x14ac:dyDescent="0.2">
      <c r="A2601" s="9" t="s">
        <v>43</v>
      </c>
      <c r="B2601" s="9" t="s">
        <v>277</v>
      </c>
      <c r="C2601" s="9"/>
      <c r="D2601" s="9" t="s">
        <v>76</v>
      </c>
      <c r="E2601" s="38">
        <v>2637</v>
      </c>
      <c r="F2601" s="39">
        <v>591196.28</v>
      </c>
      <c r="G2601" s="40">
        <v>224.19274933636709</v>
      </c>
      <c r="H2601" s="41">
        <v>-0.20144228384955229</v>
      </c>
      <c r="I2601" s="40">
        <v>26.903129920364051</v>
      </c>
      <c r="J2601" s="41">
        <v>0.12</v>
      </c>
      <c r="K2601" s="9" t="s">
        <v>3674</v>
      </c>
    </row>
    <row r="2602" spans="1:11" x14ac:dyDescent="0.2">
      <c r="A2602" s="9" t="s">
        <v>43</v>
      </c>
      <c r="B2602" s="9" t="s">
        <v>3675</v>
      </c>
      <c r="C2602" s="9"/>
      <c r="D2602" s="9" t="s">
        <v>81</v>
      </c>
      <c r="E2602" s="38">
        <v>8000</v>
      </c>
      <c r="F2602" s="39">
        <v>0</v>
      </c>
      <c r="G2602" s="40"/>
      <c r="H2602" s="41"/>
      <c r="I2602" s="40">
        <v>3.3015750000000001</v>
      </c>
      <c r="J2602" s="41"/>
      <c r="K2602" s="9" t="s">
        <v>3676</v>
      </c>
    </row>
    <row r="2603" spans="1:11" x14ac:dyDescent="0.2">
      <c r="A2603" s="9" t="s">
        <v>43</v>
      </c>
      <c r="B2603" s="9" t="s">
        <v>3677</v>
      </c>
      <c r="C2603" s="9"/>
      <c r="D2603" s="9" t="s">
        <v>81</v>
      </c>
      <c r="E2603" s="38">
        <v>3000</v>
      </c>
      <c r="F2603" s="39">
        <v>0</v>
      </c>
      <c r="G2603" s="40"/>
      <c r="H2603" s="41">
        <v>4.0042830497988187E-2</v>
      </c>
      <c r="I2603" s="40">
        <v>19.521333200000001</v>
      </c>
      <c r="J2603" s="41"/>
      <c r="K2603" s="9" t="s">
        <v>3678</v>
      </c>
    </row>
    <row r="2604" spans="1:11" x14ac:dyDescent="0.2">
      <c r="A2604" s="9" t="s">
        <v>43</v>
      </c>
      <c r="B2604" s="9" t="s">
        <v>1919</v>
      </c>
      <c r="C2604" s="9"/>
      <c r="D2604" s="9" t="s">
        <v>81</v>
      </c>
      <c r="E2604" s="38">
        <v>7680</v>
      </c>
      <c r="F2604" s="39">
        <v>0</v>
      </c>
      <c r="G2604" s="40"/>
      <c r="H2604" s="41"/>
      <c r="I2604" s="40">
        <v>22.200520781249999</v>
      </c>
      <c r="J2604" s="41"/>
      <c r="K2604" s="9" t="s">
        <v>3679</v>
      </c>
    </row>
    <row r="2605" spans="1:11" x14ac:dyDescent="0.2">
      <c r="A2605" s="9" t="s">
        <v>43</v>
      </c>
      <c r="B2605" s="9" t="s">
        <v>3680</v>
      </c>
      <c r="C2605" s="9"/>
      <c r="D2605" s="9" t="s">
        <v>79</v>
      </c>
      <c r="E2605" s="38">
        <v>1177</v>
      </c>
      <c r="F2605" s="39">
        <v>0</v>
      </c>
      <c r="G2605" s="40"/>
      <c r="H2605" s="41"/>
      <c r="I2605" s="40">
        <v>49.065420560747661</v>
      </c>
      <c r="J2605" s="41"/>
      <c r="K2605" s="9" t="s">
        <v>3681</v>
      </c>
    </row>
    <row r="2606" spans="1:11" x14ac:dyDescent="0.2">
      <c r="A2606" s="9" t="s">
        <v>43</v>
      </c>
      <c r="B2606" s="9" t="s">
        <v>283</v>
      </c>
      <c r="C2606" s="9"/>
      <c r="D2606" s="9" t="s">
        <v>78</v>
      </c>
      <c r="E2606" s="38">
        <v>2294</v>
      </c>
      <c r="F2606" s="39">
        <v>0</v>
      </c>
      <c r="G2606" s="40"/>
      <c r="H2606" s="41"/>
      <c r="I2606" s="40">
        <v>32.693984306887543</v>
      </c>
      <c r="J2606" s="41"/>
      <c r="K2606" s="9" t="s">
        <v>3682</v>
      </c>
    </row>
    <row r="2607" spans="1:11" x14ac:dyDescent="0.2">
      <c r="A2607" s="9" t="s">
        <v>43</v>
      </c>
      <c r="B2607" s="9" t="s">
        <v>502</v>
      </c>
      <c r="C2607" s="9"/>
      <c r="D2607" s="9" t="s">
        <v>86</v>
      </c>
      <c r="E2607" s="38">
        <v>33942</v>
      </c>
      <c r="F2607" s="39">
        <v>3838944.56</v>
      </c>
      <c r="G2607" s="40">
        <v>113.1030746567674</v>
      </c>
      <c r="H2607" s="41">
        <v>-1.857519877483458E-2</v>
      </c>
      <c r="I2607" s="40">
        <v>5.8648486217665434</v>
      </c>
      <c r="J2607" s="41">
        <v>5.1854015813137977E-2</v>
      </c>
      <c r="K2607" s="9" t="s">
        <v>3683</v>
      </c>
    </row>
    <row r="2608" spans="1:11" x14ac:dyDescent="0.2">
      <c r="A2608" s="9" t="s">
        <v>43</v>
      </c>
      <c r="B2608" s="9" t="s">
        <v>502</v>
      </c>
      <c r="C2608" s="9"/>
      <c r="D2608" s="9" t="s">
        <v>86</v>
      </c>
      <c r="E2608" s="38">
        <v>112783</v>
      </c>
      <c r="F2608" s="39">
        <v>12758308.18</v>
      </c>
      <c r="G2608" s="40">
        <v>113.122617593077</v>
      </c>
      <c r="H2608" s="41">
        <v>-1.85751997747165E-2</v>
      </c>
      <c r="I2608" s="40">
        <v>3.8359192188539049</v>
      </c>
      <c r="J2608" s="41">
        <v>3.3909392307844378E-2</v>
      </c>
      <c r="K2608" s="9" t="s">
        <v>3683</v>
      </c>
    </row>
    <row r="2609" spans="1:11" x14ac:dyDescent="0.2">
      <c r="A2609" s="9" t="s">
        <v>43</v>
      </c>
      <c r="B2609" s="9" t="s">
        <v>1141</v>
      </c>
      <c r="C2609" s="9"/>
      <c r="D2609" s="9" t="s">
        <v>85</v>
      </c>
      <c r="E2609" s="38">
        <v>61844</v>
      </c>
      <c r="F2609" s="39">
        <v>0</v>
      </c>
      <c r="G2609" s="40"/>
      <c r="H2609" s="41">
        <v>-0.1016221685566769</v>
      </c>
      <c r="I2609" s="40">
        <v>14.31019985770649</v>
      </c>
      <c r="J2609" s="41"/>
      <c r="K2609" s="9" t="s">
        <v>3684</v>
      </c>
    </row>
    <row r="2610" spans="1:11" x14ac:dyDescent="0.2">
      <c r="A2610" s="9" t="s">
        <v>43</v>
      </c>
      <c r="B2610" s="9" t="s">
        <v>3685</v>
      </c>
      <c r="C2610" s="9"/>
      <c r="D2610" s="9" t="s">
        <v>80</v>
      </c>
      <c r="E2610" s="38">
        <v>180</v>
      </c>
      <c r="F2610" s="39">
        <v>255844.73</v>
      </c>
      <c r="G2610" s="40">
        <v>1421.359611111111</v>
      </c>
      <c r="H2610" s="41">
        <v>-4.8787910474819299E-2</v>
      </c>
      <c r="I2610" s="40">
        <v>300</v>
      </c>
      <c r="J2610" s="41">
        <v>0.21106551618241259</v>
      </c>
      <c r="K2610" s="9" t="s">
        <v>3686</v>
      </c>
    </row>
    <row r="2611" spans="1:11" x14ac:dyDescent="0.2">
      <c r="A2611" s="9" t="s">
        <v>43</v>
      </c>
      <c r="B2611" s="9" t="s">
        <v>301</v>
      </c>
      <c r="C2611" s="9"/>
      <c r="D2611" s="9" t="s">
        <v>82</v>
      </c>
      <c r="E2611" s="38">
        <v>3285</v>
      </c>
      <c r="F2611" s="39">
        <v>855755.08000000007</v>
      </c>
      <c r="G2611" s="40">
        <v>260.50382952815829</v>
      </c>
      <c r="H2611" s="41"/>
      <c r="I2611" s="40">
        <v>37.625570776255707</v>
      </c>
      <c r="J2611" s="41">
        <v>0.14443384899333581</v>
      </c>
      <c r="K2611" s="9" t="s">
        <v>3687</v>
      </c>
    </row>
    <row r="2612" spans="1:11" x14ac:dyDescent="0.2">
      <c r="A2612" s="9" t="s">
        <v>43</v>
      </c>
      <c r="B2612" s="9" t="s">
        <v>1663</v>
      </c>
      <c r="C2612" s="9"/>
      <c r="D2612" s="9" t="s">
        <v>76</v>
      </c>
      <c r="E2612" s="38">
        <v>4789</v>
      </c>
      <c r="F2612" s="39">
        <v>0</v>
      </c>
      <c r="G2612" s="40"/>
      <c r="H2612" s="41"/>
      <c r="I2612" s="40">
        <v>31.32177907705158</v>
      </c>
      <c r="J2612" s="41"/>
      <c r="K2612" s="9" t="s">
        <v>3688</v>
      </c>
    </row>
    <row r="2613" spans="1:11" x14ac:dyDescent="0.2">
      <c r="A2613" s="9" t="s">
        <v>43</v>
      </c>
      <c r="B2613" s="9" t="s">
        <v>3689</v>
      </c>
      <c r="C2613" s="9"/>
      <c r="D2613" s="9" t="s">
        <v>81</v>
      </c>
      <c r="E2613" s="38">
        <v>6919</v>
      </c>
      <c r="F2613" s="39">
        <v>1928392.57</v>
      </c>
      <c r="G2613" s="40">
        <v>278.7097225032519</v>
      </c>
      <c r="H2613" s="41">
        <v>-0.13364695113496139</v>
      </c>
      <c r="I2613" s="40">
        <v>41.972106894059827</v>
      </c>
      <c r="J2613" s="41">
        <v>0.15059434065336599</v>
      </c>
      <c r="K2613" s="9" t="s">
        <v>3690</v>
      </c>
    </row>
    <row r="2614" spans="1:11" x14ac:dyDescent="0.2">
      <c r="A2614" s="9" t="s">
        <v>43</v>
      </c>
      <c r="B2614" s="9" t="s">
        <v>3691</v>
      </c>
      <c r="C2614" s="9"/>
      <c r="D2614" s="9" t="s">
        <v>76</v>
      </c>
      <c r="E2614" s="38">
        <v>10203</v>
      </c>
      <c r="F2614" s="39">
        <v>1105126</v>
      </c>
      <c r="G2614" s="40">
        <v>108.3138292659022</v>
      </c>
      <c r="H2614" s="41">
        <v>-0.1701631356524686</v>
      </c>
      <c r="I2614" s="40">
        <v>11.761246692149371</v>
      </c>
      <c r="J2614" s="41">
        <v>0.1085849034408746</v>
      </c>
      <c r="K2614" s="9" t="s">
        <v>3692</v>
      </c>
    </row>
    <row r="2615" spans="1:11" x14ac:dyDescent="0.2">
      <c r="A2615" s="9" t="s">
        <v>43</v>
      </c>
      <c r="B2615" s="9" t="s">
        <v>3693</v>
      </c>
      <c r="C2615" s="9"/>
      <c r="D2615" s="9" t="s">
        <v>81</v>
      </c>
      <c r="E2615" s="38">
        <v>10023</v>
      </c>
      <c r="F2615" s="39">
        <v>0</v>
      </c>
      <c r="G2615" s="40"/>
      <c r="H2615" s="41"/>
      <c r="I2615" s="40">
        <v>26.988842023346301</v>
      </c>
      <c r="J2615" s="41"/>
      <c r="K2615" s="9" t="s">
        <v>3694</v>
      </c>
    </row>
    <row r="2616" spans="1:11" x14ac:dyDescent="0.2">
      <c r="A2616" s="9" t="s">
        <v>43</v>
      </c>
      <c r="B2616" s="9" t="s">
        <v>2400</v>
      </c>
      <c r="C2616" s="9"/>
      <c r="D2616" s="9" t="s">
        <v>81</v>
      </c>
      <c r="E2616" s="38">
        <v>8500</v>
      </c>
      <c r="F2616" s="39">
        <v>6330416.9900000012</v>
      </c>
      <c r="G2616" s="40">
        <v>744.75494000000015</v>
      </c>
      <c r="H2616" s="41">
        <v>-3.9157296917290689E-2</v>
      </c>
      <c r="I2616" s="40">
        <v>25.2097704</v>
      </c>
      <c r="J2616" s="41">
        <v>3.384975251053722E-2</v>
      </c>
      <c r="K2616" s="9" t="s">
        <v>3695</v>
      </c>
    </row>
    <row r="2617" spans="1:11" x14ac:dyDescent="0.2">
      <c r="A2617" s="9" t="s">
        <v>43</v>
      </c>
      <c r="B2617" s="9" t="s">
        <v>3696</v>
      </c>
      <c r="C2617" s="9"/>
      <c r="D2617" s="9" t="s">
        <v>81</v>
      </c>
      <c r="E2617" s="38">
        <v>544</v>
      </c>
      <c r="F2617" s="39">
        <v>317663</v>
      </c>
      <c r="G2617" s="40">
        <v>583.93933823529414</v>
      </c>
      <c r="H2617" s="41">
        <v>-3.380807774066201E-2</v>
      </c>
      <c r="I2617" s="40">
        <v>267.28080882352941</v>
      </c>
      <c r="J2617" s="41">
        <v>0.4577201625622121</v>
      </c>
      <c r="K2617" s="9" t="s">
        <v>3697</v>
      </c>
    </row>
    <row r="2618" spans="1:11" x14ac:dyDescent="0.2">
      <c r="A2618" s="9" t="s">
        <v>43</v>
      </c>
      <c r="B2618" s="9" t="s">
        <v>321</v>
      </c>
      <c r="C2618" s="9"/>
      <c r="D2618" s="9" t="s">
        <v>78</v>
      </c>
      <c r="E2618" s="38">
        <v>1630</v>
      </c>
      <c r="F2618" s="39">
        <v>2976962.39</v>
      </c>
      <c r="G2618" s="40">
        <v>1826.3572944785269</v>
      </c>
      <c r="H2618" s="41">
        <v>-8.8240579548413758E-2</v>
      </c>
      <c r="I2618" s="40">
        <v>124.4624941717791</v>
      </c>
      <c r="J2618" s="41">
        <v>6.8147943750139217E-2</v>
      </c>
      <c r="K2618" s="9" t="s">
        <v>3698</v>
      </c>
    </row>
    <row r="2619" spans="1:11" x14ac:dyDescent="0.2">
      <c r="A2619" s="9" t="s">
        <v>43</v>
      </c>
      <c r="B2619" s="9" t="s">
        <v>1684</v>
      </c>
      <c r="C2619" s="9"/>
      <c r="D2619" s="9" t="s">
        <v>79</v>
      </c>
      <c r="E2619" s="38">
        <v>1920</v>
      </c>
      <c r="F2619" s="39">
        <v>0</v>
      </c>
      <c r="G2619" s="40"/>
      <c r="H2619" s="41"/>
      <c r="I2619" s="40">
        <v>60.11</v>
      </c>
      <c r="J2619" s="41"/>
      <c r="K2619" s="9" t="s">
        <v>3699</v>
      </c>
    </row>
    <row r="2620" spans="1:11" x14ac:dyDescent="0.2">
      <c r="A2620" s="9" t="s">
        <v>43</v>
      </c>
      <c r="B2620" s="9" t="s">
        <v>3700</v>
      </c>
      <c r="C2620" s="9"/>
      <c r="D2620" s="9" t="s">
        <v>79</v>
      </c>
      <c r="E2620" s="38">
        <v>3150</v>
      </c>
      <c r="F2620" s="39">
        <v>366472</v>
      </c>
      <c r="G2620" s="40">
        <v>116.34031746031749</v>
      </c>
      <c r="H2620" s="41">
        <v>-0.27948955580203022</v>
      </c>
      <c r="I2620" s="40">
        <v>37.255009523809527</v>
      </c>
      <c r="J2620" s="41">
        <v>0.32022441005042679</v>
      </c>
      <c r="K2620" s="9" t="s">
        <v>3701</v>
      </c>
    </row>
    <row r="2621" spans="1:11" x14ac:dyDescent="0.2">
      <c r="A2621" s="9" t="s">
        <v>43</v>
      </c>
      <c r="B2621" s="9" t="s">
        <v>1523</v>
      </c>
      <c r="C2621" s="9"/>
      <c r="D2621" s="9" t="s">
        <v>81</v>
      </c>
      <c r="E2621" s="38">
        <v>7077</v>
      </c>
      <c r="F2621" s="39">
        <v>0</v>
      </c>
      <c r="G2621" s="40"/>
      <c r="H2621" s="41">
        <v>-0.1021259180814468</v>
      </c>
      <c r="I2621" s="40">
        <v>19.45412462908012</v>
      </c>
      <c r="J2621" s="41"/>
      <c r="K2621" s="9" t="s">
        <v>3702</v>
      </c>
    </row>
    <row r="2622" spans="1:11" x14ac:dyDescent="0.2">
      <c r="A2622" s="9" t="s">
        <v>43</v>
      </c>
      <c r="B2622" s="9" t="s">
        <v>2851</v>
      </c>
      <c r="C2622" s="9"/>
      <c r="D2622" s="9" t="s">
        <v>80</v>
      </c>
      <c r="E2622" s="38">
        <v>701</v>
      </c>
      <c r="F2622" s="39">
        <v>631848</v>
      </c>
      <c r="G2622" s="40">
        <v>901.35235378031382</v>
      </c>
      <c r="H2622" s="41">
        <v>-2.646149286958532E-2</v>
      </c>
      <c r="I2622" s="40">
        <v>193.6260479315263</v>
      </c>
      <c r="J2622" s="41">
        <v>0.21481726554487779</v>
      </c>
      <c r="K2622" s="9" t="s">
        <v>3703</v>
      </c>
    </row>
    <row r="2623" spans="1:11" x14ac:dyDescent="0.2">
      <c r="A2623" s="9" t="s">
        <v>43</v>
      </c>
      <c r="B2623" s="9" t="s">
        <v>339</v>
      </c>
      <c r="C2623" s="9"/>
      <c r="D2623" s="9" t="s">
        <v>80</v>
      </c>
      <c r="E2623" s="38">
        <v>629</v>
      </c>
      <c r="F2623" s="39">
        <v>623616.49</v>
      </c>
      <c r="G2623" s="40">
        <v>991.44116057233703</v>
      </c>
      <c r="H2623" s="41">
        <v>7.337828572720701E-3</v>
      </c>
      <c r="I2623" s="40">
        <v>144.01090524642291</v>
      </c>
      <c r="J2623" s="41">
        <v>0.14525411186609261</v>
      </c>
      <c r="K2623" s="9" t="s">
        <v>3704</v>
      </c>
    </row>
    <row r="2624" spans="1:11" x14ac:dyDescent="0.2">
      <c r="A2624" s="9" t="s">
        <v>43</v>
      </c>
      <c r="B2624" s="9" t="s">
        <v>1412</v>
      </c>
      <c r="C2624" s="9"/>
      <c r="D2624" s="9" t="s">
        <v>77</v>
      </c>
      <c r="E2624" s="38">
        <v>13908</v>
      </c>
      <c r="F2624" s="39">
        <v>1848501.93</v>
      </c>
      <c r="G2624" s="40">
        <v>132.9092558239862</v>
      </c>
      <c r="H2624" s="41">
        <v>-9.1021947768938072E-2</v>
      </c>
      <c r="I2624" s="40">
        <v>17.975266005176881</v>
      </c>
      <c r="J2624" s="41">
        <v>0.13524465165151331</v>
      </c>
      <c r="K2624" s="9" t="s">
        <v>3705</v>
      </c>
    </row>
    <row r="2625" spans="1:11" x14ac:dyDescent="0.2">
      <c r="A2625" s="9" t="s">
        <v>43</v>
      </c>
      <c r="B2625" s="9" t="s">
        <v>355</v>
      </c>
      <c r="C2625" s="9"/>
      <c r="D2625" s="9" t="s">
        <v>82</v>
      </c>
      <c r="E2625" s="38">
        <v>2357</v>
      </c>
      <c r="F2625" s="39">
        <v>888328.58</v>
      </c>
      <c r="G2625" s="40">
        <v>376.8895120916419</v>
      </c>
      <c r="H2625" s="41">
        <v>-0.13091590774307979</v>
      </c>
      <c r="I2625" s="40">
        <v>57.700466525243961</v>
      </c>
      <c r="J2625" s="41">
        <v>0.1530965035482704</v>
      </c>
      <c r="K2625" s="9" t="s">
        <v>3706</v>
      </c>
    </row>
    <row r="2626" spans="1:11" x14ac:dyDescent="0.2">
      <c r="A2626" s="9" t="s">
        <v>43</v>
      </c>
      <c r="B2626" s="9" t="s">
        <v>538</v>
      </c>
      <c r="C2626" s="9"/>
      <c r="D2626" s="9" t="s">
        <v>80</v>
      </c>
      <c r="E2626" s="38">
        <v>1026</v>
      </c>
      <c r="F2626" s="39">
        <v>1190692.94</v>
      </c>
      <c r="G2626" s="40">
        <v>1160.519434697856</v>
      </c>
      <c r="H2626" s="41">
        <v>-0.13311806297511869</v>
      </c>
      <c r="I2626" s="40">
        <v>122.8873766081871</v>
      </c>
      <c r="J2626" s="41">
        <v>0.10588997731018709</v>
      </c>
      <c r="K2626" s="9" t="s">
        <v>3707</v>
      </c>
    </row>
    <row r="2627" spans="1:11" x14ac:dyDescent="0.2">
      <c r="A2627" s="9" t="s">
        <v>43</v>
      </c>
      <c r="B2627" s="9" t="s">
        <v>357</v>
      </c>
      <c r="C2627" s="9"/>
      <c r="D2627" s="9" t="s">
        <v>76</v>
      </c>
      <c r="E2627" s="38">
        <v>180</v>
      </c>
      <c r="F2627" s="39">
        <v>306933.36</v>
      </c>
      <c r="G2627" s="40">
        <v>1705.1853333333329</v>
      </c>
      <c r="H2627" s="41">
        <v>-0.21221498428580221</v>
      </c>
      <c r="I2627" s="40">
        <v>194.44</v>
      </c>
      <c r="J2627" s="41">
        <v>0.11402866081419109</v>
      </c>
      <c r="K2627" s="9" t="s">
        <v>3708</v>
      </c>
    </row>
    <row r="2628" spans="1:11" x14ac:dyDescent="0.2">
      <c r="A2628" s="9" t="s">
        <v>43</v>
      </c>
      <c r="B2628" s="9" t="s">
        <v>3709</v>
      </c>
      <c r="C2628" s="9"/>
      <c r="D2628" s="9" t="s">
        <v>83</v>
      </c>
      <c r="E2628" s="38">
        <v>3720</v>
      </c>
      <c r="F2628" s="39">
        <v>243041.28</v>
      </c>
      <c r="G2628" s="40">
        <v>65.333677419354842</v>
      </c>
      <c r="H2628" s="41">
        <v>4.4076595362083443E-2</v>
      </c>
      <c r="I2628" s="40">
        <v>25.189573870967742</v>
      </c>
      <c r="J2628" s="41">
        <v>0.38555267154616701</v>
      </c>
      <c r="K2628" s="9" t="s">
        <v>3710</v>
      </c>
    </row>
    <row r="2629" spans="1:11" x14ac:dyDescent="0.2">
      <c r="A2629" s="9" t="s">
        <v>43</v>
      </c>
      <c r="B2629" s="9" t="s">
        <v>550</v>
      </c>
      <c r="C2629" s="9"/>
      <c r="D2629" s="9" t="s">
        <v>76</v>
      </c>
      <c r="E2629" s="38">
        <v>4000</v>
      </c>
      <c r="F2629" s="39">
        <v>971218.85999999987</v>
      </c>
      <c r="G2629" s="40">
        <v>242.80471499999999</v>
      </c>
      <c r="H2629" s="41">
        <v>-9.2207985801369366E-2</v>
      </c>
      <c r="I2629" s="40">
        <v>38.000000099999987</v>
      </c>
      <c r="J2629" s="41">
        <v>0.15650437471941189</v>
      </c>
      <c r="K2629" s="9" t="s">
        <v>3711</v>
      </c>
    </row>
    <row r="2630" spans="1:11" x14ac:dyDescent="0.2">
      <c r="A2630" s="9" t="s">
        <v>43</v>
      </c>
      <c r="B2630" s="9" t="s">
        <v>369</v>
      </c>
      <c r="C2630" s="9"/>
      <c r="D2630" s="9" t="s">
        <v>84</v>
      </c>
      <c r="E2630" s="38">
        <v>2409</v>
      </c>
      <c r="F2630" s="39">
        <v>0</v>
      </c>
      <c r="G2630" s="40"/>
      <c r="H2630" s="41"/>
      <c r="I2630" s="40">
        <v>77.029174097135737</v>
      </c>
      <c r="J2630" s="41"/>
      <c r="K2630" s="9" t="s">
        <v>3712</v>
      </c>
    </row>
    <row r="2631" spans="1:11" x14ac:dyDescent="0.2">
      <c r="A2631" s="9" t="s">
        <v>43</v>
      </c>
      <c r="B2631" s="9" t="s">
        <v>3713</v>
      </c>
      <c r="C2631" s="9"/>
      <c r="D2631" s="9" t="s">
        <v>83</v>
      </c>
      <c r="E2631" s="38">
        <v>50758</v>
      </c>
      <c r="F2631" s="39">
        <v>0</v>
      </c>
      <c r="G2631" s="40"/>
      <c r="H2631" s="41"/>
      <c r="I2631" s="40">
        <v>0.1238795854840616</v>
      </c>
      <c r="J2631" s="41"/>
      <c r="K2631" s="9" t="s">
        <v>3714</v>
      </c>
    </row>
    <row r="2632" spans="1:11" x14ac:dyDescent="0.2">
      <c r="A2632" s="9" t="s">
        <v>43</v>
      </c>
      <c r="B2632" s="9" t="s">
        <v>3715</v>
      </c>
      <c r="C2632" s="9"/>
      <c r="D2632" s="9" t="s">
        <v>79</v>
      </c>
      <c r="E2632" s="38">
        <v>45179</v>
      </c>
      <c r="F2632" s="39">
        <v>0</v>
      </c>
      <c r="G2632" s="40"/>
      <c r="H2632" s="41"/>
      <c r="I2632" s="40">
        <v>11.8749593837845</v>
      </c>
      <c r="J2632" s="41"/>
      <c r="K2632" s="9" t="s">
        <v>3716</v>
      </c>
    </row>
    <row r="2633" spans="1:11" x14ac:dyDescent="0.2">
      <c r="A2633" s="9" t="s">
        <v>43</v>
      </c>
      <c r="B2633" s="9" t="s">
        <v>384</v>
      </c>
      <c r="C2633" s="9"/>
      <c r="D2633" s="9" t="s">
        <v>77</v>
      </c>
      <c r="E2633" s="38">
        <v>2587</v>
      </c>
      <c r="F2633" s="39">
        <v>654151.65</v>
      </c>
      <c r="G2633" s="40">
        <v>252.8610939311944</v>
      </c>
      <c r="H2633" s="41">
        <v>-0.27626781803897099</v>
      </c>
      <c r="I2633" s="40">
        <v>25.28610939311945</v>
      </c>
      <c r="J2633" s="41">
        <v>0.1</v>
      </c>
      <c r="K2633" s="9" t="s">
        <v>3717</v>
      </c>
    </row>
    <row r="2634" spans="1:11" x14ac:dyDescent="0.2">
      <c r="A2634" s="9" t="s">
        <v>43</v>
      </c>
      <c r="B2634" s="9" t="s">
        <v>388</v>
      </c>
      <c r="C2634" s="9"/>
      <c r="D2634" s="9" t="s">
        <v>76</v>
      </c>
      <c r="E2634" s="38">
        <v>11321</v>
      </c>
      <c r="F2634" s="39">
        <v>9785899.1300000008</v>
      </c>
      <c r="G2634" s="40">
        <v>864.4023610988429</v>
      </c>
      <c r="H2634" s="41">
        <v>-3.9105059010586057E-2</v>
      </c>
      <c r="I2634" s="40">
        <v>79.521508205988866</v>
      </c>
      <c r="J2634" s="41">
        <v>9.1995940530402734E-2</v>
      </c>
      <c r="K2634" s="9" t="s">
        <v>3718</v>
      </c>
    </row>
    <row r="2635" spans="1:11" x14ac:dyDescent="0.2">
      <c r="A2635" s="9" t="s">
        <v>43</v>
      </c>
      <c r="B2635" s="9" t="s">
        <v>390</v>
      </c>
      <c r="C2635" s="9"/>
      <c r="D2635" s="9" t="s">
        <v>83</v>
      </c>
      <c r="E2635" s="38">
        <v>3553</v>
      </c>
      <c r="F2635" s="39">
        <v>1014090</v>
      </c>
      <c r="G2635" s="40">
        <v>285.41795665634669</v>
      </c>
      <c r="H2635" s="41">
        <v>-3.2230419988314787E-2</v>
      </c>
      <c r="I2635" s="40">
        <v>36.588798086124399</v>
      </c>
      <c r="J2635" s="41">
        <v>0.1281937496671893</v>
      </c>
      <c r="K2635" s="9" t="s">
        <v>3719</v>
      </c>
    </row>
    <row r="2636" spans="1:11" x14ac:dyDescent="0.2">
      <c r="A2636" s="9" t="s">
        <v>43</v>
      </c>
      <c r="B2636" s="9" t="s">
        <v>3720</v>
      </c>
      <c r="C2636" s="9"/>
      <c r="D2636" s="9" t="s">
        <v>79</v>
      </c>
      <c r="E2636" s="38">
        <v>1631</v>
      </c>
      <c r="F2636" s="39">
        <v>372148.65999999992</v>
      </c>
      <c r="G2636" s="40">
        <v>228.1720784794604</v>
      </c>
      <c r="H2636" s="41">
        <v>-0.16427833494540581</v>
      </c>
      <c r="I2636" s="40">
        <v>40.465971796443903</v>
      </c>
      <c r="J2636" s="41">
        <v>0.17734848218988619</v>
      </c>
      <c r="K2636" s="9" t="s">
        <v>3721</v>
      </c>
    </row>
    <row r="2637" spans="1:11" x14ac:dyDescent="0.2">
      <c r="A2637" s="9" t="s">
        <v>43</v>
      </c>
      <c r="B2637" s="9" t="s">
        <v>3722</v>
      </c>
      <c r="C2637" s="9"/>
      <c r="D2637" s="9" t="s">
        <v>82</v>
      </c>
      <c r="E2637" s="38">
        <v>817</v>
      </c>
      <c r="F2637" s="39">
        <v>0</v>
      </c>
      <c r="G2637" s="40"/>
      <c r="H2637" s="41"/>
      <c r="I2637" s="40">
        <v>33.619999999999997</v>
      </c>
      <c r="J2637" s="41"/>
      <c r="K2637" s="9" t="s">
        <v>3723</v>
      </c>
    </row>
    <row r="2638" spans="1:11" x14ac:dyDescent="0.2">
      <c r="A2638" s="9" t="s">
        <v>43</v>
      </c>
      <c r="B2638" s="9" t="s">
        <v>3724</v>
      </c>
      <c r="C2638" s="9"/>
      <c r="D2638" s="9" t="s">
        <v>83</v>
      </c>
      <c r="E2638" s="38">
        <v>8573</v>
      </c>
      <c r="F2638" s="39">
        <v>0</v>
      </c>
      <c r="G2638" s="40"/>
      <c r="H2638" s="41"/>
      <c r="I2638" s="40">
        <v>13.99999995334189</v>
      </c>
      <c r="J2638" s="41"/>
      <c r="K2638" s="9" t="s">
        <v>3725</v>
      </c>
    </row>
    <row r="2639" spans="1:11" x14ac:dyDescent="0.2">
      <c r="A2639" s="9" t="s">
        <v>43</v>
      </c>
      <c r="B2639" s="9" t="s">
        <v>392</v>
      </c>
      <c r="C2639" s="9"/>
      <c r="D2639" s="9" t="s">
        <v>76</v>
      </c>
      <c r="E2639" s="38">
        <v>3466</v>
      </c>
      <c r="F2639" s="39">
        <v>1223622.49</v>
      </c>
      <c r="G2639" s="40">
        <v>353.03591748413152</v>
      </c>
      <c r="H2639" s="41">
        <v>6.3027547090128899E-3</v>
      </c>
      <c r="I2639" s="40">
        <v>47.290551067512979</v>
      </c>
      <c r="J2639" s="41">
        <v>0.1339539370512878</v>
      </c>
      <c r="K2639" s="9" t="s">
        <v>3726</v>
      </c>
    </row>
    <row r="2640" spans="1:11" x14ac:dyDescent="0.2">
      <c r="A2640" s="9" t="s">
        <v>43</v>
      </c>
      <c r="B2640" s="9" t="s">
        <v>3727</v>
      </c>
      <c r="C2640" s="9"/>
      <c r="D2640" s="9" t="s">
        <v>81</v>
      </c>
      <c r="E2640" s="38">
        <v>619</v>
      </c>
      <c r="F2640" s="39">
        <v>0</v>
      </c>
      <c r="G2640" s="40"/>
      <c r="H2640" s="41"/>
      <c r="I2640" s="40">
        <v>229.85999806138929</v>
      </c>
      <c r="J2640" s="41"/>
      <c r="K2640" s="9" t="s">
        <v>3728</v>
      </c>
    </row>
    <row r="2641" spans="1:11" x14ac:dyDescent="0.2">
      <c r="A2641" s="9" t="s">
        <v>43</v>
      </c>
      <c r="B2641" s="9" t="s">
        <v>396</v>
      </c>
      <c r="C2641" s="9"/>
      <c r="D2641" s="9" t="s">
        <v>78</v>
      </c>
      <c r="E2641" s="38">
        <v>1543</v>
      </c>
      <c r="F2641" s="39">
        <v>3460821.86</v>
      </c>
      <c r="G2641" s="40">
        <v>2242.9176020738819</v>
      </c>
      <c r="H2641" s="41">
        <v>0.1517413215403231</v>
      </c>
      <c r="I2641" s="40">
        <v>243.3526506804925</v>
      </c>
      <c r="J2641" s="41">
        <v>0.1084982571163024</v>
      </c>
      <c r="K2641" s="9" t="s">
        <v>3729</v>
      </c>
    </row>
    <row r="2642" spans="1:11" x14ac:dyDescent="0.2">
      <c r="A2642" s="9" t="s">
        <v>24</v>
      </c>
      <c r="B2642" s="9" t="s">
        <v>164</v>
      </c>
      <c r="C2642" s="9"/>
      <c r="D2642" s="9" t="s">
        <v>76</v>
      </c>
      <c r="E2642" s="38">
        <v>3673</v>
      </c>
      <c r="F2642" s="39">
        <v>3040750.44</v>
      </c>
      <c r="G2642" s="40">
        <v>827.86562482983936</v>
      </c>
      <c r="H2642" s="41"/>
      <c r="I2642" s="40">
        <v>50.000000108902803</v>
      </c>
      <c r="J2642" s="41">
        <v>6.0396275203696087E-2</v>
      </c>
      <c r="K2642" s="9" t="s">
        <v>3730</v>
      </c>
    </row>
    <row r="2643" spans="1:11" x14ac:dyDescent="0.2">
      <c r="A2643" s="9" t="s">
        <v>24</v>
      </c>
      <c r="B2643" s="9" t="s">
        <v>981</v>
      </c>
      <c r="C2643" s="9"/>
      <c r="D2643" s="9" t="s">
        <v>76</v>
      </c>
      <c r="E2643" s="38">
        <v>5573</v>
      </c>
      <c r="F2643" s="39">
        <v>3865315.9</v>
      </c>
      <c r="G2643" s="40">
        <v>693.57902386506373</v>
      </c>
      <c r="H2643" s="41">
        <v>8.9768282173174285E-2</v>
      </c>
      <c r="I2643" s="40">
        <v>29.838743944015789</v>
      </c>
      <c r="J2643" s="41">
        <v>4.3021404796435923E-2</v>
      </c>
      <c r="K2643" s="9" t="s">
        <v>3731</v>
      </c>
    </row>
    <row r="2644" spans="1:11" x14ac:dyDescent="0.2">
      <c r="A2644" s="9" t="s">
        <v>24</v>
      </c>
      <c r="B2644" s="9" t="s">
        <v>981</v>
      </c>
      <c r="C2644" s="9"/>
      <c r="D2644" s="9" t="s">
        <v>76</v>
      </c>
      <c r="E2644" s="38">
        <v>3921</v>
      </c>
      <c r="F2644" s="39">
        <v>533289.32999999996</v>
      </c>
      <c r="G2644" s="40">
        <v>136.0085003825555</v>
      </c>
      <c r="H2644" s="41">
        <v>9.5394749257321707E-2</v>
      </c>
      <c r="I2644" s="40">
        <v>38.255547054322882</v>
      </c>
      <c r="J2644" s="41">
        <v>0.28127320679751838</v>
      </c>
      <c r="K2644" s="9" t="s">
        <v>3731</v>
      </c>
    </row>
    <row r="2645" spans="1:11" x14ac:dyDescent="0.2">
      <c r="A2645" s="9" t="s">
        <v>24</v>
      </c>
      <c r="B2645" s="9" t="s">
        <v>406</v>
      </c>
      <c r="C2645" s="9"/>
      <c r="D2645" s="9" t="s">
        <v>76</v>
      </c>
      <c r="E2645" s="38">
        <v>4550</v>
      </c>
      <c r="F2645" s="39">
        <v>886500.66999999993</v>
      </c>
      <c r="G2645" s="40">
        <v>194.83531208791209</v>
      </c>
      <c r="H2645" s="41">
        <v>-2.4961691775079869E-2</v>
      </c>
      <c r="I2645" s="40">
        <v>26.813186901098899</v>
      </c>
      <c r="J2645" s="41">
        <v>0.1376197497966922</v>
      </c>
      <c r="K2645" s="9" t="s">
        <v>3732</v>
      </c>
    </row>
    <row r="2646" spans="1:11" x14ac:dyDescent="0.2">
      <c r="A2646" s="9" t="s">
        <v>24</v>
      </c>
      <c r="B2646" s="9" t="s">
        <v>582</v>
      </c>
      <c r="C2646" s="9"/>
      <c r="D2646" s="9" t="s">
        <v>76</v>
      </c>
      <c r="E2646" s="38">
        <v>10414</v>
      </c>
      <c r="F2646" s="39">
        <v>4167652.02</v>
      </c>
      <c r="G2646" s="40">
        <v>400.19704436335701</v>
      </c>
      <c r="H2646" s="41">
        <v>3.1571818254517381E-2</v>
      </c>
      <c r="I2646" s="40">
        <v>0</v>
      </c>
      <c r="J2646" s="41">
        <v>0</v>
      </c>
      <c r="K2646" s="9" t="s">
        <v>3733</v>
      </c>
    </row>
    <row r="2647" spans="1:11" x14ac:dyDescent="0.2">
      <c r="A2647" s="9" t="s">
        <v>24</v>
      </c>
      <c r="B2647" s="9" t="s">
        <v>3734</v>
      </c>
      <c r="C2647" s="9"/>
      <c r="D2647" s="9" t="s">
        <v>82</v>
      </c>
      <c r="E2647" s="38">
        <v>2588</v>
      </c>
      <c r="F2647" s="39">
        <v>229297.56</v>
      </c>
      <c r="G2647" s="40">
        <v>88.60029366306027</v>
      </c>
      <c r="H2647" s="41">
        <v>1.1875634073482119E-2</v>
      </c>
      <c r="I2647" s="40">
        <v>22.53119026275116</v>
      </c>
      <c r="J2647" s="41">
        <v>0.2543015302910332</v>
      </c>
      <c r="K2647" s="9" t="s">
        <v>3735</v>
      </c>
    </row>
    <row r="2648" spans="1:11" x14ac:dyDescent="0.2">
      <c r="A2648" s="9" t="s">
        <v>24</v>
      </c>
      <c r="B2648" s="9" t="s">
        <v>171</v>
      </c>
      <c r="C2648" s="9"/>
      <c r="D2648" s="9" t="s">
        <v>84</v>
      </c>
      <c r="E2648" s="38">
        <v>1150</v>
      </c>
      <c r="F2648" s="39"/>
      <c r="G2648" s="40"/>
      <c r="H2648" s="41"/>
      <c r="I2648" s="40">
        <v>64.281012521739143</v>
      </c>
      <c r="J2648" s="41"/>
      <c r="K2648" s="9" t="s">
        <v>3736</v>
      </c>
    </row>
    <row r="2649" spans="1:11" x14ac:dyDescent="0.2">
      <c r="A2649" s="9" t="s">
        <v>24</v>
      </c>
      <c r="B2649" s="9" t="s">
        <v>985</v>
      </c>
      <c r="C2649" s="9"/>
      <c r="D2649" s="9" t="s">
        <v>76</v>
      </c>
      <c r="E2649" s="38">
        <v>5448</v>
      </c>
      <c r="F2649" s="39">
        <v>1781633.45</v>
      </c>
      <c r="G2649" s="40">
        <v>327.02522944199711</v>
      </c>
      <c r="H2649" s="41">
        <v>2.461019201547562E-2</v>
      </c>
      <c r="I2649" s="40">
        <v>26</v>
      </c>
      <c r="J2649" s="41">
        <v>7.9504569247956139E-2</v>
      </c>
      <c r="K2649" s="9" t="s">
        <v>3737</v>
      </c>
    </row>
    <row r="2650" spans="1:11" x14ac:dyDescent="0.2">
      <c r="A2650" s="9" t="s">
        <v>24</v>
      </c>
      <c r="B2650" s="9" t="s">
        <v>661</v>
      </c>
      <c r="C2650" s="9"/>
      <c r="D2650" s="9" t="s">
        <v>76</v>
      </c>
      <c r="E2650" s="38">
        <v>6942</v>
      </c>
      <c r="F2650" s="39">
        <v>1307025.07</v>
      </c>
      <c r="G2650" s="40">
        <v>188.27788389513111</v>
      </c>
      <c r="H2650" s="41">
        <v>5.6910256437521588E-2</v>
      </c>
      <c r="I2650" s="40">
        <v>25.923854796888509</v>
      </c>
      <c r="J2650" s="41">
        <v>0.13768932527055511</v>
      </c>
      <c r="K2650" s="9" t="s">
        <v>3738</v>
      </c>
    </row>
    <row r="2651" spans="1:11" x14ac:dyDescent="0.2">
      <c r="A2651" s="9" t="s">
        <v>24</v>
      </c>
      <c r="B2651" s="9" t="s">
        <v>177</v>
      </c>
      <c r="C2651" s="9"/>
      <c r="D2651" s="9" t="s">
        <v>85</v>
      </c>
      <c r="E2651" s="38">
        <v>24929</v>
      </c>
      <c r="F2651" s="39"/>
      <c r="G2651" s="40"/>
      <c r="H2651" s="41"/>
      <c r="I2651" s="40">
        <v>24.685010967146699</v>
      </c>
      <c r="J2651" s="41"/>
      <c r="K2651" s="9" t="s">
        <v>3739</v>
      </c>
    </row>
    <row r="2652" spans="1:11" x14ac:dyDescent="0.2">
      <c r="A2652" s="9" t="s">
        <v>24</v>
      </c>
      <c r="B2652" s="9" t="s">
        <v>179</v>
      </c>
      <c r="C2652" s="9"/>
      <c r="D2652" s="9" t="s">
        <v>79</v>
      </c>
      <c r="E2652" s="38">
        <v>3531</v>
      </c>
      <c r="F2652" s="39">
        <v>2815138</v>
      </c>
      <c r="G2652" s="40">
        <v>797.26366468422543</v>
      </c>
      <c r="H2652" s="41">
        <v>-5.4524073049252901E-3</v>
      </c>
      <c r="I2652" s="40">
        <v>45.27</v>
      </c>
      <c r="J2652" s="41">
        <v>5.6781717272829962E-2</v>
      </c>
      <c r="K2652" s="9" t="s">
        <v>3740</v>
      </c>
    </row>
    <row r="2653" spans="1:11" x14ac:dyDescent="0.2">
      <c r="A2653" s="9" t="s">
        <v>24</v>
      </c>
      <c r="B2653" s="9" t="s">
        <v>1082</v>
      </c>
      <c r="C2653" s="9"/>
      <c r="D2653" s="9" t="s">
        <v>86</v>
      </c>
      <c r="E2653" s="38">
        <v>69688</v>
      </c>
      <c r="F2653" s="39">
        <v>0</v>
      </c>
      <c r="G2653" s="40"/>
      <c r="H2653" s="41"/>
      <c r="I2653" s="40">
        <v>1.3999899494891519</v>
      </c>
      <c r="J2653" s="41"/>
      <c r="K2653" s="9" t="s">
        <v>3741</v>
      </c>
    </row>
    <row r="2654" spans="1:11" x14ac:dyDescent="0.2">
      <c r="A2654" s="9" t="s">
        <v>24</v>
      </c>
      <c r="B2654" s="9" t="s">
        <v>3742</v>
      </c>
      <c r="C2654" s="9"/>
      <c r="D2654" s="9" t="s">
        <v>76</v>
      </c>
      <c r="E2654" s="38">
        <v>2296</v>
      </c>
      <c r="F2654" s="39">
        <v>448324.29</v>
      </c>
      <c r="G2654" s="40">
        <v>195.2631925087108</v>
      </c>
      <c r="H2654" s="41">
        <v>0.33833871808549421</v>
      </c>
      <c r="I2654" s="40">
        <v>49.922719860627183</v>
      </c>
      <c r="J2654" s="41">
        <v>0.25566887040628561</v>
      </c>
      <c r="K2654" s="9" t="s">
        <v>3743</v>
      </c>
    </row>
    <row r="2655" spans="1:11" x14ac:dyDescent="0.2">
      <c r="A2655" s="9" t="s">
        <v>24</v>
      </c>
      <c r="B2655" s="9" t="s">
        <v>3744</v>
      </c>
      <c r="C2655" s="9"/>
      <c r="D2655" s="9" t="s">
        <v>81</v>
      </c>
      <c r="E2655" s="38">
        <v>3500</v>
      </c>
      <c r="F2655" s="39">
        <v>2002949.04</v>
      </c>
      <c r="G2655" s="40">
        <v>572.27115428571426</v>
      </c>
      <c r="H2655" s="41">
        <v>5.3452498646650907E-2</v>
      </c>
      <c r="I2655" s="40">
        <v>42.649005600000002</v>
      </c>
      <c r="J2655" s="41">
        <v>7.4525869914293968E-2</v>
      </c>
      <c r="K2655" s="9" t="s">
        <v>3745</v>
      </c>
    </row>
    <row r="2656" spans="1:11" x14ac:dyDescent="0.2">
      <c r="A2656" s="9" t="s">
        <v>24</v>
      </c>
      <c r="B2656" s="9" t="s">
        <v>191</v>
      </c>
      <c r="C2656" s="9"/>
      <c r="D2656" s="9" t="s">
        <v>76</v>
      </c>
      <c r="E2656" s="38">
        <v>5007</v>
      </c>
      <c r="F2656" s="39">
        <v>1682567.62</v>
      </c>
      <c r="G2656" s="40">
        <v>336.04306371080492</v>
      </c>
      <c r="H2656" s="41">
        <v>-0.1006328007790343</v>
      </c>
      <c r="I2656" s="40">
        <v>27.698123187537451</v>
      </c>
      <c r="J2656" s="41">
        <v>8.2424326458867672E-2</v>
      </c>
      <c r="K2656" s="9" t="s">
        <v>3746</v>
      </c>
    </row>
    <row r="2657" spans="1:11" x14ac:dyDescent="0.2">
      <c r="A2657" s="9" t="s">
        <v>24</v>
      </c>
      <c r="B2657" s="9" t="s">
        <v>3070</v>
      </c>
      <c r="C2657" s="9"/>
      <c r="D2657" s="9" t="s">
        <v>79</v>
      </c>
      <c r="E2657" s="38">
        <v>2700</v>
      </c>
      <c r="F2657" s="39">
        <v>579627</v>
      </c>
      <c r="G2657" s="40">
        <v>214.6766666666667</v>
      </c>
      <c r="H2657" s="41">
        <v>-0.11497504819541721</v>
      </c>
      <c r="I2657" s="40">
        <v>35</v>
      </c>
      <c r="J2657" s="41">
        <v>0.16303588342157971</v>
      </c>
      <c r="K2657" s="9" t="s">
        <v>3747</v>
      </c>
    </row>
    <row r="2658" spans="1:11" x14ac:dyDescent="0.2">
      <c r="A2658" s="9" t="s">
        <v>24</v>
      </c>
      <c r="B2658" s="9" t="s">
        <v>1215</v>
      </c>
      <c r="C2658" s="9"/>
      <c r="D2658" s="9" t="s">
        <v>81</v>
      </c>
      <c r="E2658" s="38">
        <v>2458</v>
      </c>
      <c r="F2658" s="39"/>
      <c r="G2658" s="40"/>
      <c r="H2658" s="41"/>
      <c r="I2658" s="40">
        <v>38.165793490642812</v>
      </c>
      <c r="J2658" s="41"/>
      <c r="K2658" s="9" t="s">
        <v>3748</v>
      </c>
    </row>
    <row r="2659" spans="1:11" x14ac:dyDescent="0.2">
      <c r="A2659" s="9" t="s">
        <v>24</v>
      </c>
      <c r="B2659" s="9" t="s">
        <v>759</v>
      </c>
      <c r="C2659" s="9"/>
      <c r="D2659" s="9" t="s">
        <v>76</v>
      </c>
      <c r="E2659" s="38">
        <v>2536</v>
      </c>
      <c r="F2659" s="39">
        <v>901233.59</v>
      </c>
      <c r="G2659" s="40">
        <v>355.3760212933754</v>
      </c>
      <c r="H2659" s="41">
        <v>-8.3566436307388248E-2</v>
      </c>
      <c r="I2659" s="40">
        <v>31.199968296529971</v>
      </c>
      <c r="J2659" s="41">
        <v>8.7794241668244982E-2</v>
      </c>
      <c r="K2659" s="9" t="s">
        <v>3749</v>
      </c>
    </row>
    <row r="2660" spans="1:11" x14ac:dyDescent="0.2">
      <c r="A2660" s="9" t="s">
        <v>24</v>
      </c>
      <c r="B2660" s="9" t="s">
        <v>204</v>
      </c>
      <c r="C2660" s="9"/>
      <c r="D2660" s="9" t="s">
        <v>81</v>
      </c>
      <c r="E2660" s="38">
        <v>2200</v>
      </c>
      <c r="F2660" s="39"/>
      <c r="G2660" s="40"/>
      <c r="H2660" s="41"/>
      <c r="I2660" s="40">
        <v>43.630036363636357</v>
      </c>
      <c r="J2660" s="41"/>
      <c r="K2660" s="9" t="s">
        <v>3750</v>
      </c>
    </row>
    <row r="2661" spans="1:11" x14ac:dyDescent="0.2">
      <c r="A2661" s="9" t="s">
        <v>24</v>
      </c>
      <c r="B2661" s="9" t="s">
        <v>3751</v>
      </c>
      <c r="C2661" s="9"/>
      <c r="D2661" s="9" t="s">
        <v>80</v>
      </c>
      <c r="E2661" s="38">
        <v>793</v>
      </c>
      <c r="F2661" s="39">
        <v>211300</v>
      </c>
      <c r="G2661" s="40">
        <v>266.4564943253468</v>
      </c>
      <c r="H2661" s="41">
        <v>-0.1082743294227092</v>
      </c>
      <c r="I2661" s="40">
        <v>29.133770996216899</v>
      </c>
      <c r="J2661" s="41">
        <v>0.109337815428301</v>
      </c>
      <c r="K2661" s="9" t="s">
        <v>3752</v>
      </c>
    </row>
    <row r="2662" spans="1:11" x14ac:dyDescent="0.2">
      <c r="A2662" s="9" t="s">
        <v>24</v>
      </c>
      <c r="B2662" s="9" t="s">
        <v>208</v>
      </c>
      <c r="C2662" s="9"/>
      <c r="D2662" s="9" t="s">
        <v>78</v>
      </c>
      <c r="E2662" s="38">
        <v>1495</v>
      </c>
      <c r="F2662" s="39">
        <v>366576.37</v>
      </c>
      <c r="G2662" s="40">
        <v>245.2015852842809</v>
      </c>
      <c r="H2662" s="41">
        <v>-9.5121206151447646E-2</v>
      </c>
      <c r="I2662" s="40">
        <v>13.37792668896321</v>
      </c>
      <c r="J2662" s="41">
        <v>5.4558891507382218E-2</v>
      </c>
      <c r="K2662" s="9" t="s">
        <v>3753</v>
      </c>
    </row>
    <row r="2663" spans="1:11" x14ac:dyDescent="0.2">
      <c r="A2663" s="9" t="s">
        <v>24</v>
      </c>
      <c r="B2663" s="9" t="s">
        <v>3754</v>
      </c>
      <c r="C2663" s="9"/>
      <c r="D2663" s="9" t="s">
        <v>80</v>
      </c>
      <c r="E2663" s="38">
        <v>933</v>
      </c>
      <c r="F2663" s="39">
        <v>0</v>
      </c>
      <c r="G2663" s="40"/>
      <c r="H2663" s="41"/>
      <c r="I2663" s="40">
        <v>51.870331832797433</v>
      </c>
      <c r="J2663" s="41"/>
      <c r="K2663" s="9" t="s">
        <v>3755</v>
      </c>
    </row>
    <row r="2664" spans="1:11" x14ac:dyDescent="0.2">
      <c r="A2664" s="9" t="s">
        <v>24</v>
      </c>
      <c r="B2664" s="9" t="s">
        <v>3756</v>
      </c>
      <c r="C2664" s="9"/>
      <c r="D2664" s="9" t="s">
        <v>83</v>
      </c>
      <c r="E2664" s="38">
        <v>712</v>
      </c>
      <c r="F2664" s="39">
        <v>316618.78999999998</v>
      </c>
      <c r="G2664" s="40">
        <v>444.68931179775279</v>
      </c>
      <c r="H2664" s="41">
        <v>1.1880589975115839E-2</v>
      </c>
      <c r="I2664" s="40">
        <v>38.478320224719099</v>
      </c>
      <c r="J2664" s="41">
        <v>8.6528547468708347E-2</v>
      </c>
      <c r="K2664" s="9" t="s">
        <v>3757</v>
      </c>
    </row>
    <row r="2665" spans="1:11" x14ac:dyDescent="0.2">
      <c r="A2665" s="9" t="s">
        <v>24</v>
      </c>
      <c r="B2665" s="9" t="s">
        <v>3758</v>
      </c>
      <c r="C2665" s="9"/>
      <c r="D2665" s="9" t="s">
        <v>81</v>
      </c>
      <c r="E2665" s="38">
        <v>5144</v>
      </c>
      <c r="F2665" s="39">
        <v>1384245.28</v>
      </c>
      <c r="G2665" s="40">
        <v>269.09900466562988</v>
      </c>
      <c r="H2665" s="41">
        <v>-3.1353216632463071E-2</v>
      </c>
      <c r="I2665" s="40">
        <v>29.854372161741839</v>
      </c>
      <c r="J2665" s="41">
        <v>0.11094196427384601</v>
      </c>
      <c r="K2665" s="9" t="s">
        <v>3759</v>
      </c>
    </row>
    <row r="2666" spans="1:11" x14ac:dyDescent="0.2">
      <c r="A2666" s="9" t="s">
        <v>24</v>
      </c>
      <c r="B2666" s="9" t="s">
        <v>3760</v>
      </c>
      <c r="C2666" s="9"/>
      <c r="D2666" s="9" t="s">
        <v>85</v>
      </c>
      <c r="E2666" s="38">
        <v>18000</v>
      </c>
      <c r="F2666" s="39">
        <v>817598.3</v>
      </c>
      <c r="G2666" s="40">
        <v>45.422127777777781</v>
      </c>
      <c r="H2666" s="41">
        <v>-1.850228658692683E-2</v>
      </c>
      <c r="I2666" s="40">
        <v>19.975460000000002</v>
      </c>
      <c r="J2666" s="41">
        <v>0.43977376176051253</v>
      </c>
      <c r="K2666" s="9" t="s">
        <v>3761</v>
      </c>
    </row>
    <row r="2667" spans="1:11" x14ac:dyDescent="0.2">
      <c r="A2667" s="9" t="s">
        <v>24</v>
      </c>
      <c r="B2667" s="9" t="s">
        <v>220</v>
      </c>
      <c r="C2667" s="9"/>
      <c r="D2667" s="9" t="s">
        <v>85</v>
      </c>
      <c r="E2667" s="38">
        <v>22000</v>
      </c>
      <c r="F2667" s="39">
        <v>0</v>
      </c>
      <c r="G2667" s="40"/>
      <c r="H2667" s="41"/>
      <c r="I2667" s="40">
        <v>27</v>
      </c>
      <c r="J2667" s="41"/>
      <c r="K2667" s="9" t="s">
        <v>3762</v>
      </c>
    </row>
    <row r="2668" spans="1:11" x14ac:dyDescent="0.2">
      <c r="A2668" s="9" t="s">
        <v>24</v>
      </c>
      <c r="B2668" s="9" t="s">
        <v>3763</v>
      </c>
      <c r="C2668" s="9"/>
      <c r="D2668" s="9" t="s">
        <v>81</v>
      </c>
      <c r="E2668" s="38">
        <v>1500</v>
      </c>
      <c r="F2668" s="39">
        <v>1193934.08</v>
      </c>
      <c r="G2668" s="40">
        <v>795.95605333333333</v>
      </c>
      <c r="H2668" s="41">
        <v>0.16898778153638189</v>
      </c>
      <c r="I2668" s="40">
        <v>50.727780000000003</v>
      </c>
      <c r="J2668" s="41">
        <v>6.3731885432066732E-2</v>
      </c>
      <c r="K2668" s="9" t="s">
        <v>3764</v>
      </c>
    </row>
    <row r="2669" spans="1:11" x14ac:dyDescent="0.2">
      <c r="A2669" s="9" t="s">
        <v>24</v>
      </c>
      <c r="B2669" s="9" t="s">
        <v>2945</v>
      </c>
      <c r="C2669" s="9"/>
      <c r="D2669" s="9" t="s">
        <v>83</v>
      </c>
      <c r="E2669" s="38">
        <v>2094</v>
      </c>
      <c r="F2669" s="39"/>
      <c r="G2669" s="40"/>
      <c r="H2669" s="41"/>
      <c r="I2669" s="40">
        <v>36.397500286532953</v>
      </c>
      <c r="J2669" s="41"/>
      <c r="K2669" s="9" t="s">
        <v>3765</v>
      </c>
    </row>
    <row r="2670" spans="1:11" x14ac:dyDescent="0.2">
      <c r="A2670" s="9" t="s">
        <v>24</v>
      </c>
      <c r="B2670" s="9" t="s">
        <v>1619</v>
      </c>
      <c r="C2670" s="9"/>
      <c r="D2670" s="9" t="s">
        <v>83</v>
      </c>
      <c r="E2670" s="38">
        <v>1</v>
      </c>
      <c r="F2670" s="39"/>
      <c r="G2670" s="40"/>
      <c r="H2670" s="41"/>
      <c r="I2670" s="40">
        <v>17246.380799999999</v>
      </c>
      <c r="J2670" s="41"/>
      <c r="K2670" s="9" t="s">
        <v>3766</v>
      </c>
    </row>
    <row r="2671" spans="1:11" x14ac:dyDescent="0.2">
      <c r="A2671" s="9" t="s">
        <v>24</v>
      </c>
      <c r="B2671" s="9" t="s">
        <v>3767</v>
      </c>
      <c r="C2671" s="9"/>
      <c r="D2671" s="9" t="s">
        <v>79</v>
      </c>
      <c r="E2671" s="38">
        <v>1339</v>
      </c>
      <c r="F2671" s="39"/>
      <c r="G2671" s="40"/>
      <c r="H2671" s="41"/>
      <c r="I2671" s="40">
        <v>49.10049141150111</v>
      </c>
      <c r="J2671" s="41"/>
      <c r="K2671" s="9" t="s">
        <v>3768</v>
      </c>
    </row>
    <row r="2672" spans="1:11" x14ac:dyDescent="0.2">
      <c r="A2672" s="9" t="s">
        <v>24</v>
      </c>
      <c r="B2672" s="9" t="s">
        <v>3769</v>
      </c>
      <c r="C2672" s="9"/>
      <c r="D2672" s="9" t="s">
        <v>81</v>
      </c>
      <c r="E2672" s="38">
        <v>3500</v>
      </c>
      <c r="F2672" s="39">
        <v>2030021.05</v>
      </c>
      <c r="G2672" s="40">
        <v>580.00601428571429</v>
      </c>
      <c r="H2672" s="41">
        <v>-2.2078591779006451E-2</v>
      </c>
      <c r="I2672" s="40">
        <v>52.56</v>
      </c>
      <c r="J2672" s="41">
        <v>9.0619749977469438E-2</v>
      </c>
      <c r="K2672" s="9" t="s">
        <v>3770</v>
      </c>
    </row>
    <row r="2673" spans="1:11" x14ac:dyDescent="0.2">
      <c r="A2673" s="9" t="s">
        <v>24</v>
      </c>
      <c r="B2673" s="9" t="s">
        <v>3771</v>
      </c>
      <c r="C2673" s="9"/>
      <c r="D2673" s="9" t="s">
        <v>79</v>
      </c>
      <c r="E2673" s="38">
        <v>13842</v>
      </c>
      <c r="F2673" s="39"/>
      <c r="G2673" s="40"/>
      <c r="H2673" s="41"/>
      <c r="I2673" s="40">
        <v>15.61</v>
      </c>
      <c r="J2673" s="41"/>
      <c r="K2673" s="9" t="s">
        <v>3772</v>
      </c>
    </row>
    <row r="2674" spans="1:11" x14ac:dyDescent="0.2">
      <c r="A2674" s="9" t="s">
        <v>24</v>
      </c>
      <c r="B2674" s="9" t="s">
        <v>3773</v>
      </c>
      <c r="C2674" s="9"/>
      <c r="D2674" s="9" t="s">
        <v>82</v>
      </c>
      <c r="E2674" s="38">
        <v>27972</v>
      </c>
      <c r="F2674" s="39">
        <v>2753064.27</v>
      </c>
      <c r="G2674" s="40">
        <v>98.422146074646079</v>
      </c>
      <c r="H2674" s="41">
        <v>5.9938292011222347E-2</v>
      </c>
      <c r="I2674" s="40">
        <v>15.988360145860151</v>
      </c>
      <c r="J2674" s="41">
        <v>0.16244677426291981</v>
      </c>
      <c r="K2674" s="9" t="s">
        <v>3774</v>
      </c>
    </row>
    <row r="2675" spans="1:11" x14ac:dyDescent="0.2">
      <c r="A2675" s="9" t="s">
        <v>24</v>
      </c>
      <c r="B2675" s="9" t="s">
        <v>456</v>
      </c>
      <c r="C2675" s="9"/>
      <c r="D2675" s="9" t="s">
        <v>76</v>
      </c>
      <c r="E2675" s="38">
        <v>1500</v>
      </c>
      <c r="F2675" s="39">
        <v>624272.30000000005</v>
      </c>
      <c r="G2675" s="40">
        <v>416.18153333333339</v>
      </c>
      <c r="H2675" s="41">
        <v>-0.13650828929566061</v>
      </c>
      <c r="I2675" s="40">
        <v>80.068579999999997</v>
      </c>
      <c r="J2675" s="41">
        <v>0.19238859388763521</v>
      </c>
      <c r="K2675" s="9" t="s">
        <v>3775</v>
      </c>
    </row>
    <row r="2676" spans="1:11" x14ac:dyDescent="0.2">
      <c r="A2676" s="9" t="s">
        <v>24</v>
      </c>
      <c r="B2676" s="9" t="s">
        <v>458</v>
      </c>
      <c r="C2676" s="9"/>
      <c r="D2676" s="9" t="s">
        <v>76</v>
      </c>
      <c r="E2676" s="38">
        <v>2345</v>
      </c>
      <c r="F2676" s="39">
        <v>1414027.13</v>
      </c>
      <c r="G2676" s="40">
        <v>602.99664392324087</v>
      </c>
      <c r="H2676" s="41"/>
      <c r="I2676" s="40">
        <v>0</v>
      </c>
      <c r="J2676" s="41">
        <v>0</v>
      </c>
      <c r="K2676" s="9" t="s">
        <v>3776</v>
      </c>
    </row>
    <row r="2677" spans="1:11" x14ac:dyDescent="0.2">
      <c r="A2677" s="9" t="s">
        <v>24</v>
      </c>
      <c r="B2677" s="9" t="s">
        <v>243</v>
      </c>
      <c r="C2677" s="9"/>
      <c r="D2677" s="9" t="s">
        <v>82</v>
      </c>
      <c r="E2677" s="38">
        <v>1693</v>
      </c>
      <c r="F2677" s="39">
        <v>764554.23999999999</v>
      </c>
      <c r="G2677" s="40">
        <v>451.59730655640868</v>
      </c>
      <c r="H2677" s="41">
        <v>-0.344003000627641</v>
      </c>
      <c r="I2677" s="40">
        <v>49.320732191376251</v>
      </c>
      <c r="J2677" s="41">
        <v>0.1092139644664059</v>
      </c>
      <c r="K2677" s="9" t="s">
        <v>3777</v>
      </c>
    </row>
    <row r="2678" spans="1:11" x14ac:dyDescent="0.2">
      <c r="A2678" s="9" t="s">
        <v>24</v>
      </c>
      <c r="B2678" s="9" t="s">
        <v>1788</v>
      </c>
      <c r="C2678" s="9"/>
      <c r="D2678" s="9" t="s">
        <v>76</v>
      </c>
      <c r="E2678" s="38">
        <v>9001</v>
      </c>
      <c r="F2678" s="39">
        <v>1873438.67</v>
      </c>
      <c r="G2678" s="40">
        <v>208.1367259193423</v>
      </c>
      <c r="H2678" s="41">
        <v>6.8171580629231968E-2</v>
      </c>
      <c r="I2678" s="40">
        <v>27.623944006221532</v>
      </c>
      <c r="J2678" s="41">
        <v>0.1327201813337183</v>
      </c>
      <c r="K2678" s="9" t="s">
        <v>3778</v>
      </c>
    </row>
    <row r="2679" spans="1:11" x14ac:dyDescent="0.2">
      <c r="A2679" s="9" t="s">
        <v>24</v>
      </c>
      <c r="B2679" s="9" t="s">
        <v>247</v>
      </c>
      <c r="C2679" s="9"/>
      <c r="D2679" s="9" t="s">
        <v>76</v>
      </c>
      <c r="E2679" s="38">
        <v>12000</v>
      </c>
      <c r="F2679" s="39">
        <v>3613947.1</v>
      </c>
      <c r="G2679" s="40">
        <v>301.16225833333328</v>
      </c>
      <c r="H2679" s="41">
        <v>-5.8643686667284423E-2</v>
      </c>
      <c r="I2679" s="40">
        <v>20.504039200000001</v>
      </c>
      <c r="J2679" s="41">
        <v>6.8083030435060879E-2</v>
      </c>
      <c r="K2679" s="9" t="s">
        <v>3779</v>
      </c>
    </row>
    <row r="2680" spans="1:11" x14ac:dyDescent="0.2">
      <c r="A2680" s="9" t="s">
        <v>24</v>
      </c>
      <c r="B2680" s="9" t="s">
        <v>1374</v>
      </c>
      <c r="C2680" s="9"/>
      <c r="D2680" s="9" t="s">
        <v>79</v>
      </c>
      <c r="E2680" s="38">
        <v>2500</v>
      </c>
      <c r="F2680" s="39">
        <v>0</v>
      </c>
      <c r="G2680" s="40"/>
      <c r="H2680" s="41">
        <v>-1</v>
      </c>
      <c r="I2680" s="40">
        <v>42.616395359999999</v>
      </c>
      <c r="J2680" s="41"/>
      <c r="K2680" s="9" t="s">
        <v>3780</v>
      </c>
    </row>
    <row r="2681" spans="1:11" x14ac:dyDescent="0.2">
      <c r="A2681" s="9" t="s">
        <v>24</v>
      </c>
      <c r="B2681" s="9" t="s">
        <v>3781</v>
      </c>
      <c r="C2681" s="9"/>
      <c r="D2681" s="9" t="s">
        <v>76</v>
      </c>
      <c r="E2681" s="38">
        <v>868</v>
      </c>
      <c r="F2681" s="39">
        <v>231606.6</v>
      </c>
      <c r="G2681" s="40">
        <v>266.82788018433178</v>
      </c>
      <c r="H2681" s="41">
        <v>0.39421976494492361</v>
      </c>
      <c r="I2681" s="40">
        <v>43.383109216589872</v>
      </c>
      <c r="J2681" s="41">
        <v>0.1625883666527638</v>
      </c>
      <c r="K2681" s="9" t="s">
        <v>3782</v>
      </c>
    </row>
    <row r="2682" spans="1:11" x14ac:dyDescent="0.2">
      <c r="A2682" s="9" t="s">
        <v>24</v>
      </c>
      <c r="B2682" s="9" t="s">
        <v>260</v>
      </c>
      <c r="C2682" s="9"/>
      <c r="D2682" s="9" t="s">
        <v>76</v>
      </c>
      <c r="E2682" s="38">
        <v>3304</v>
      </c>
      <c r="F2682" s="39">
        <v>1652909.87</v>
      </c>
      <c r="G2682" s="40">
        <v>500.27538438256659</v>
      </c>
      <c r="H2682" s="41">
        <v>2.474954544678486E-2</v>
      </c>
      <c r="I2682" s="40">
        <v>73.600012227602903</v>
      </c>
      <c r="J2682" s="41">
        <v>0.14711899590750219</v>
      </c>
      <c r="K2682" s="9" t="s">
        <v>3783</v>
      </c>
    </row>
    <row r="2683" spans="1:11" x14ac:dyDescent="0.2">
      <c r="A2683" s="9" t="s">
        <v>24</v>
      </c>
      <c r="B2683" s="9" t="s">
        <v>262</v>
      </c>
      <c r="C2683" s="9"/>
      <c r="D2683" s="9" t="s">
        <v>76</v>
      </c>
      <c r="E2683" s="38">
        <v>5299</v>
      </c>
      <c r="F2683" s="39">
        <v>1687431.02</v>
      </c>
      <c r="G2683" s="40">
        <v>318.44329496131348</v>
      </c>
      <c r="H2683" s="41"/>
      <c r="I2683" s="40">
        <v>46.229999773542183</v>
      </c>
      <c r="J2683" s="41">
        <v>0.14517498250091429</v>
      </c>
      <c r="K2683" s="9" t="s">
        <v>3784</v>
      </c>
    </row>
    <row r="2684" spans="1:11" x14ac:dyDescent="0.2">
      <c r="A2684" s="9" t="s">
        <v>24</v>
      </c>
      <c r="B2684" s="9" t="s">
        <v>1123</v>
      </c>
      <c r="C2684" s="9"/>
      <c r="D2684" s="9" t="s">
        <v>76</v>
      </c>
      <c r="E2684" s="38">
        <v>4000</v>
      </c>
      <c r="F2684" s="39">
        <v>2134126.67</v>
      </c>
      <c r="G2684" s="40">
        <v>533.53166750000003</v>
      </c>
      <c r="H2684" s="41">
        <v>-7.438211854591871E-2</v>
      </c>
      <c r="I2684" s="40">
        <v>55.453509900000007</v>
      </c>
      <c r="J2684" s="41">
        <v>0.1039366794474294</v>
      </c>
      <c r="K2684" s="9" t="s">
        <v>3785</v>
      </c>
    </row>
    <row r="2685" spans="1:11" x14ac:dyDescent="0.2">
      <c r="A2685" s="9" t="s">
        <v>24</v>
      </c>
      <c r="B2685" s="9" t="s">
        <v>3786</v>
      </c>
      <c r="C2685" s="9"/>
      <c r="D2685" s="9" t="s">
        <v>76</v>
      </c>
      <c r="E2685" s="38">
        <v>2110</v>
      </c>
      <c r="F2685" s="39">
        <v>698448</v>
      </c>
      <c r="G2685" s="40">
        <v>331.01800947867298</v>
      </c>
      <c r="H2685" s="41">
        <v>5.922797417596249E-2</v>
      </c>
      <c r="I2685" s="40">
        <v>46.041200189573459</v>
      </c>
      <c r="J2685" s="41">
        <v>0.13908971376537699</v>
      </c>
      <c r="K2685" s="9" t="s">
        <v>3787</v>
      </c>
    </row>
    <row r="2686" spans="1:11" x14ac:dyDescent="0.2">
      <c r="A2686" s="9" t="s">
        <v>24</v>
      </c>
      <c r="B2686" s="9" t="s">
        <v>597</v>
      </c>
      <c r="C2686" s="9"/>
      <c r="D2686" s="9" t="s">
        <v>78</v>
      </c>
      <c r="E2686" s="38">
        <v>2262</v>
      </c>
      <c r="F2686" s="39">
        <v>766509.08</v>
      </c>
      <c r="G2686" s="40">
        <v>338.86343059239613</v>
      </c>
      <c r="H2686" s="41"/>
      <c r="I2686" s="40">
        <v>72.75</v>
      </c>
      <c r="J2686" s="41">
        <v>0.21468825913973519</v>
      </c>
      <c r="K2686" s="9" t="s">
        <v>3788</v>
      </c>
    </row>
    <row r="2687" spans="1:11" x14ac:dyDescent="0.2">
      <c r="A2687" s="9" t="s">
        <v>24</v>
      </c>
      <c r="B2687" s="9" t="s">
        <v>1913</v>
      </c>
      <c r="C2687" s="9"/>
      <c r="D2687" s="9" t="s">
        <v>76</v>
      </c>
      <c r="E2687" s="38">
        <v>4000</v>
      </c>
      <c r="F2687" s="39">
        <v>439705.71</v>
      </c>
      <c r="G2687" s="40">
        <v>109.9264275</v>
      </c>
      <c r="H2687" s="41">
        <v>7.2055716116740443E-2</v>
      </c>
      <c r="I2687" s="40">
        <v>27.500000100000001</v>
      </c>
      <c r="J2687" s="41">
        <v>0.25016732304886369</v>
      </c>
      <c r="K2687" s="9" t="s">
        <v>3789</v>
      </c>
    </row>
    <row r="2688" spans="1:11" x14ac:dyDescent="0.2">
      <c r="A2688" s="9" t="s">
        <v>24</v>
      </c>
      <c r="B2688" s="9" t="s">
        <v>3790</v>
      </c>
      <c r="C2688" s="9"/>
      <c r="D2688" s="9" t="s">
        <v>76</v>
      </c>
      <c r="E2688" s="38">
        <v>3028</v>
      </c>
      <c r="F2688" s="39">
        <v>1317003.1000000001</v>
      </c>
      <c r="G2688" s="40">
        <v>434.94157859973581</v>
      </c>
      <c r="H2688" s="41">
        <v>-7.4741111145471911E-2</v>
      </c>
      <c r="I2688" s="40">
        <v>31.883201849405548</v>
      </c>
      <c r="J2688" s="41">
        <v>7.3304561849550698E-2</v>
      </c>
      <c r="K2688" s="9" t="s">
        <v>3791</v>
      </c>
    </row>
    <row r="2689" spans="1:11" x14ac:dyDescent="0.2">
      <c r="A2689" s="9" t="s">
        <v>24</v>
      </c>
      <c r="B2689" s="9" t="s">
        <v>279</v>
      </c>
      <c r="C2689" s="9"/>
      <c r="D2689" s="9" t="s">
        <v>76</v>
      </c>
      <c r="E2689" s="38">
        <v>5528</v>
      </c>
      <c r="F2689" s="39">
        <v>1835402.38</v>
      </c>
      <c r="G2689" s="40">
        <v>332.01924384949348</v>
      </c>
      <c r="H2689" s="41">
        <v>0.1094552274467317</v>
      </c>
      <c r="I2689" s="40">
        <v>23.878437047756879</v>
      </c>
      <c r="J2689" s="41">
        <v>7.1918834495572584E-2</v>
      </c>
      <c r="K2689" s="9" t="s">
        <v>3792</v>
      </c>
    </row>
    <row r="2690" spans="1:11" x14ac:dyDescent="0.2">
      <c r="A2690" s="9" t="s">
        <v>24</v>
      </c>
      <c r="B2690" s="9" t="s">
        <v>285</v>
      </c>
      <c r="C2690" s="9"/>
      <c r="D2690" s="9" t="s">
        <v>76</v>
      </c>
      <c r="E2690" s="38">
        <v>5236</v>
      </c>
      <c r="F2690" s="39">
        <v>6691773.7100000009</v>
      </c>
      <c r="G2690" s="40">
        <v>1278.0316482047369</v>
      </c>
      <c r="H2690" s="41"/>
      <c r="I2690" s="40">
        <v>64.349999999999994</v>
      </c>
      <c r="J2690" s="41">
        <v>5.0350865794593642E-2</v>
      </c>
      <c r="K2690" s="9" t="s">
        <v>3793</v>
      </c>
    </row>
    <row r="2691" spans="1:11" x14ac:dyDescent="0.2">
      <c r="A2691" s="9" t="s">
        <v>24</v>
      </c>
      <c r="B2691" s="9" t="s">
        <v>2976</v>
      </c>
      <c r="C2691" s="9"/>
      <c r="D2691" s="9" t="s">
        <v>76</v>
      </c>
      <c r="E2691" s="38">
        <v>4043</v>
      </c>
      <c r="F2691" s="39">
        <v>199204.73</v>
      </c>
      <c r="G2691" s="40">
        <v>49.271513727430133</v>
      </c>
      <c r="H2691" s="41"/>
      <c r="I2691" s="40">
        <v>56.230000098936443</v>
      </c>
      <c r="J2691" s="41">
        <v>1.1412273714584991E-2</v>
      </c>
      <c r="K2691" s="9" t="s">
        <v>3794</v>
      </c>
    </row>
    <row r="2692" spans="1:11" x14ac:dyDescent="0.2">
      <c r="A2692" s="9" t="s">
        <v>24</v>
      </c>
      <c r="B2692" s="9" t="s">
        <v>2695</v>
      </c>
      <c r="C2692" s="9"/>
      <c r="D2692" s="9" t="s">
        <v>83</v>
      </c>
      <c r="E2692" s="38">
        <v>3600</v>
      </c>
      <c r="F2692" s="39">
        <v>1567871.09</v>
      </c>
      <c r="G2692" s="40">
        <v>435.51974722222218</v>
      </c>
      <c r="H2692" s="41">
        <v>1.7445567748860989E-2</v>
      </c>
      <c r="I2692" s="40">
        <v>30.494059</v>
      </c>
      <c r="J2692" s="41">
        <v>7.0017626512904205E-2</v>
      </c>
      <c r="K2692" s="9" t="s">
        <v>3795</v>
      </c>
    </row>
    <row r="2693" spans="1:11" x14ac:dyDescent="0.2">
      <c r="A2693" s="9" t="s">
        <v>24</v>
      </c>
      <c r="B2693" s="9" t="s">
        <v>3796</v>
      </c>
      <c r="C2693" s="9"/>
      <c r="D2693" s="9" t="s">
        <v>85</v>
      </c>
      <c r="E2693" s="38">
        <v>23809</v>
      </c>
      <c r="F2693" s="39">
        <v>814422.33</v>
      </c>
      <c r="G2693" s="40">
        <v>34.206490402788859</v>
      </c>
      <c r="H2693" s="41">
        <v>-5.0295956065586726E-3</v>
      </c>
      <c r="I2693" s="40">
        <v>15.16029064639422</v>
      </c>
      <c r="J2693" s="41">
        <v>0.44319924283019108</v>
      </c>
      <c r="K2693" s="9" t="s">
        <v>3797</v>
      </c>
    </row>
    <row r="2694" spans="1:11" x14ac:dyDescent="0.2">
      <c r="A2694" s="9" t="s">
        <v>24</v>
      </c>
      <c r="B2694" s="9" t="s">
        <v>3798</v>
      </c>
      <c r="C2694" s="9"/>
      <c r="D2694" s="9" t="s">
        <v>83</v>
      </c>
      <c r="E2694" s="38">
        <v>2280</v>
      </c>
      <c r="F2694" s="39">
        <v>1946779.69</v>
      </c>
      <c r="G2694" s="40">
        <v>853.85074122807021</v>
      </c>
      <c r="H2694" s="41"/>
      <c r="I2694" s="40">
        <v>0</v>
      </c>
      <c r="J2694" s="41">
        <v>0</v>
      </c>
      <c r="K2694" s="9" t="s">
        <v>3799</v>
      </c>
    </row>
    <row r="2695" spans="1:11" x14ac:dyDescent="0.2">
      <c r="A2695" s="9" t="s">
        <v>24</v>
      </c>
      <c r="B2695" s="9" t="s">
        <v>3800</v>
      </c>
      <c r="C2695" s="9"/>
      <c r="D2695" s="9" t="s">
        <v>76</v>
      </c>
      <c r="E2695" s="38">
        <v>5077</v>
      </c>
      <c r="F2695" s="39">
        <v>1665311.18</v>
      </c>
      <c r="G2695" s="40">
        <v>328.01086862320273</v>
      </c>
      <c r="H2695" s="41">
        <v>-0.11818072977763371</v>
      </c>
      <c r="I2695" s="40">
        <v>34.489485759306667</v>
      </c>
      <c r="J2695" s="41">
        <v>0.1051473870487076</v>
      </c>
      <c r="K2695" s="9" t="s">
        <v>3801</v>
      </c>
    </row>
    <row r="2696" spans="1:11" x14ac:dyDescent="0.2">
      <c r="A2696" s="9" t="s">
        <v>24</v>
      </c>
      <c r="B2696" s="9" t="s">
        <v>3802</v>
      </c>
      <c r="C2696" s="9"/>
      <c r="D2696" s="9" t="s">
        <v>83</v>
      </c>
      <c r="E2696" s="38">
        <v>2081</v>
      </c>
      <c r="F2696" s="39"/>
      <c r="G2696" s="40"/>
      <c r="H2696" s="41"/>
      <c r="I2696" s="40">
        <v>34.384978760211439</v>
      </c>
      <c r="J2696" s="41"/>
      <c r="K2696" s="9" t="s">
        <v>3803</v>
      </c>
    </row>
    <row r="2697" spans="1:11" x14ac:dyDescent="0.2">
      <c r="A2697" s="9" t="s">
        <v>24</v>
      </c>
      <c r="B2697" s="9" t="s">
        <v>1517</v>
      </c>
      <c r="C2697" s="9"/>
      <c r="D2697" s="9" t="s">
        <v>76</v>
      </c>
      <c r="E2697" s="38">
        <v>6000</v>
      </c>
      <c r="F2697" s="39">
        <v>3748210.16</v>
      </c>
      <c r="G2697" s="40">
        <v>624.70169333333331</v>
      </c>
      <c r="H2697" s="41">
        <v>0.17581799693612479</v>
      </c>
      <c r="I2697" s="40">
        <v>39.4013366</v>
      </c>
      <c r="J2697" s="41">
        <v>6.307224235260063E-2</v>
      </c>
      <c r="K2697" s="9" t="s">
        <v>3804</v>
      </c>
    </row>
    <row r="2698" spans="1:11" x14ac:dyDescent="0.2">
      <c r="A2698" s="9" t="s">
        <v>24</v>
      </c>
      <c r="B2698" s="9" t="s">
        <v>3805</v>
      </c>
      <c r="C2698" s="9"/>
      <c r="D2698" s="9" t="s">
        <v>82</v>
      </c>
      <c r="E2698" s="38">
        <v>1971</v>
      </c>
      <c r="F2698" s="39">
        <v>184521.3</v>
      </c>
      <c r="G2698" s="40">
        <v>93.618112633181127</v>
      </c>
      <c r="H2698" s="41">
        <v>0.1082645883255241</v>
      </c>
      <c r="I2698" s="40">
        <v>36.758846879756469</v>
      </c>
      <c r="J2698" s="41">
        <v>0.39264674159568569</v>
      </c>
      <c r="K2698" s="9" t="s">
        <v>3806</v>
      </c>
    </row>
    <row r="2699" spans="1:11" x14ac:dyDescent="0.2">
      <c r="A2699" s="9" t="s">
        <v>24</v>
      </c>
      <c r="B2699" s="9" t="s">
        <v>3807</v>
      </c>
      <c r="C2699" s="9"/>
      <c r="D2699" s="9" t="s">
        <v>80</v>
      </c>
      <c r="E2699" s="38">
        <v>1230</v>
      </c>
      <c r="F2699" s="39">
        <v>1566085.02</v>
      </c>
      <c r="G2699" s="40">
        <v>1273.239853658537</v>
      </c>
      <c r="H2699" s="41">
        <v>4.2657190588050363E-2</v>
      </c>
      <c r="I2699" s="40">
        <v>54.317851707317068</v>
      </c>
      <c r="J2699" s="41">
        <v>4.2661130619843363E-2</v>
      </c>
      <c r="K2699" s="9" t="s">
        <v>3808</v>
      </c>
    </row>
    <row r="2700" spans="1:11" x14ac:dyDescent="0.2">
      <c r="A2700" s="9" t="s">
        <v>24</v>
      </c>
      <c r="B2700" s="9" t="s">
        <v>607</v>
      </c>
      <c r="C2700" s="9"/>
      <c r="D2700" s="9" t="s">
        <v>85</v>
      </c>
      <c r="E2700" s="38">
        <v>12503</v>
      </c>
      <c r="F2700" s="39">
        <v>4774844.03</v>
      </c>
      <c r="G2700" s="40">
        <v>381.89586739182602</v>
      </c>
      <c r="H2700" s="41">
        <v>-4.6131964784080277E-2</v>
      </c>
      <c r="I2700" s="40">
        <v>35.983242805726633</v>
      </c>
      <c r="J2700" s="41">
        <v>9.4222655645570905E-2</v>
      </c>
      <c r="K2700" s="9" t="s">
        <v>3809</v>
      </c>
    </row>
    <row r="2701" spans="1:11" x14ac:dyDescent="0.2">
      <c r="A2701" s="9" t="s">
        <v>24</v>
      </c>
      <c r="B2701" s="9" t="s">
        <v>817</v>
      </c>
      <c r="C2701" s="9"/>
      <c r="D2701" s="9" t="s">
        <v>83</v>
      </c>
      <c r="E2701" s="38">
        <v>1717</v>
      </c>
      <c r="F2701" s="39"/>
      <c r="G2701" s="40"/>
      <c r="H2701" s="41"/>
      <c r="I2701" s="40">
        <v>40.428475247524752</v>
      </c>
      <c r="J2701" s="41"/>
      <c r="K2701" s="9" t="s">
        <v>3810</v>
      </c>
    </row>
    <row r="2702" spans="1:11" x14ac:dyDescent="0.2">
      <c r="A2702" s="9" t="s">
        <v>24</v>
      </c>
      <c r="B2702" s="9" t="s">
        <v>520</v>
      </c>
      <c r="C2702" s="9"/>
      <c r="D2702" s="9" t="s">
        <v>77</v>
      </c>
      <c r="E2702" s="38">
        <v>4021</v>
      </c>
      <c r="F2702" s="39">
        <v>1664372.07</v>
      </c>
      <c r="G2702" s="40">
        <v>413.91993782641129</v>
      </c>
      <c r="H2702" s="41">
        <v>-0.30357533111333729</v>
      </c>
      <c r="I2702" s="40">
        <v>37.304153195722463</v>
      </c>
      <c r="J2702" s="41">
        <v>9.0124079046820349E-2</v>
      </c>
      <c r="K2702" s="9" t="s">
        <v>3811</v>
      </c>
    </row>
    <row r="2703" spans="1:11" x14ac:dyDescent="0.2">
      <c r="A2703" s="9" t="s">
        <v>24</v>
      </c>
      <c r="B2703" s="9" t="s">
        <v>3812</v>
      </c>
      <c r="C2703" s="9"/>
      <c r="D2703" s="9" t="s">
        <v>79</v>
      </c>
      <c r="E2703" s="38">
        <v>1518</v>
      </c>
      <c r="F2703" s="39">
        <v>84781.16</v>
      </c>
      <c r="G2703" s="40">
        <v>55.850566534914357</v>
      </c>
      <c r="H2703" s="41"/>
      <c r="I2703" s="40">
        <v>47.320000000000007</v>
      </c>
      <c r="J2703" s="41">
        <v>0.84726087729868294</v>
      </c>
      <c r="K2703" s="9" t="s">
        <v>3813</v>
      </c>
    </row>
    <row r="2704" spans="1:11" x14ac:dyDescent="0.2">
      <c r="A2704" s="9" t="s">
        <v>24</v>
      </c>
      <c r="B2704" s="9" t="s">
        <v>946</v>
      </c>
      <c r="C2704" s="9"/>
      <c r="D2704" s="9" t="s">
        <v>78</v>
      </c>
      <c r="E2704" s="38">
        <v>8634</v>
      </c>
      <c r="F2704" s="39">
        <v>16351115</v>
      </c>
      <c r="G2704" s="40">
        <v>1893.8053046096829</v>
      </c>
      <c r="H2704" s="41">
        <v>0.35719653441104338</v>
      </c>
      <c r="I2704" s="40">
        <v>41.484661153578877</v>
      </c>
      <c r="J2704" s="41">
        <v>2.1905451976822379E-2</v>
      </c>
      <c r="K2704" s="9" t="s">
        <v>3814</v>
      </c>
    </row>
    <row r="2705" spans="1:11" x14ac:dyDescent="0.2">
      <c r="A2705" s="9" t="s">
        <v>24</v>
      </c>
      <c r="B2705" s="9" t="s">
        <v>611</v>
      </c>
      <c r="C2705" s="9"/>
      <c r="D2705" s="9" t="s">
        <v>78</v>
      </c>
      <c r="E2705" s="38">
        <v>1700</v>
      </c>
      <c r="F2705" s="39">
        <v>400388.97</v>
      </c>
      <c r="G2705" s="40">
        <v>235.52292352941171</v>
      </c>
      <c r="H2705" s="41"/>
      <c r="I2705" s="40">
        <v>58.823529176470593</v>
      </c>
      <c r="J2705" s="41">
        <v>0.2497571289239062</v>
      </c>
      <c r="K2705" s="9" t="s">
        <v>3815</v>
      </c>
    </row>
    <row r="2706" spans="1:11" x14ac:dyDescent="0.2">
      <c r="A2706" s="9" t="s">
        <v>24</v>
      </c>
      <c r="B2706" s="9" t="s">
        <v>3816</v>
      </c>
      <c r="C2706" s="9"/>
      <c r="D2706" s="9" t="s">
        <v>83</v>
      </c>
      <c r="E2706" s="38">
        <v>3095</v>
      </c>
      <c r="F2706" s="39"/>
      <c r="G2706" s="40"/>
      <c r="H2706" s="41"/>
      <c r="I2706" s="40">
        <v>21.274642972536348</v>
      </c>
      <c r="J2706" s="41"/>
      <c r="K2706" s="9" t="s">
        <v>3817</v>
      </c>
    </row>
    <row r="2707" spans="1:11" x14ac:dyDescent="0.2">
      <c r="A2707" s="9" t="s">
        <v>24</v>
      </c>
      <c r="B2707" s="9" t="s">
        <v>351</v>
      </c>
      <c r="C2707" s="9"/>
      <c r="D2707" s="9" t="s">
        <v>85</v>
      </c>
      <c r="E2707" s="38">
        <v>2842</v>
      </c>
      <c r="F2707" s="39">
        <v>2287005.9300000002</v>
      </c>
      <c r="G2707" s="40">
        <v>804.71707600281502</v>
      </c>
      <c r="H2707" s="41">
        <v>-0.15099316175920369</v>
      </c>
      <c r="I2707" s="40">
        <v>89.26833990147783</v>
      </c>
      <c r="J2707" s="41">
        <v>0.11093133545132521</v>
      </c>
      <c r="K2707" s="9" t="s">
        <v>3818</v>
      </c>
    </row>
    <row r="2708" spans="1:11" x14ac:dyDescent="0.2">
      <c r="A2708" s="9" t="s">
        <v>24</v>
      </c>
      <c r="B2708" s="9" t="s">
        <v>535</v>
      </c>
      <c r="C2708" s="9"/>
      <c r="D2708" s="9" t="s">
        <v>83</v>
      </c>
      <c r="E2708" s="38">
        <v>6400</v>
      </c>
      <c r="F2708" s="39"/>
      <c r="G2708" s="40"/>
      <c r="H2708" s="41"/>
      <c r="I2708" s="40">
        <v>41.506863374999988</v>
      </c>
      <c r="J2708" s="41"/>
      <c r="K2708" s="9" t="s">
        <v>3819</v>
      </c>
    </row>
    <row r="2709" spans="1:11" x14ac:dyDescent="0.2">
      <c r="A2709" s="9" t="s">
        <v>24</v>
      </c>
      <c r="B2709" s="9" t="s">
        <v>353</v>
      </c>
      <c r="C2709" s="9"/>
      <c r="D2709" s="9" t="s">
        <v>76</v>
      </c>
      <c r="E2709" s="38">
        <v>2500</v>
      </c>
      <c r="F2709" s="39">
        <v>927044.04</v>
      </c>
      <c r="G2709" s="40">
        <v>370.81761599999999</v>
      </c>
      <c r="H2709" s="41">
        <v>-4.068944358272069E-2</v>
      </c>
      <c r="I2709" s="40">
        <v>31.934967840000009</v>
      </c>
      <c r="J2709" s="41">
        <v>8.6120417321274206E-2</v>
      </c>
      <c r="K2709" s="9" t="s">
        <v>3820</v>
      </c>
    </row>
    <row r="2710" spans="1:11" x14ac:dyDescent="0.2">
      <c r="A2710" s="9" t="s">
        <v>24</v>
      </c>
      <c r="B2710" s="9" t="s">
        <v>957</v>
      </c>
      <c r="C2710" s="9"/>
      <c r="D2710" s="9" t="s">
        <v>84</v>
      </c>
      <c r="E2710" s="38">
        <v>3206</v>
      </c>
      <c r="F2710" s="39"/>
      <c r="G2710" s="40"/>
      <c r="H2710" s="41"/>
      <c r="I2710" s="40">
        <v>72.38462021210232</v>
      </c>
      <c r="J2710" s="41"/>
      <c r="K2710" s="9" t="s">
        <v>3821</v>
      </c>
    </row>
    <row r="2711" spans="1:11" x14ac:dyDescent="0.2">
      <c r="A2711" s="9" t="s">
        <v>24</v>
      </c>
      <c r="B2711" s="9" t="s">
        <v>357</v>
      </c>
      <c r="C2711" s="9"/>
      <c r="D2711" s="9" t="s">
        <v>76</v>
      </c>
      <c r="E2711" s="38">
        <v>800</v>
      </c>
      <c r="F2711" s="39">
        <v>1084382.4099999999</v>
      </c>
      <c r="G2711" s="40">
        <v>1355.4780125</v>
      </c>
      <c r="H2711" s="41">
        <v>7.2202170558476456E-2</v>
      </c>
      <c r="I2711" s="40">
        <v>123.461136</v>
      </c>
      <c r="J2711" s="41">
        <v>9.108309752091974E-2</v>
      </c>
      <c r="K2711" s="9" t="s">
        <v>3822</v>
      </c>
    </row>
    <row r="2712" spans="1:11" x14ac:dyDescent="0.2">
      <c r="A2712" s="9" t="s">
        <v>24</v>
      </c>
      <c r="B2712" s="9" t="s">
        <v>545</v>
      </c>
      <c r="C2712" s="9"/>
      <c r="D2712" s="9" t="s">
        <v>76</v>
      </c>
      <c r="E2712" s="38">
        <v>7558</v>
      </c>
      <c r="F2712" s="39">
        <v>2391496.36</v>
      </c>
      <c r="G2712" s="40">
        <v>316.41920613919018</v>
      </c>
      <c r="H2712" s="41">
        <v>-4.7239203870537608E-2</v>
      </c>
      <c r="I2712" s="40">
        <v>52.806141783540617</v>
      </c>
      <c r="J2712" s="41">
        <v>0.16688665150215831</v>
      </c>
      <c r="K2712" s="9" t="s">
        <v>3823</v>
      </c>
    </row>
    <row r="2713" spans="1:11" x14ac:dyDescent="0.2">
      <c r="A2713" s="9" t="s">
        <v>24</v>
      </c>
      <c r="B2713" s="9" t="s">
        <v>3824</v>
      </c>
      <c r="C2713" s="9"/>
      <c r="D2713" s="9" t="s">
        <v>84</v>
      </c>
      <c r="E2713" s="38">
        <v>1</v>
      </c>
      <c r="F2713" s="39">
        <v>0</v>
      </c>
      <c r="G2713" s="40"/>
      <c r="H2713" s="41"/>
      <c r="I2713" s="40">
        <v>37487.879999999997</v>
      </c>
      <c r="J2713" s="41"/>
      <c r="K2713" s="9" t="s">
        <v>3825</v>
      </c>
    </row>
    <row r="2714" spans="1:11" x14ac:dyDescent="0.2">
      <c r="A2714" s="9" t="s">
        <v>24</v>
      </c>
      <c r="B2714" s="9" t="s">
        <v>3826</v>
      </c>
      <c r="C2714" s="9"/>
      <c r="D2714" s="9" t="s">
        <v>86</v>
      </c>
      <c r="E2714" s="38">
        <v>21442</v>
      </c>
      <c r="F2714" s="39">
        <v>4168271.91</v>
      </c>
      <c r="G2714" s="40">
        <v>194.39753334577</v>
      </c>
      <c r="H2714" s="41">
        <v>3.5448230519354883E-2</v>
      </c>
      <c r="I2714" s="40">
        <v>13.020688368622331</v>
      </c>
      <c r="J2714" s="41">
        <v>6.697969950813501E-2</v>
      </c>
      <c r="K2714" s="9" t="s">
        <v>3827</v>
      </c>
    </row>
    <row r="2715" spans="1:11" x14ac:dyDescent="0.2">
      <c r="A2715" s="9" t="s">
        <v>24</v>
      </c>
      <c r="B2715" s="9" t="s">
        <v>3828</v>
      </c>
      <c r="C2715" s="9"/>
      <c r="D2715" s="9" t="s">
        <v>79</v>
      </c>
      <c r="E2715" s="38">
        <v>1876</v>
      </c>
      <c r="F2715" s="39">
        <v>1976253.13</v>
      </c>
      <c r="G2715" s="40">
        <v>1053.4398347547969</v>
      </c>
      <c r="H2715" s="41">
        <v>2.110474493590964E-2</v>
      </c>
      <c r="I2715" s="40">
        <v>51.565350319829427</v>
      </c>
      <c r="J2715" s="41">
        <v>4.894949727416751E-2</v>
      </c>
      <c r="K2715" s="9" t="s">
        <v>3829</v>
      </c>
    </row>
    <row r="2716" spans="1:11" x14ac:dyDescent="0.2">
      <c r="A2716" s="9" t="s">
        <v>24</v>
      </c>
      <c r="B2716" s="9" t="s">
        <v>3830</v>
      </c>
      <c r="C2716" s="9"/>
      <c r="D2716" s="9" t="s">
        <v>81</v>
      </c>
      <c r="E2716" s="38">
        <v>4887</v>
      </c>
      <c r="F2716" s="39">
        <v>1488648.17</v>
      </c>
      <c r="G2716" s="40">
        <v>304.61390832821769</v>
      </c>
      <c r="H2716" s="41">
        <v>-6.2980106568619257E-2</v>
      </c>
      <c r="I2716" s="40">
        <v>34.368656108041741</v>
      </c>
      <c r="J2716" s="41">
        <v>0.112826943118467</v>
      </c>
      <c r="K2716" s="9" t="s">
        <v>3831</v>
      </c>
    </row>
    <row r="2717" spans="1:11" x14ac:dyDescent="0.2">
      <c r="A2717" s="9" t="s">
        <v>24</v>
      </c>
      <c r="B2717" s="9" t="s">
        <v>3832</v>
      </c>
      <c r="C2717" s="9"/>
      <c r="D2717" s="9" t="s">
        <v>83</v>
      </c>
      <c r="E2717" s="38">
        <v>1500</v>
      </c>
      <c r="F2717" s="39"/>
      <c r="G2717" s="40"/>
      <c r="H2717" s="41"/>
      <c r="I2717" s="40">
        <v>25.468992</v>
      </c>
      <c r="J2717" s="41"/>
      <c r="K2717" s="9" t="s">
        <v>3833</v>
      </c>
    </row>
    <row r="2718" spans="1:11" x14ac:dyDescent="0.2">
      <c r="A2718" s="9" t="s">
        <v>24</v>
      </c>
      <c r="B2718" s="9" t="s">
        <v>3834</v>
      </c>
      <c r="C2718" s="9"/>
      <c r="D2718" s="9" t="s">
        <v>81</v>
      </c>
      <c r="E2718" s="38">
        <v>3800</v>
      </c>
      <c r="F2718" s="39">
        <v>1974193.68</v>
      </c>
      <c r="G2718" s="40">
        <v>519.52465263157887</v>
      </c>
      <c r="H2718" s="41">
        <v>8.08646558231986E-2</v>
      </c>
      <c r="I2718" s="40">
        <v>53.848315578947357</v>
      </c>
      <c r="J2718" s="41">
        <v>0.10364920183515131</v>
      </c>
      <c r="K2718" s="9" t="s">
        <v>3835</v>
      </c>
    </row>
    <row r="2719" spans="1:11" x14ac:dyDescent="0.2">
      <c r="A2719" s="9" t="s">
        <v>24</v>
      </c>
      <c r="B2719" s="9" t="s">
        <v>371</v>
      </c>
      <c r="C2719" s="9"/>
      <c r="D2719" s="9" t="s">
        <v>76</v>
      </c>
      <c r="E2719" s="38">
        <v>5414</v>
      </c>
      <c r="F2719" s="39">
        <v>682755.59</v>
      </c>
      <c r="G2719" s="40">
        <v>126.109270410048</v>
      </c>
      <c r="H2719" s="41">
        <v>-2.418958788468804E-2</v>
      </c>
      <c r="I2719" s="40">
        <v>13.85297377170299</v>
      </c>
      <c r="J2719" s="41">
        <v>0.1098489724558681</v>
      </c>
      <c r="K2719" s="9" t="s">
        <v>3836</v>
      </c>
    </row>
    <row r="2720" spans="1:11" x14ac:dyDescent="0.2">
      <c r="A2720" s="9" t="s">
        <v>24</v>
      </c>
      <c r="B2720" s="9" t="s">
        <v>3837</v>
      </c>
      <c r="C2720" s="9"/>
      <c r="D2720" s="9" t="s">
        <v>76</v>
      </c>
      <c r="E2720" s="38">
        <v>1614</v>
      </c>
      <c r="F2720" s="39">
        <v>170100.98</v>
      </c>
      <c r="G2720" s="40">
        <v>105.39094175960351</v>
      </c>
      <c r="H2720" s="41">
        <v>-0.177680901790714</v>
      </c>
      <c r="I2720" s="40">
        <v>23.68951970260223</v>
      </c>
      <c r="J2720" s="41">
        <v>0.22477756918272901</v>
      </c>
      <c r="K2720" s="9" t="s">
        <v>3838</v>
      </c>
    </row>
    <row r="2721" spans="1:11" x14ac:dyDescent="0.2">
      <c r="A2721" s="9" t="s">
        <v>24</v>
      </c>
      <c r="B2721" s="9" t="s">
        <v>376</v>
      </c>
      <c r="C2721" s="9"/>
      <c r="D2721" s="9" t="s">
        <v>79</v>
      </c>
      <c r="E2721" s="38">
        <v>10015</v>
      </c>
      <c r="F2721" s="39"/>
      <c r="G2721" s="40"/>
      <c r="H2721" s="41"/>
      <c r="I2721" s="40">
        <v>30.86295852221668</v>
      </c>
      <c r="J2721" s="41"/>
      <c r="K2721" s="9" t="s">
        <v>3839</v>
      </c>
    </row>
    <row r="2722" spans="1:11" x14ac:dyDescent="0.2">
      <c r="A2722" s="9" t="s">
        <v>24</v>
      </c>
      <c r="B2722" s="9" t="s">
        <v>388</v>
      </c>
      <c r="C2722" s="9"/>
      <c r="D2722" s="9" t="s">
        <v>76</v>
      </c>
      <c r="E2722" s="38">
        <v>8030</v>
      </c>
      <c r="F2722" s="39">
        <v>3387344.7</v>
      </c>
      <c r="G2722" s="40">
        <v>421.83620174346203</v>
      </c>
      <c r="H2722" s="41">
        <v>-6.1412791475861379E-2</v>
      </c>
      <c r="I2722" s="40">
        <v>39.589999950186801</v>
      </c>
      <c r="J2722" s="41">
        <v>9.3851594022893517E-2</v>
      </c>
      <c r="K2722" s="9" t="s">
        <v>3840</v>
      </c>
    </row>
    <row r="2723" spans="1:11" x14ac:dyDescent="0.2">
      <c r="A2723" s="9" t="s">
        <v>24</v>
      </c>
      <c r="B2723" s="9" t="s">
        <v>640</v>
      </c>
      <c r="C2723" s="9"/>
      <c r="D2723" s="9" t="s">
        <v>83</v>
      </c>
      <c r="E2723" s="38">
        <v>1863</v>
      </c>
      <c r="F2723" s="39">
        <v>1533510.85</v>
      </c>
      <c r="G2723" s="40">
        <v>823.14055287171232</v>
      </c>
      <c r="H2723" s="41"/>
      <c r="I2723" s="40">
        <v>62.687500161030577</v>
      </c>
      <c r="J2723" s="41">
        <v>7.6156495925672765E-2</v>
      </c>
      <c r="K2723" s="9" t="s">
        <v>3841</v>
      </c>
    </row>
    <row r="2724" spans="1:11" x14ac:dyDescent="0.2">
      <c r="A2724" s="9" t="s">
        <v>24</v>
      </c>
      <c r="B2724" s="9" t="s">
        <v>571</v>
      </c>
      <c r="C2724" s="9"/>
      <c r="D2724" s="9" t="s">
        <v>76</v>
      </c>
      <c r="E2724" s="38">
        <v>2575</v>
      </c>
      <c r="F2724" s="39">
        <v>646161.33000000007</v>
      </c>
      <c r="G2724" s="40">
        <v>250.9364388349515</v>
      </c>
      <c r="H2724" s="41">
        <v>-6.8819064379661132E-3</v>
      </c>
      <c r="I2724" s="40">
        <v>39.301923728155337</v>
      </c>
      <c r="J2724" s="41">
        <v>0.1566210308499891</v>
      </c>
      <c r="K2724" s="9" t="s">
        <v>3842</v>
      </c>
    </row>
    <row r="2725" spans="1:11" x14ac:dyDescent="0.2">
      <c r="A2725" s="9" t="s">
        <v>24</v>
      </c>
      <c r="B2725" s="9" t="s">
        <v>644</v>
      </c>
      <c r="C2725" s="9"/>
      <c r="D2725" s="9" t="s">
        <v>82</v>
      </c>
      <c r="E2725" s="38">
        <v>5505</v>
      </c>
      <c r="F2725" s="39">
        <v>3692595.05</v>
      </c>
      <c r="G2725" s="40">
        <v>670.77112624886468</v>
      </c>
      <c r="H2725" s="41">
        <v>0.11189465853453261</v>
      </c>
      <c r="I2725" s="40">
        <v>46.430000000000007</v>
      </c>
      <c r="J2725" s="41">
        <v>6.9218841096588712E-2</v>
      </c>
      <c r="K2725" s="9" t="s">
        <v>3843</v>
      </c>
    </row>
    <row r="2726" spans="1:11" x14ac:dyDescent="0.2">
      <c r="A2726" s="9" t="s">
        <v>24</v>
      </c>
      <c r="B2726" s="9" t="s">
        <v>3844</v>
      </c>
      <c r="C2726" s="9"/>
      <c r="D2726" s="9" t="s">
        <v>76</v>
      </c>
      <c r="E2726" s="38">
        <v>1047</v>
      </c>
      <c r="F2726" s="39">
        <v>365796.66</v>
      </c>
      <c r="G2726" s="40">
        <v>349.37598853868201</v>
      </c>
      <c r="H2726" s="41">
        <v>-0.18069280608315849</v>
      </c>
      <c r="I2726" s="40">
        <v>39.980427507163327</v>
      </c>
      <c r="J2726" s="41">
        <v>0.1144338157707618</v>
      </c>
      <c r="K2726" s="9" t="s">
        <v>3845</v>
      </c>
    </row>
    <row r="2727" spans="1:11" x14ac:dyDescent="0.2">
      <c r="A2727" s="9" t="s">
        <v>27</v>
      </c>
      <c r="B2727" s="9" t="s">
        <v>3846</v>
      </c>
      <c r="C2727" s="9"/>
      <c r="D2727" s="9" t="s">
        <v>81</v>
      </c>
      <c r="E2727" s="38">
        <v>873</v>
      </c>
      <c r="F2727" s="39">
        <v>526721.41999999993</v>
      </c>
      <c r="G2727" s="40">
        <v>603.34641466208473</v>
      </c>
      <c r="H2727" s="41">
        <v>0.38855961048955179</v>
      </c>
      <c r="I2727" s="40">
        <v>71.693665979381436</v>
      </c>
      <c r="J2727" s="41">
        <v>0.11882670425668281</v>
      </c>
      <c r="K2727" s="9" t="s">
        <v>3847</v>
      </c>
    </row>
    <row r="2728" spans="1:11" x14ac:dyDescent="0.2">
      <c r="A2728" s="9" t="s">
        <v>27</v>
      </c>
      <c r="B2728" s="9" t="s">
        <v>169</v>
      </c>
      <c r="C2728" s="9"/>
      <c r="D2728" s="9" t="s">
        <v>76</v>
      </c>
      <c r="E2728" s="38">
        <v>5500</v>
      </c>
      <c r="F2728" s="39">
        <v>2374510.61</v>
      </c>
      <c r="G2728" s="40">
        <v>431.72920181818182</v>
      </c>
      <c r="H2728" s="41">
        <v>1.1103264646846561E-2</v>
      </c>
      <c r="I2728" s="40">
        <v>44.281316290909089</v>
      </c>
      <c r="J2728" s="41">
        <v>0.1025673410657028</v>
      </c>
      <c r="K2728" s="9" t="s">
        <v>3848</v>
      </c>
    </row>
    <row r="2729" spans="1:11" x14ac:dyDescent="0.2">
      <c r="A2729" s="9" t="s">
        <v>27</v>
      </c>
      <c r="B2729" s="9" t="s">
        <v>173</v>
      </c>
      <c r="C2729" s="9"/>
      <c r="D2729" s="9" t="s">
        <v>80</v>
      </c>
      <c r="E2729" s="38">
        <v>648</v>
      </c>
      <c r="F2729" s="39">
        <v>622562.17000000016</v>
      </c>
      <c r="G2729" s="40">
        <v>960.74408950617305</v>
      </c>
      <c r="H2729" s="41"/>
      <c r="I2729" s="40">
        <v>154.6480314814815</v>
      </c>
      <c r="J2729" s="41">
        <v>0.1609669350773433</v>
      </c>
      <c r="K2729" s="9" t="s">
        <v>3849</v>
      </c>
    </row>
    <row r="2730" spans="1:11" x14ac:dyDescent="0.2">
      <c r="A2730" s="9" t="s">
        <v>27</v>
      </c>
      <c r="B2730" s="9" t="s">
        <v>1443</v>
      </c>
      <c r="C2730" s="9"/>
      <c r="D2730" s="9" t="s">
        <v>78</v>
      </c>
      <c r="E2730" s="38">
        <v>200</v>
      </c>
      <c r="F2730" s="39">
        <v>337300.89</v>
      </c>
      <c r="G2730" s="40">
        <v>1686.5044499999999</v>
      </c>
      <c r="H2730" s="41">
        <v>0.49414863183759739</v>
      </c>
      <c r="I2730" s="40">
        <v>270.60805199999999</v>
      </c>
      <c r="J2730" s="41">
        <v>0.16045498842294781</v>
      </c>
      <c r="K2730" s="9" t="s">
        <v>3850</v>
      </c>
    </row>
    <row r="2731" spans="1:11" x14ac:dyDescent="0.2">
      <c r="A2731" s="9" t="s">
        <v>27</v>
      </c>
      <c r="B2731" s="9" t="s">
        <v>179</v>
      </c>
      <c r="C2731" s="9"/>
      <c r="D2731" s="9" t="s">
        <v>79</v>
      </c>
      <c r="E2731" s="38">
        <v>2832</v>
      </c>
      <c r="F2731" s="39">
        <v>2955484</v>
      </c>
      <c r="G2731" s="40">
        <v>1043.6031073446329</v>
      </c>
      <c r="H2731" s="41">
        <v>0.45604365985079087</v>
      </c>
      <c r="I2731" s="40">
        <v>76.991892231638417</v>
      </c>
      <c r="J2731" s="41">
        <v>7.3775069937783461E-2</v>
      </c>
      <c r="K2731" s="9" t="s">
        <v>3851</v>
      </c>
    </row>
    <row r="2732" spans="1:11" x14ac:dyDescent="0.2">
      <c r="A2732" s="9" t="s">
        <v>27</v>
      </c>
      <c r="B2732" s="9" t="s">
        <v>755</v>
      </c>
      <c r="C2732" s="9"/>
      <c r="D2732" s="9" t="s">
        <v>86</v>
      </c>
      <c r="E2732" s="38">
        <v>1</v>
      </c>
      <c r="F2732" s="39">
        <v>0</v>
      </c>
      <c r="G2732" s="40"/>
      <c r="H2732" s="41"/>
      <c r="I2732" s="40">
        <v>2125.8732</v>
      </c>
      <c r="J2732" s="41"/>
      <c r="K2732" s="9" t="s">
        <v>3852</v>
      </c>
    </row>
    <row r="2733" spans="1:11" x14ac:dyDescent="0.2">
      <c r="A2733" s="9" t="s">
        <v>27</v>
      </c>
      <c r="B2733" s="9" t="s">
        <v>3853</v>
      </c>
      <c r="C2733" s="9"/>
      <c r="D2733" s="9" t="s">
        <v>85</v>
      </c>
      <c r="E2733" s="38">
        <v>11118</v>
      </c>
      <c r="F2733" s="39">
        <v>5056294.5999999996</v>
      </c>
      <c r="G2733" s="40">
        <v>454.78454758049998</v>
      </c>
      <c r="H2733" s="41">
        <v>0.70314518676683868</v>
      </c>
      <c r="I2733" s="40">
        <v>34.042760712358337</v>
      </c>
      <c r="J2733" s="41">
        <v>7.4854699645072117E-2</v>
      </c>
      <c r="K2733" s="9" t="s">
        <v>3854</v>
      </c>
    </row>
    <row r="2734" spans="1:11" x14ac:dyDescent="0.2">
      <c r="A2734" s="9" t="s">
        <v>27</v>
      </c>
      <c r="B2734" s="9" t="s">
        <v>187</v>
      </c>
      <c r="C2734" s="9"/>
      <c r="D2734" s="9" t="s">
        <v>76</v>
      </c>
      <c r="E2734" s="38">
        <v>2582</v>
      </c>
      <c r="F2734" s="39">
        <v>601125.24</v>
      </c>
      <c r="G2734" s="40">
        <v>232.81380325329201</v>
      </c>
      <c r="H2734" s="41">
        <v>0.31577939828085511</v>
      </c>
      <c r="I2734" s="40">
        <v>27.65298404337722</v>
      </c>
      <c r="J2734" s="41">
        <v>0.1187772531394622</v>
      </c>
      <c r="K2734" s="9" t="s">
        <v>3855</v>
      </c>
    </row>
    <row r="2735" spans="1:11" x14ac:dyDescent="0.2">
      <c r="A2735" s="9" t="s">
        <v>27</v>
      </c>
      <c r="B2735" s="9" t="s">
        <v>2473</v>
      </c>
      <c r="C2735" s="9"/>
      <c r="D2735" s="9" t="s">
        <v>83</v>
      </c>
      <c r="E2735" s="38">
        <v>591</v>
      </c>
      <c r="F2735" s="39">
        <v>263868.49</v>
      </c>
      <c r="G2735" s="40">
        <v>446.47798646362111</v>
      </c>
      <c r="H2735" s="41">
        <v>0.49401817549204191</v>
      </c>
      <c r="I2735" s="40">
        <v>109.8936060913706</v>
      </c>
      <c r="J2735" s="41">
        <v>0.2461344331033993</v>
      </c>
      <c r="K2735" s="9" t="s">
        <v>3856</v>
      </c>
    </row>
    <row r="2736" spans="1:11" x14ac:dyDescent="0.2">
      <c r="A2736" s="9" t="s">
        <v>27</v>
      </c>
      <c r="B2736" s="9" t="s">
        <v>191</v>
      </c>
      <c r="C2736" s="9"/>
      <c r="D2736" s="9" t="s">
        <v>76</v>
      </c>
      <c r="E2736" s="38">
        <v>5645</v>
      </c>
      <c r="F2736" s="39">
        <v>3550007.75</v>
      </c>
      <c r="G2736" s="40">
        <v>628.87648361381753</v>
      </c>
      <c r="H2736" s="41">
        <v>0.45845431323783881</v>
      </c>
      <c r="I2736" s="40">
        <v>60.360314508414532</v>
      </c>
      <c r="J2736" s="41">
        <v>9.5981191984721728E-2</v>
      </c>
      <c r="K2736" s="9" t="s">
        <v>3857</v>
      </c>
    </row>
    <row r="2737" spans="1:11" x14ac:dyDescent="0.2">
      <c r="A2737" s="9" t="s">
        <v>27</v>
      </c>
      <c r="B2737" s="9" t="s">
        <v>2475</v>
      </c>
      <c r="C2737" s="9"/>
      <c r="D2737" s="9" t="s">
        <v>81</v>
      </c>
      <c r="E2737" s="38">
        <v>1</v>
      </c>
      <c r="F2737" s="39">
        <v>0</v>
      </c>
      <c r="G2737" s="40"/>
      <c r="H2737" s="41"/>
      <c r="I2737" s="40">
        <v>10098.715200000001</v>
      </c>
      <c r="J2737" s="41"/>
      <c r="K2737" s="9" t="s">
        <v>3858</v>
      </c>
    </row>
    <row r="2738" spans="1:11" x14ac:dyDescent="0.2">
      <c r="A2738" s="9" t="s">
        <v>27</v>
      </c>
      <c r="B2738" s="9" t="s">
        <v>3859</v>
      </c>
      <c r="C2738" s="9"/>
      <c r="D2738" s="9" t="s">
        <v>86</v>
      </c>
      <c r="E2738" s="38">
        <v>75330</v>
      </c>
      <c r="F2738" s="39">
        <v>0</v>
      </c>
      <c r="G2738" s="40"/>
      <c r="H2738" s="41"/>
      <c r="I2738" s="40">
        <v>0.79742413381123056</v>
      </c>
      <c r="J2738" s="41"/>
      <c r="K2738" s="9" t="s">
        <v>3860</v>
      </c>
    </row>
    <row r="2739" spans="1:11" x14ac:dyDescent="0.2">
      <c r="A2739" s="9" t="s">
        <v>27</v>
      </c>
      <c r="B2739" s="9" t="s">
        <v>3861</v>
      </c>
      <c r="C2739" s="9"/>
      <c r="D2739" s="9" t="s">
        <v>83</v>
      </c>
      <c r="E2739" s="38">
        <v>1</v>
      </c>
      <c r="F2739" s="39">
        <v>102857</v>
      </c>
      <c r="G2739" s="40">
        <v>102857</v>
      </c>
      <c r="H2739" s="41">
        <v>2.431789737171465E-2</v>
      </c>
      <c r="I2739" s="40">
        <v>2400</v>
      </c>
      <c r="J2739" s="41">
        <v>2.333336574078575E-2</v>
      </c>
      <c r="K2739" s="9" t="s">
        <v>3862</v>
      </c>
    </row>
    <row r="2740" spans="1:11" x14ac:dyDescent="0.2">
      <c r="A2740" s="9" t="s">
        <v>27</v>
      </c>
      <c r="B2740" s="9" t="s">
        <v>3861</v>
      </c>
      <c r="C2740" s="9"/>
      <c r="D2740" s="9" t="s">
        <v>83</v>
      </c>
      <c r="E2740" s="38">
        <v>1</v>
      </c>
      <c r="F2740" s="39">
        <v>0</v>
      </c>
      <c r="G2740" s="40"/>
      <c r="H2740" s="41"/>
      <c r="I2740" s="40">
        <v>4800</v>
      </c>
      <c r="J2740" s="41"/>
      <c r="K2740" s="9" t="s">
        <v>3862</v>
      </c>
    </row>
    <row r="2741" spans="1:11" x14ac:dyDescent="0.2">
      <c r="A2741" s="9" t="s">
        <v>27</v>
      </c>
      <c r="B2741" s="9" t="s">
        <v>3863</v>
      </c>
      <c r="C2741" s="9"/>
      <c r="D2741" s="9" t="s">
        <v>84</v>
      </c>
      <c r="E2741" s="38">
        <v>150</v>
      </c>
      <c r="F2741" s="39">
        <v>120878</v>
      </c>
      <c r="G2741" s="40">
        <v>805.85333333333335</v>
      </c>
      <c r="H2741" s="41"/>
      <c r="I2741" s="40">
        <v>366.66666400000003</v>
      </c>
      <c r="J2741" s="41">
        <v>0.45500421582091038</v>
      </c>
      <c r="K2741" s="9" t="s">
        <v>3864</v>
      </c>
    </row>
    <row r="2742" spans="1:11" x14ac:dyDescent="0.2">
      <c r="A2742" s="9" t="s">
        <v>27</v>
      </c>
      <c r="B2742" s="9" t="s">
        <v>202</v>
      </c>
      <c r="C2742" s="9"/>
      <c r="D2742" s="9" t="s">
        <v>81</v>
      </c>
      <c r="E2742" s="38">
        <v>888</v>
      </c>
      <c r="F2742" s="39">
        <v>534044.55000000005</v>
      </c>
      <c r="G2742" s="40">
        <v>601.40152027027034</v>
      </c>
      <c r="H2742" s="41">
        <v>0.74650471552164643</v>
      </c>
      <c r="I2742" s="40">
        <v>78.83</v>
      </c>
      <c r="J2742" s="41">
        <v>0.13107715451828869</v>
      </c>
      <c r="K2742" s="9" t="s">
        <v>3865</v>
      </c>
    </row>
    <row r="2743" spans="1:11" x14ac:dyDescent="0.2">
      <c r="A2743" s="9" t="s">
        <v>27</v>
      </c>
      <c r="B2743" s="9" t="s">
        <v>3866</v>
      </c>
      <c r="C2743" s="9"/>
      <c r="D2743" s="9" t="s">
        <v>81</v>
      </c>
      <c r="E2743" s="38">
        <v>686</v>
      </c>
      <c r="F2743" s="39">
        <v>632619.19000000006</v>
      </c>
      <c r="G2743" s="40">
        <v>922.18540816326538</v>
      </c>
      <c r="H2743" s="41">
        <v>0.46300738794107837</v>
      </c>
      <c r="I2743" s="40">
        <v>198.85238833819241</v>
      </c>
      <c r="J2743" s="41">
        <v>0.215631679462648</v>
      </c>
      <c r="K2743" s="9" t="s">
        <v>3867</v>
      </c>
    </row>
    <row r="2744" spans="1:11" x14ac:dyDescent="0.2">
      <c r="A2744" s="9" t="s">
        <v>27</v>
      </c>
      <c r="B2744" s="9" t="s">
        <v>206</v>
      </c>
      <c r="C2744" s="9"/>
      <c r="D2744" s="9" t="s">
        <v>80</v>
      </c>
      <c r="E2744" s="38">
        <v>880</v>
      </c>
      <c r="F2744" s="39">
        <v>324164.3</v>
      </c>
      <c r="G2744" s="40">
        <v>368.36852272727282</v>
      </c>
      <c r="H2744" s="41"/>
      <c r="I2744" s="40">
        <v>70.927227272727265</v>
      </c>
      <c r="J2744" s="41">
        <v>0.19254421291918941</v>
      </c>
      <c r="K2744" s="9" t="s">
        <v>3868</v>
      </c>
    </row>
    <row r="2745" spans="1:11" x14ac:dyDescent="0.2">
      <c r="A2745" s="9" t="s">
        <v>27</v>
      </c>
      <c r="B2745" s="9" t="s">
        <v>208</v>
      </c>
      <c r="C2745" s="9"/>
      <c r="D2745" s="9" t="s">
        <v>78</v>
      </c>
      <c r="E2745" s="38">
        <v>1662</v>
      </c>
      <c r="F2745" s="39">
        <v>599212.6</v>
      </c>
      <c r="G2745" s="40">
        <v>360.53706377857998</v>
      </c>
      <c r="H2745" s="41">
        <v>0.47968130251636271</v>
      </c>
      <c r="I2745" s="40">
        <v>36.053706137184122</v>
      </c>
      <c r="J2745" s="41">
        <v>9.9999999332457304E-2</v>
      </c>
      <c r="K2745" s="9" t="s">
        <v>3869</v>
      </c>
    </row>
    <row r="2746" spans="1:11" x14ac:dyDescent="0.2">
      <c r="A2746" s="9" t="s">
        <v>27</v>
      </c>
      <c r="B2746" s="9" t="s">
        <v>3870</v>
      </c>
      <c r="C2746" s="9"/>
      <c r="D2746" s="9" t="s">
        <v>84</v>
      </c>
      <c r="E2746" s="38">
        <v>1147</v>
      </c>
      <c r="F2746" s="39">
        <v>498943.51</v>
      </c>
      <c r="G2746" s="40">
        <v>434.99870095902361</v>
      </c>
      <c r="H2746" s="41"/>
      <c r="I2746" s="40">
        <v>84.006355710549258</v>
      </c>
      <c r="J2746" s="41">
        <v>0.19311863581510461</v>
      </c>
      <c r="K2746" s="9" t="s">
        <v>3871</v>
      </c>
    </row>
    <row r="2747" spans="1:11" x14ac:dyDescent="0.2">
      <c r="A2747" s="9" t="s">
        <v>27</v>
      </c>
      <c r="B2747" s="9" t="s">
        <v>3872</v>
      </c>
      <c r="C2747" s="9"/>
      <c r="D2747" s="9" t="s">
        <v>79</v>
      </c>
      <c r="E2747" s="38">
        <v>3036</v>
      </c>
      <c r="F2747" s="39">
        <v>399038.31</v>
      </c>
      <c r="G2747" s="40">
        <v>131.43554347826091</v>
      </c>
      <c r="H2747" s="41">
        <v>0.43602213813513357</v>
      </c>
      <c r="I2747" s="40">
        <v>28</v>
      </c>
      <c r="J2747" s="41">
        <v>0.2130321772864365</v>
      </c>
      <c r="K2747" s="9" t="s">
        <v>3873</v>
      </c>
    </row>
    <row r="2748" spans="1:11" x14ac:dyDescent="0.2">
      <c r="A2748" s="9" t="s">
        <v>27</v>
      </c>
      <c r="B2748" s="9" t="s">
        <v>766</v>
      </c>
      <c r="C2748" s="9"/>
      <c r="D2748" s="9" t="s">
        <v>86</v>
      </c>
      <c r="E2748" s="38">
        <v>43500</v>
      </c>
      <c r="F2748" s="39">
        <v>0</v>
      </c>
      <c r="G2748" s="40"/>
      <c r="H2748" s="41"/>
      <c r="I2748" s="40">
        <v>7.5</v>
      </c>
      <c r="J2748" s="41"/>
      <c r="K2748" s="9" t="s">
        <v>3874</v>
      </c>
    </row>
    <row r="2749" spans="1:11" x14ac:dyDescent="0.2">
      <c r="A2749" s="9" t="s">
        <v>27</v>
      </c>
      <c r="B2749" s="9" t="s">
        <v>888</v>
      </c>
      <c r="C2749" s="9"/>
      <c r="D2749" s="9" t="s">
        <v>86</v>
      </c>
      <c r="E2749" s="38">
        <v>105000</v>
      </c>
      <c r="F2749" s="39">
        <v>0</v>
      </c>
      <c r="G2749" s="40"/>
      <c r="H2749" s="41"/>
      <c r="I2749" s="40">
        <v>0.4</v>
      </c>
      <c r="J2749" s="41"/>
      <c r="K2749" s="9" t="s">
        <v>3875</v>
      </c>
    </row>
    <row r="2750" spans="1:11" x14ac:dyDescent="0.2">
      <c r="A2750" s="9" t="s">
        <v>27</v>
      </c>
      <c r="B2750" s="9" t="s">
        <v>3876</v>
      </c>
      <c r="C2750" s="9"/>
      <c r="D2750" s="9" t="s">
        <v>82</v>
      </c>
      <c r="E2750" s="38">
        <v>8700</v>
      </c>
      <c r="F2750" s="39">
        <v>1500210.78</v>
      </c>
      <c r="G2750" s="40">
        <v>172.43802068965519</v>
      </c>
      <c r="H2750" s="41">
        <v>0.66842069109238333</v>
      </c>
      <c r="I2750" s="40">
        <v>13.391695632183909</v>
      </c>
      <c r="J2750" s="41">
        <v>7.7660921753941806E-2</v>
      </c>
      <c r="K2750" s="9" t="s">
        <v>3877</v>
      </c>
    </row>
    <row r="2751" spans="1:11" x14ac:dyDescent="0.2">
      <c r="A2751" s="9" t="s">
        <v>27</v>
      </c>
      <c r="B2751" s="9" t="s">
        <v>3878</v>
      </c>
      <c r="C2751" s="9"/>
      <c r="D2751" s="9" t="s">
        <v>81</v>
      </c>
      <c r="E2751" s="38">
        <v>1</v>
      </c>
      <c r="F2751" s="39">
        <v>0</v>
      </c>
      <c r="G2751" s="40"/>
      <c r="H2751" s="41"/>
      <c r="I2751" s="40">
        <v>36614.519999999997</v>
      </c>
      <c r="J2751" s="41"/>
      <c r="K2751" s="9" t="s">
        <v>3879</v>
      </c>
    </row>
    <row r="2752" spans="1:11" x14ac:dyDescent="0.2">
      <c r="A2752" s="9" t="s">
        <v>27</v>
      </c>
      <c r="B2752" s="9" t="s">
        <v>233</v>
      </c>
      <c r="C2752" s="9"/>
      <c r="D2752" s="9" t="s">
        <v>77</v>
      </c>
      <c r="E2752" s="38">
        <v>5045</v>
      </c>
      <c r="F2752" s="39">
        <v>1050274.6599999999</v>
      </c>
      <c r="G2752" s="40">
        <v>208.1813002973241</v>
      </c>
      <c r="H2752" s="41">
        <v>0.49521125544438649</v>
      </c>
      <c r="I2752" s="40">
        <v>17.839444995044602</v>
      </c>
      <c r="J2752" s="41">
        <v>8.5691870353227423E-2</v>
      </c>
      <c r="K2752" s="9" t="s">
        <v>3880</v>
      </c>
    </row>
    <row r="2753" spans="1:11" x14ac:dyDescent="0.2">
      <c r="A2753" s="9" t="s">
        <v>27</v>
      </c>
      <c r="B2753" s="9" t="s">
        <v>1477</v>
      </c>
      <c r="C2753" s="9"/>
      <c r="D2753" s="9" t="s">
        <v>85</v>
      </c>
      <c r="E2753" s="38">
        <v>12009</v>
      </c>
      <c r="F2753" s="39">
        <v>0</v>
      </c>
      <c r="G2753" s="40"/>
      <c r="H2753" s="41"/>
      <c r="I2753" s="40">
        <v>23.86</v>
      </c>
      <c r="J2753" s="41"/>
      <c r="K2753" s="9" t="s">
        <v>3881</v>
      </c>
    </row>
    <row r="2754" spans="1:11" x14ac:dyDescent="0.2">
      <c r="A2754" s="9" t="s">
        <v>27</v>
      </c>
      <c r="B2754" s="9" t="s">
        <v>235</v>
      </c>
      <c r="C2754" s="9"/>
      <c r="D2754" s="9" t="s">
        <v>77</v>
      </c>
      <c r="E2754" s="38">
        <v>3695</v>
      </c>
      <c r="F2754" s="39">
        <v>1514421.84</v>
      </c>
      <c r="G2754" s="40">
        <v>409.85706089309872</v>
      </c>
      <c r="H2754" s="41">
        <v>0.5546972738984699</v>
      </c>
      <c r="I2754" s="40">
        <v>40.985706089309872</v>
      </c>
      <c r="J2754" s="41">
        <v>9.9999999999999992E-2</v>
      </c>
      <c r="K2754" s="9" t="s">
        <v>3882</v>
      </c>
    </row>
    <row r="2755" spans="1:11" x14ac:dyDescent="0.2">
      <c r="A2755" s="9" t="s">
        <v>27</v>
      </c>
      <c r="B2755" s="9" t="s">
        <v>3883</v>
      </c>
      <c r="C2755" s="9"/>
      <c r="D2755" s="9" t="s">
        <v>79</v>
      </c>
      <c r="E2755" s="38">
        <v>567</v>
      </c>
      <c r="F2755" s="39">
        <v>0</v>
      </c>
      <c r="G2755" s="40"/>
      <c r="H2755" s="41"/>
      <c r="I2755" s="40">
        <v>93.474427513227511</v>
      </c>
      <c r="J2755" s="41"/>
      <c r="K2755" s="9" t="s">
        <v>3884</v>
      </c>
    </row>
    <row r="2756" spans="1:11" x14ac:dyDescent="0.2">
      <c r="A2756" s="9" t="s">
        <v>27</v>
      </c>
      <c r="B2756" s="9" t="s">
        <v>456</v>
      </c>
      <c r="C2756" s="9"/>
      <c r="D2756" s="9" t="s">
        <v>76</v>
      </c>
      <c r="E2756" s="38">
        <v>1429</v>
      </c>
      <c r="F2756" s="39">
        <v>606973.87000000011</v>
      </c>
      <c r="G2756" s="40">
        <v>424.75428271518552</v>
      </c>
      <c r="H2756" s="41">
        <v>0.4736979632634819</v>
      </c>
      <c r="I2756" s="40">
        <v>45.427200839748068</v>
      </c>
      <c r="J2756" s="41">
        <v>0.10694936505256809</v>
      </c>
      <c r="K2756" s="9" t="s">
        <v>3885</v>
      </c>
    </row>
    <row r="2757" spans="1:11" x14ac:dyDescent="0.2">
      <c r="A2757" s="9" t="s">
        <v>27</v>
      </c>
      <c r="B2757" s="9" t="s">
        <v>245</v>
      </c>
      <c r="C2757" s="9"/>
      <c r="D2757" s="9" t="s">
        <v>79</v>
      </c>
      <c r="E2757" s="38">
        <v>2382</v>
      </c>
      <c r="F2757" s="39">
        <v>829292.62000000011</v>
      </c>
      <c r="G2757" s="40">
        <v>348.14971452560877</v>
      </c>
      <c r="H2757" s="41">
        <v>0.40743664792486112</v>
      </c>
      <c r="I2757" s="40">
        <v>55.919403022670032</v>
      </c>
      <c r="J2757" s="41">
        <v>0.16061883922227599</v>
      </c>
      <c r="K2757" s="9" t="s">
        <v>3886</v>
      </c>
    </row>
    <row r="2758" spans="1:11" x14ac:dyDescent="0.2">
      <c r="A2758" s="9" t="s">
        <v>27</v>
      </c>
      <c r="B2758" s="9" t="s">
        <v>3887</v>
      </c>
      <c r="C2758" s="9"/>
      <c r="D2758" s="9" t="s">
        <v>79</v>
      </c>
      <c r="E2758" s="38">
        <v>1370</v>
      </c>
      <c r="F2758" s="39">
        <v>206835.1</v>
      </c>
      <c r="G2758" s="40">
        <v>150.9745255474453</v>
      </c>
      <c r="H2758" s="41">
        <v>0.8668900635641934</v>
      </c>
      <c r="I2758" s="40">
        <v>36.034500437956197</v>
      </c>
      <c r="J2758" s="41">
        <v>0.23867934214260539</v>
      </c>
      <c r="K2758" s="9" t="s">
        <v>3888</v>
      </c>
    </row>
    <row r="2759" spans="1:11" x14ac:dyDescent="0.2">
      <c r="A2759" s="9" t="s">
        <v>27</v>
      </c>
      <c r="B2759" s="9" t="s">
        <v>3889</v>
      </c>
      <c r="C2759" s="9"/>
      <c r="D2759" s="9" t="s">
        <v>85</v>
      </c>
      <c r="E2759" s="38">
        <v>11009</v>
      </c>
      <c r="F2759" s="39">
        <v>0</v>
      </c>
      <c r="G2759" s="40"/>
      <c r="H2759" s="41"/>
      <c r="I2759" s="40">
        <v>18.997367644654371</v>
      </c>
      <c r="J2759" s="41"/>
      <c r="K2759" s="9" t="s">
        <v>3890</v>
      </c>
    </row>
    <row r="2760" spans="1:11" x14ac:dyDescent="0.2">
      <c r="A2760" s="9" t="s">
        <v>27</v>
      </c>
      <c r="B2760" s="9" t="s">
        <v>3891</v>
      </c>
      <c r="C2760" s="9"/>
      <c r="D2760" s="9" t="s">
        <v>85</v>
      </c>
      <c r="E2760" s="38">
        <v>24092</v>
      </c>
      <c r="F2760" s="39">
        <v>0</v>
      </c>
      <c r="G2760" s="40"/>
      <c r="H2760" s="41"/>
      <c r="I2760" s="40">
        <v>12.93479163207704</v>
      </c>
      <c r="J2760" s="41"/>
      <c r="K2760" s="9" t="s">
        <v>3892</v>
      </c>
    </row>
    <row r="2761" spans="1:11" x14ac:dyDescent="0.2">
      <c r="A2761" s="9" t="s">
        <v>27</v>
      </c>
      <c r="B2761" s="9" t="s">
        <v>256</v>
      </c>
      <c r="C2761" s="9"/>
      <c r="D2761" s="9" t="s">
        <v>76</v>
      </c>
      <c r="E2761" s="38">
        <v>2792</v>
      </c>
      <c r="F2761" s="39">
        <v>834568.21</v>
      </c>
      <c r="G2761" s="40">
        <v>298.91411532951292</v>
      </c>
      <c r="H2761" s="41">
        <v>0.41631755935478448</v>
      </c>
      <c r="I2761" s="40">
        <v>35.869693839541547</v>
      </c>
      <c r="J2761" s="41">
        <v>0.12</v>
      </c>
      <c r="K2761" s="9" t="s">
        <v>3893</v>
      </c>
    </row>
    <row r="2762" spans="1:11" x14ac:dyDescent="0.2">
      <c r="A2762" s="9" t="s">
        <v>27</v>
      </c>
      <c r="B2762" s="9" t="s">
        <v>3894</v>
      </c>
      <c r="C2762" s="9"/>
      <c r="D2762" s="9" t="s">
        <v>81</v>
      </c>
      <c r="E2762" s="38">
        <v>1</v>
      </c>
      <c r="F2762" s="39">
        <v>0</v>
      </c>
      <c r="G2762" s="40"/>
      <c r="H2762" s="41"/>
      <c r="I2762" s="40">
        <v>28021.504799999999</v>
      </c>
      <c r="J2762" s="41"/>
      <c r="K2762" s="9" t="s">
        <v>3895</v>
      </c>
    </row>
    <row r="2763" spans="1:11" x14ac:dyDescent="0.2">
      <c r="A2763" s="9" t="s">
        <v>27</v>
      </c>
      <c r="B2763" s="9" t="s">
        <v>473</v>
      </c>
      <c r="C2763" s="9"/>
      <c r="D2763" s="9" t="s">
        <v>86</v>
      </c>
      <c r="E2763" s="38">
        <v>100332</v>
      </c>
      <c r="F2763" s="39">
        <v>0</v>
      </c>
      <c r="G2763" s="40"/>
      <c r="H2763" s="41"/>
      <c r="I2763" s="40">
        <v>0.35</v>
      </c>
      <c r="J2763" s="41"/>
      <c r="K2763" s="9" t="s">
        <v>3896</v>
      </c>
    </row>
    <row r="2764" spans="1:11" x14ac:dyDescent="0.2">
      <c r="A2764" s="9" t="s">
        <v>27</v>
      </c>
      <c r="B2764" s="9" t="s">
        <v>479</v>
      </c>
      <c r="C2764" s="9"/>
      <c r="D2764" s="9" t="s">
        <v>77</v>
      </c>
      <c r="E2764" s="38">
        <v>7104</v>
      </c>
      <c r="F2764" s="39">
        <v>2828647.55</v>
      </c>
      <c r="G2764" s="40">
        <v>398.17673845720719</v>
      </c>
      <c r="H2764" s="41">
        <v>-0.56677261433845394</v>
      </c>
      <c r="I2764" s="40">
        <v>37.542301520270271</v>
      </c>
      <c r="J2764" s="41">
        <v>9.4285521715139112E-2</v>
      </c>
      <c r="K2764" s="9" t="s">
        <v>3897</v>
      </c>
    </row>
    <row r="2765" spans="1:11" x14ac:dyDescent="0.2">
      <c r="A2765" s="9" t="s">
        <v>27</v>
      </c>
      <c r="B2765" s="9" t="s">
        <v>3898</v>
      </c>
      <c r="C2765" s="9"/>
      <c r="D2765" s="9" t="s">
        <v>81</v>
      </c>
      <c r="E2765" s="38">
        <v>7040</v>
      </c>
      <c r="F2765" s="39">
        <v>0</v>
      </c>
      <c r="G2765" s="40"/>
      <c r="H2765" s="41"/>
      <c r="I2765" s="40">
        <v>20.789607102272729</v>
      </c>
      <c r="J2765" s="41"/>
      <c r="K2765" s="9" t="s">
        <v>3899</v>
      </c>
    </row>
    <row r="2766" spans="1:11" x14ac:dyDescent="0.2">
      <c r="A2766" s="9" t="s">
        <v>27</v>
      </c>
      <c r="B2766" s="9" t="s">
        <v>267</v>
      </c>
      <c r="C2766" s="9"/>
      <c r="D2766" s="9" t="s">
        <v>77</v>
      </c>
      <c r="E2766" s="38">
        <v>1803</v>
      </c>
      <c r="F2766" s="39">
        <v>1145154.99</v>
      </c>
      <c r="G2766" s="40">
        <v>635.13865224625636</v>
      </c>
      <c r="H2766" s="41">
        <v>0.41183053126571428</v>
      </c>
      <c r="I2766" s="40">
        <v>101.2373051580699</v>
      </c>
      <c r="J2766" s="41">
        <v>0.15939402333652669</v>
      </c>
      <c r="K2766" s="9" t="s">
        <v>3900</v>
      </c>
    </row>
    <row r="2767" spans="1:11" x14ac:dyDescent="0.2">
      <c r="A2767" s="9" t="s">
        <v>27</v>
      </c>
      <c r="B2767" s="9" t="s">
        <v>271</v>
      </c>
      <c r="C2767" s="9"/>
      <c r="D2767" s="9" t="s">
        <v>78</v>
      </c>
      <c r="E2767" s="38">
        <v>1193</v>
      </c>
      <c r="F2767" s="39">
        <v>2169925.79</v>
      </c>
      <c r="G2767" s="40">
        <v>1818.8816345347859</v>
      </c>
      <c r="H2767" s="41">
        <v>0.3326389881730083</v>
      </c>
      <c r="I2767" s="40">
        <v>210.5658678960603</v>
      </c>
      <c r="J2767" s="41">
        <v>0.1157666688684317</v>
      </c>
      <c r="K2767" s="9" t="s">
        <v>3901</v>
      </c>
    </row>
    <row r="2768" spans="1:11" x14ac:dyDescent="0.2">
      <c r="A2768" s="9" t="s">
        <v>27</v>
      </c>
      <c r="B2768" s="9" t="s">
        <v>277</v>
      </c>
      <c r="C2768" s="9"/>
      <c r="D2768" s="9" t="s">
        <v>76</v>
      </c>
      <c r="E2768" s="38">
        <v>697</v>
      </c>
      <c r="F2768" s="39">
        <v>710577.16</v>
      </c>
      <c r="G2768" s="40">
        <v>1019.479426111908</v>
      </c>
      <c r="H2768" s="41">
        <v>0.22845327730144641</v>
      </c>
      <c r="I2768" s="40">
        <v>122.3375741750359</v>
      </c>
      <c r="J2768" s="41">
        <v>0.1200000422192011</v>
      </c>
      <c r="K2768" s="9" t="s">
        <v>3902</v>
      </c>
    </row>
    <row r="2769" spans="1:11" x14ac:dyDescent="0.2">
      <c r="A2769" s="9" t="s">
        <v>27</v>
      </c>
      <c r="B2769" s="9" t="s">
        <v>277</v>
      </c>
      <c r="C2769" s="9"/>
      <c r="D2769" s="9" t="s">
        <v>76</v>
      </c>
      <c r="E2769" s="38">
        <v>2521</v>
      </c>
      <c r="F2769" s="39">
        <v>0</v>
      </c>
      <c r="G2769" s="40"/>
      <c r="H2769" s="41"/>
      <c r="I2769" s="40">
        <v>30.94</v>
      </c>
      <c r="J2769" s="41"/>
      <c r="K2769" s="9" t="s">
        <v>3902</v>
      </c>
    </row>
    <row r="2770" spans="1:11" x14ac:dyDescent="0.2">
      <c r="A2770" s="9" t="s">
        <v>27</v>
      </c>
      <c r="B2770" s="9" t="s">
        <v>295</v>
      </c>
      <c r="C2770" s="9"/>
      <c r="D2770" s="9" t="s">
        <v>76</v>
      </c>
      <c r="E2770" s="38">
        <v>5275</v>
      </c>
      <c r="F2770" s="39">
        <v>930494.80999999994</v>
      </c>
      <c r="G2770" s="40">
        <v>176.39712037914691</v>
      </c>
      <c r="H2770" s="41">
        <v>0.42749422251478392</v>
      </c>
      <c r="I2770" s="40">
        <v>21.570951582938381</v>
      </c>
      <c r="J2770" s="41">
        <v>0.1222863022739482</v>
      </c>
      <c r="K2770" s="9" t="s">
        <v>3903</v>
      </c>
    </row>
    <row r="2771" spans="1:11" x14ac:dyDescent="0.2">
      <c r="A2771" s="9" t="s">
        <v>27</v>
      </c>
      <c r="B2771" s="9" t="s">
        <v>2698</v>
      </c>
      <c r="C2771" s="9"/>
      <c r="D2771" s="9" t="s">
        <v>81</v>
      </c>
      <c r="E2771" s="38">
        <v>1</v>
      </c>
      <c r="F2771" s="39">
        <v>0</v>
      </c>
      <c r="G2771" s="40"/>
      <c r="H2771" s="41"/>
      <c r="I2771" s="40">
        <v>3454.8108000000002</v>
      </c>
      <c r="J2771" s="41"/>
      <c r="K2771" s="9" t="s">
        <v>3904</v>
      </c>
    </row>
    <row r="2772" spans="1:11" x14ac:dyDescent="0.2">
      <c r="A2772" s="9" t="s">
        <v>27</v>
      </c>
      <c r="B2772" s="9" t="s">
        <v>1396</v>
      </c>
      <c r="C2772" s="9"/>
      <c r="D2772" s="9" t="s">
        <v>76</v>
      </c>
      <c r="E2772" s="38">
        <v>5201</v>
      </c>
      <c r="F2772" s="39">
        <v>1284210.97</v>
      </c>
      <c r="G2772" s="40">
        <v>246.91616419919251</v>
      </c>
      <c r="H2772" s="41">
        <v>0.65787524340526449</v>
      </c>
      <c r="I2772" s="40">
        <v>20.84219388579119</v>
      </c>
      <c r="J2772" s="41">
        <v>8.4410001886216557E-2</v>
      </c>
      <c r="K2772" s="9" t="s">
        <v>3905</v>
      </c>
    </row>
    <row r="2773" spans="1:11" x14ac:dyDescent="0.2">
      <c r="A2773" s="9" t="s">
        <v>27</v>
      </c>
      <c r="B2773" s="9" t="s">
        <v>301</v>
      </c>
      <c r="C2773" s="9"/>
      <c r="D2773" s="9" t="s">
        <v>82</v>
      </c>
      <c r="E2773" s="38">
        <v>2850</v>
      </c>
      <c r="F2773" s="39">
        <v>456039.79</v>
      </c>
      <c r="G2773" s="40">
        <v>160.0139614035088</v>
      </c>
      <c r="H2773" s="41"/>
      <c r="I2773" s="40">
        <v>28.07017557894736</v>
      </c>
      <c r="J2773" s="41">
        <v>0.17542329014755489</v>
      </c>
      <c r="K2773" s="9" t="s">
        <v>3906</v>
      </c>
    </row>
    <row r="2774" spans="1:11" x14ac:dyDescent="0.2">
      <c r="A2774" s="9" t="s">
        <v>27</v>
      </c>
      <c r="B2774" s="9" t="s">
        <v>3907</v>
      </c>
      <c r="C2774" s="9"/>
      <c r="D2774" s="9" t="s">
        <v>79</v>
      </c>
      <c r="E2774" s="38">
        <v>862</v>
      </c>
      <c r="F2774" s="39">
        <v>0</v>
      </c>
      <c r="G2774" s="40"/>
      <c r="H2774" s="41">
        <v>0.71243217740033027</v>
      </c>
      <c r="I2774" s="40">
        <v>76.605846403712292</v>
      </c>
      <c r="J2774" s="41"/>
      <c r="K2774" s="9" t="s">
        <v>3908</v>
      </c>
    </row>
    <row r="2775" spans="1:11" x14ac:dyDescent="0.2">
      <c r="A2775" s="9" t="s">
        <v>27</v>
      </c>
      <c r="B2775" s="9" t="s">
        <v>2400</v>
      </c>
      <c r="C2775" s="9"/>
      <c r="D2775" s="9" t="s">
        <v>81</v>
      </c>
      <c r="E2775" s="38">
        <v>1</v>
      </c>
      <c r="F2775" s="39">
        <v>0</v>
      </c>
      <c r="G2775" s="40"/>
      <c r="H2775" s="41"/>
      <c r="I2775" s="40">
        <v>44229.910799999998</v>
      </c>
      <c r="J2775" s="41"/>
      <c r="K2775" s="9" t="s">
        <v>3909</v>
      </c>
    </row>
    <row r="2776" spans="1:11" x14ac:dyDescent="0.2">
      <c r="A2776" s="9" t="s">
        <v>27</v>
      </c>
      <c r="B2776" s="9" t="s">
        <v>2402</v>
      </c>
      <c r="C2776" s="9"/>
      <c r="D2776" s="9" t="s">
        <v>81</v>
      </c>
      <c r="E2776" s="38">
        <v>1</v>
      </c>
      <c r="F2776" s="39">
        <v>0</v>
      </c>
      <c r="G2776" s="40"/>
      <c r="H2776" s="41"/>
      <c r="I2776" s="40">
        <v>2415.84</v>
      </c>
      <c r="J2776" s="41"/>
      <c r="K2776" s="9" t="s">
        <v>3910</v>
      </c>
    </row>
    <row r="2777" spans="1:11" x14ac:dyDescent="0.2">
      <c r="A2777" s="9" t="s">
        <v>27</v>
      </c>
      <c r="B2777" s="9" t="s">
        <v>317</v>
      </c>
      <c r="C2777" s="9"/>
      <c r="D2777" s="9" t="s">
        <v>76</v>
      </c>
      <c r="E2777" s="38">
        <v>4000</v>
      </c>
      <c r="F2777" s="39">
        <v>1665500.58</v>
      </c>
      <c r="G2777" s="40">
        <v>416.37514499999997</v>
      </c>
      <c r="H2777" s="41">
        <v>0.7910035598423002</v>
      </c>
      <c r="I2777" s="40">
        <v>31.13</v>
      </c>
      <c r="J2777" s="41">
        <v>7.4764308998319304E-2</v>
      </c>
      <c r="K2777" s="9" t="s">
        <v>3911</v>
      </c>
    </row>
    <row r="2778" spans="1:11" x14ac:dyDescent="0.2">
      <c r="A2778" s="9" t="s">
        <v>27</v>
      </c>
      <c r="B2778" s="9" t="s">
        <v>319</v>
      </c>
      <c r="C2778" s="9"/>
      <c r="D2778" s="9" t="s">
        <v>81</v>
      </c>
      <c r="E2778" s="38">
        <v>1</v>
      </c>
      <c r="F2778" s="39">
        <v>0</v>
      </c>
      <c r="G2778" s="40"/>
      <c r="H2778" s="41"/>
      <c r="I2778" s="40">
        <v>3182.7</v>
      </c>
      <c r="J2778" s="41"/>
      <c r="K2778" s="9" t="s">
        <v>3912</v>
      </c>
    </row>
    <row r="2779" spans="1:11" x14ac:dyDescent="0.2">
      <c r="A2779" s="9" t="s">
        <v>27</v>
      </c>
      <c r="B2779" s="9" t="s">
        <v>321</v>
      </c>
      <c r="C2779" s="9"/>
      <c r="D2779" s="9" t="s">
        <v>78</v>
      </c>
      <c r="E2779" s="38">
        <v>2163</v>
      </c>
      <c r="F2779" s="39">
        <v>0</v>
      </c>
      <c r="G2779" s="40"/>
      <c r="H2779" s="41"/>
      <c r="I2779" s="40">
        <v>46.389999999999993</v>
      </c>
      <c r="J2779" s="41"/>
      <c r="K2779" s="9" t="s">
        <v>3913</v>
      </c>
    </row>
    <row r="2780" spans="1:11" x14ac:dyDescent="0.2">
      <c r="A2780" s="9" t="s">
        <v>27</v>
      </c>
      <c r="B2780" s="9" t="s">
        <v>1523</v>
      </c>
      <c r="C2780" s="9"/>
      <c r="D2780" s="9" t="s">
        <v>81</v>
      </c>
      <c r="E2780" s="38">
        <v>1</v>
      </c>
      <c r="F2780" s="39">
        <v>0</v>
      </c>
      <c r="G2780" s="40"/>
      <c r="H2780" s="41"/>
      <c r="I2780" s="40">
        <v>2227.3031999999998</v>
      </c>
      <c r="J2780" s="41"/>
      <c r="K2780" s="9" t="s">
        <v>3914</v>
      </c>
    </row>
    <row r="2781" spans="1:11" x14ac:dyDescent="0.2">
      <c r="A2781" s="9" t="s">
        <v>27</v>
      </c>
      <c r="B2781" s="9" t="s">
        <v>3915</v>
      </c>
      <c r="C2781" s="9"/>
      <c r="D2781" s="9" t="s">
        <v>82</v>
      </c>
      <c r="E2781" s="38">
        <v>3084</v>
      </c>
      <c r="F2781" s="39">
        <v>118808.34</v>
      </c>
      <c r="G2781" s="40">
        <v>38.52410505836577</v>
      </c>
      <c r="H2781" s="41"/>
      <c r="I2781" s="40">
        <v>13.29442295719844</v>
      </c>
      <c r="J2781" s="41">
        <v>0.34509362221541001</v>
      </c>
      <c r="K2781" s="9" t="s">
        <v>3916</v>
      </c>
    </row>
    <row r="2782" spans="1:11" x14ac:dyDescent="0.2">
      <c r="A2782" s="9" t="s">
        <v>27</v>
      </c>
      <c r="B2782" s="9" t="s">
        <v>3917</v>
      </c>
      <c r="C2782" s="9"/>
      <c r="D2782" s="9" t="s">
        <v>78</v>
      </c>
      <c r="E2782" s="38">
        <v>1482</v>
      </c>
      <c r="F2782" s="39">
        <v>1165401</v>
      </c>
      <c r="G2782" s="40">
        <v>786.37044534412951</v>
      </c>
      <c r="H2782" s="41">
        <v>0.55746252048311451</v>
      </c>
      <c r="I2782" s="40">
        <v>55.045930701754394</v>
      </c>
      <c r="J2782" s="41">
        <v>6.9999999399348381E-2</v>
      </c>
      <c r="K2782" s="9" t="s">
        <v>3918</v>
      </c>
    </row>
    <row r="2783" spans="1:11" x14ac:dyDescent="0.2">
      <c r="A2783" s="9" t="s">
        <v>27</v>
      </c>
      <c r="B2783" s="9" t="s">
        <v>3919</v>
      </c>
      <c r="C2783" s="9"/>
      <c r="D2783" s="9" t="s">
        <v>84</v>
      </c>
      <c r="E2783" s="38">
        <v>1</v>
      </c>
      <c r="F2783" s="39">
        <v>0</v>
      </c>
      <c r="G2783" s="40"/>
      <c r="H2783" s="41"/>
      <c r="I2783" s="40">
        <v>3600</v>
      </c>
      <c r="J2783" s="41"/>
      <c r="K2783" s="9" t="s">
        <v>3920</v>
      </c>
    </row>
    <row r="2784" spans="1:11" x14ac:dyDescent="0.2">
      <c r="A2784" s="9" t="s">
        <v>27</v>
      </c>
      <c r="B2784" s="9" t="s">
        <v>1412</v>
      </c>
      <c r="C2784" s="9"/>
      <c r="D2784" s="9" t="s">
        <v>77</v>
      </c>
      <c r="E2784" s="38">
        <v>20727</v>
      </c>
      <c r="F2784" s="39">
        <v>3752893.8</v>
      </c>
      <c r="G2784" s="40">
        <v>181.0630481980026</v>
      </c>
      <c r="H2784" s="41">
        <v>0.52878066632729004</v>
      </c>
      <c r="I2784" s="40">
        <v>19.75729529599074</v>
      </c>
      <c r="J2784" s="41">
        <v>0.10911831813626061</v>
      </c>
      <c r="K2784" s="9" t="s">
        <v>3921</v>
      </c>
    </row>
    <row r="2785" spans="1:11" x14ac:dyDescent="0.2">
      <c r="A2785" s="9" t="s">
        <v>27</v>
      </c>
      <c r="B2785" s="9" t="s">
        <v>3922</v>
      </c>
      <c r="C2785" s="9"/>
      <c r="D2785" s="9" t="s">
        <v>76</v>
      </c>
      <c r="E2785" s="38">
        <v>1000</v>
      </c>
      <c r="F2785" s="39">
        <v>115994.05</v>
      </c>
      <c r="G2785" s="40">
        <v>115.99405</v>
      </c>
      <c r="H2785" s="41">
        <v>3.4029202587057328E-2</v>
      </c>
      <c r="I2785" s="40">
        <v>65.438245199999997</v>
      </c>
      <c r="J2785" s="41">
        <v>0.56415174054186401</v>
      </c>
      <c r="K2785" s="9" t="s">
        <v>3923</v>
      </c>
    </row>
    <row r="2786" spans="1:11" x14ac:dyDescent="0.2">
      <c r="A2786" s="9" t="s">
        <v>27</v>
      </c>
      <c r="B2786" s="9" t="s">
        <v>535</v>
      </c>
      <c r="C2786" s="9"/>
      <c r="D2786" s="9" t="s">
        <v>83</v>
      </c>
      <c r="E2786" s="38">
        <v>5043</v>
      </c>
      <c r="F2786" s="39">
        <v>0</v>
      </c>
      <c r="G2786" s="40"/>
      <c r="H2786" s="41"/>
      <c r="I2786" s="40">
        <v>19.847091969066032</v>
      </c>
      <c r="J2786" s="41"/>
      <c r="K2786" s="9" t="s">
        <v>3924</v>
      </c>
    </row>
    <row r="2787" spans="1:11" x14ac:dyDescent="0.2">
      <c r="A2787" s="9" t="s">
        <v>27</v>
      </c>
      <c r="B2787" s="9" t="s">
        <v>355</v>
      </c>
      <c r="C2787" s="9"/>
      <c r="D2787" s="9" t="s">
        <v>82</v>
      </c>
      <c r="E2787" s="38">
        <v>1810</v>
      </c>
      <c r="F2787" s="39">
        <v>1303532.96</v>
      </c>
      <c r="G2787" s="40">
        <v>720.18395580110496</v>
      </c>
      <c r="H2787" s="41">
        <v>0.51522338993380812</v>
      </c>
      <c r="I2787" s="40">
        <v>93.293582320441985</v>
      </c>
      <c r="J2787" s="41">
        <v>0.12954132283697681</v>
      </c>
      <c r="K2787" s="9" t="s">
        <v>3925</v>
      </c>
    </row>
    <row r="2788" spans="1:11" x14ac:dyDescent="0.2">
      <c r="A2788" s="9" t="s">
        <v>27</v>
      </c>
      <c r="B2788" s="9" t="s">
        <v>3926</v>
      </c>
      <c r="C2788" s="9"/>
      <c r="D2788" s="9" t="s">
        <v>80</v>
      </c>
      <c r="E2788" s="38">
        <v>1617</v>
      </c>
      <c r="F2788" s="39">
        <v>375204.31999999989</v>
      </c>
      <c r="G2788" s="40">
        <v>232.03730364873221</v>
      </c>
      <c r="H2788" s="41"/>
      <c r="I2788" s="40">
        <v>38.218923933209638</v>
      </c>
      <c r="J2788" s="41">
        <v>0.16471025706740261</v>
      </c>
      <c r="K2788" s="9" t="s">
        <v>3927</v>
      </c>
    </row>
    <row r="2789" spans="1:11" x14ac:dyDescent="0.2">
      <c r="A2789" s="9" t="s">
        <v>27</v>
      </c>
      <c r="B2789" s="9" t="s">
        <v>357</v>
      </c>
      <c r="C2789" s="9"/>
      <c r="D2789" s="9" t="s">
        <v>76</v>
      </c>
      <c r="E2789" s="38">
        <v>150</v>
      </c>
      <c r="F2789" s="39">
        <v>275855.01</v>
      </c>
      <c r="G2789" s="40">
        <v>1839.0334</v>
      </c>
      <c r="H2789" s="41">
        <v>0.22697511149489641</v>
      </c>
      <c r="I2789" s="40">
        <v>300</v>
      </c>
      <c r="J2789" s="41">
        <v>0.1631291742716581</v>
      </c>
      <c r="K2789" s="9" t="s">
        <v>3928</v>
      </c>
    </row>
    <row r="2790" spans="1:11" x14ac:dyDescent="0.2">
      <c r="A2790" s="9" t="s">
        <v>27</v>
      </c>
      <c r="B2790" s="9" t="s">
        <v>733</v>
      </c>
      <c r="C2790" s="9"/>
      <c r="D2790" s="9" t="s">
        <v>80</v>
      </c>
      <c r="E2790" s="38">
        <v>1</v>
      </c>
      <c r="F2790" s="39">
        <v>0</v>
      </c>
      <c r="G2790" s="40"/>
      <c r="H2790" s="41"/>
      <c r="I2790" s="40">
        <v>1845.078</v>
      </c>
      <c r="J2790" s="41"/>
      <c r="K2790" s="9" t="s">
        <v>3929</v>
      </c>
    </row>
    <row r="2791" spans="1:11" x14ac:dyDescent="0.2">
      <c r="A2791" s="9" t="s">
        <v>27</v>
      </c>
      <c r="B2791" s="9" t="s">
        <v>830</v>
      </c>
      <c r="C2791" s="9"/>
      <c r="D2791" s="9" t="s">
        <v>86</v>
      </c>
      <c r="E2791" s="38">
        <v>116950</v>
      </c>
      <c r="F2791" s="39">
        <v>0</v>
      </c>
      <c r="G2791" s="40"/>
      <c r="H2791" s="41"/>
      <c r="I2791" s="40">
        <v>0.31808465156049592</v>
      </c>
      <c r="J2791" s="41"/>
      <c r="K2791" s="9" t="s">
        <v>3930</v>
      </c>
    </row>
    <row r="2792" spans="1:11" x14ac:dyDescent="0.2">
      <c r="A2792" s="9" t="s">
        <v>27</v>
      </c>
      <c r="B2792" s="9" t="s">
        <v>3824</v>
      </c>
      <c r="C2792" s="9"/>
      <c r="D2792" s="9" t="s">
        <v>84</v>
      </c>
      <c r="E2792" s="38">
        <v>1</v>
      </c>
      <c r="F2792" s="39">
        <v>0</v>
      </c>
      <c r="G2792" s="40"/>
      <c r="H2792" s="41"/>
      <c r="I2792" s="40">
        <v>10433.4</v>
      </c>
      <c r="J2792" s="41"/>
      <c r="K2792" s="9" t="s">
        <v>3931</v>
      </c>
    </row>
    <row r="2793" spans="1:11" x14ac:dyDescent="0.2">
      <c r="A2793" s="9" t="s">
        <v>27</v>
      </c>
      <c r="B2793" s="9" t="s">
        <v>550</v>
      </c>
      <c r="C2793" s="9"/>
      <c r="D2793" s="9" t="s">
        <v>76</v>
      </c>
      <c r="E2793" s="38">
        <v>4496</v>
      </c>
      <c r="F2793" s="39">
        <v>562654.6</v>
      </c>
      <c r="G2793" s="40">
        <v>125.1455960854093</v>
      </c>
      <c r="H2793" s="41">
        <v>0.38038212390799442</v>
      </c>
      <c r="I2793" s="40">
        <v>6.0463616548042696</v>
      </c>
      <c r="J2793" s="41">
        <v>4.831461788457786E-2</v>
      </c>
      <c r="K2793" s="9" t="s">
        <v>3932</v>
      </c>
    </row>
    <row r="2794" spans="1:11" x14ac:dyDescent="0.2">
      <c r="A2794" s="9" t="s">
        <v>27</v>
      </c>
      <c r="B2794" s="9" t="s">
        <v>371</v>
      </c>
      <c r="C2794" s="9"/>
      <c r="D2794" s="9" t="s">
        <v>76</v>
      </c>
      <c r="E2794" s="38">
        <v>3432</v>
      </c>
      <c r="F2794" s="39">
        <v>445301.6</v>
      </c>
      <c r="G2794" s="40">
        <v>129.74988344988341</v>
      </c>
      <c r="H2794" s="41">
        <v>0.80867292448002492</v>
      </c>
      <c r="I2794" s="40">
        <v>21.85314685314685</v>
      </c>
      <c r="J2794" s="41">
        <v>0.1684251752070956</v>
      </c>
      <c r="K2794" s="9" t="s">
        <v>3933</v>
      </c>
    </row>
    <row r="2795" spans="1:11" x14ac:dyDescent="0.2">
      <c r="A2795" s="9" t="s">
        <v>27</v>
      </c>
      <c r="B2795" s="9" t="s">
        <v>1050</v>
      </c>
      <c r="C2795" s="9"/>
      <c r="D2795" s="9" t="s">
        <v>77</v>
      </c>
      <c r="E2795" s="38">
        <v>2995</v>
      </c>
      <c r="F2795" s="39">
        <v>1694073</v>
      </c>
      <c r="G2795" s="40">
        <v>565.63372287145239</v>
      </c>
      <c r="H2795" s="41">
        <v>0.70830986122196471</v>
      </c>
      <c r="I2795" s="40">
        <v>54.928075392320537</v>
      </c>
      <c r="J2795" s="41">
        <v>9.7108911953617108E-2</v>
      </c>
      <c r="K2795" s="9" t="s">
        <v>3934</v>
      </c>
    </row>
    <row r="2796" spans="1:11" x14ac:dyDescent="0.2">
      <c r="A2796" s="9" t="s">
        <v>27</v>
      </c>
      <c r="B2796" s="9" t="s">
        <v>386</v>
      </c>
      <c r="C2796" s="9"/>
      <c r="D2796" s="9" t="s">
        <v>84</v>
      </c>
      <c r="E2796" s="38">
        <v>2751</v>
      </c>
      <c r="F2796" s="39">
        <v>119607.92</v>
      </c>
      <c r="G2796" s="40">
        <v>43.477978916757543</v>
      </c>
      <c r="H2796" s="41">
        <v>0.61559262808098136</v>
      </c>
      <c r="I2796" s="40">
        <v>46.319404143947658</v>
      </c>
      <c r="J2796" s="41">
        <v>1.0653532040353179E-2</v>
      </c>
      <c r="K2796" s="9" t="s">
        <v>3935</v>
      </c>
    </row>
    <row r="2797" spans="1:11" x14ac:dyDescent="0.2">
      <c r="A2797" s="9" t="s">
        <v>27</v>
      </c>
      <c r="B2797" s="9" t="s">
        <v>388</v>
      </c>
      <c r="C2797" s="9"/>
      <c r="D2797" s="9" t="s">
        <v>76</v>
      </c>
      <c r="E2797" s="38">
        <v>7303</v>
      </c>
      <c r="F2797" s="39">
        <v>3632751.57</v>
      </c>
      <c r="G2797" s="40">
        <v>497.43277694098322</v>
      </c>
      <c r="H2797" s="41">
        <v>0.60824922551818372</v>
      </c>
      <c r="I2797" s="40">
        <v>24.871638847049159</v>
      </c>
      <c r="J2797" s="41">
        <v>0.05</v>
      </c>
      <c r="K2797" s="9" t="s">
        <v>3936</v>
      </c>
    </row>
    <row r="2798" spans="1:11" x14ac:dyDescent="0.2">
      <c r="A2798" s="9" t="s">
        <v>27</v>
      </c>
      <c r="B2798" s="9" t="s">
        <v>390</v>
      </c>
      <c r="C2798" s="9"/>
      <c r="D2798" s="9" t="s">
        <v>83</v>
      </c>
      <c r="E2798" s="38">
        <v>3432</v>
      </c>
      <c r="F2798" s="39">
        <v>1825194</v>
      </c>
      <c r="G2798" s="40">
        <v>531.8164335664336</v>
      </c>
      <c r="H2798" s="41">
        <v>0.62444062307462733</v>
      </c>
      <c r="I2798" s="40">
        <v>84.699951048951036</v>
      </c>
      <c r="J2798" s="41">
        <v>0.15926538877511101</v>
      </c>
      <c r="K2798" s="9" t="s">
        <v>3937</v>
      </c>
    </row>
    <row r="2799" spans="1:11" x14ac:dyDescent="0.2">
      <c r="A2799" s="9" t="s">
        <v>27</v>
      </c>
      <c r="B2799" s="9" t="s">
        <v>3938</v>
      </c>
      <c r="C2799" s="9"/>
      <c r="D2799" s="9" t="s">
        <v>84</v>
      </c>
      <c r="E2799" s="38">
        <v>150</v>
      </c>
      <c r="F2799" s="39">
        <v>118355</v>
      </c>
      <c r="G2799" s="40">
        <v>789.0333333333333</v>
      </c>
      <c r="H2799" s="41"/>
      <c r="I2799" s="40">
        <v>366.66666400000003</v>
      </c>
      <c r="J2799" s="41">
        <v>0.46470364243166751</v>
      </c>
      <c r="K2799" s="9" t="s">
        <v>3939</v>
      </c>
    </row>
    <row r="2800" spans="1:11" x14ac:dyDescent="0.2">
      <c r="A2800" s="9" t="s">
        <v>27</v>
      </c>
      <c r="B2800" s="9" t="s">
        <v>1980</v>
      </c>
      <c r="C2800" s="9"/>
      <c r="D2800" s="9" t="s">
        <v>83</v>
      </c>
      <c r="E2800" s="38">
        <v>1</v>
      </c>
      <c r="F2800" s="39">
        <v>0</v>
      </c>
      <c r="G2800" s="40"/>
      <c r="H2800" s="41"/>
      <c r="I2800" s="40">
        <v>1200</v>
      </c>
      <c r="J2800" s="41"/>
      <c r="K2800" s="9" t="s">
        <v>3940</v>
      </c>
    </row>
    <row r="2801" spans="1:11" x14ac:dyDescent="0.2">
      <c r="A2801" s="9" t="s">
        <v>27</v>
      </c>
      <c r="B2801" s="9" t="s">
        <v>2088</v>
      </c>
      <c r="C2801" s="9"/>
      <c r="D2801" s="9" t="s">
        <v>81</v>
      </c>
      <c r="E2801" s="38">
        <v>1</v>
      </c>
      <c r="F2801" s="39">
        <v>0</v>
      </c>
      <c r="G2801" s="40"/>
      <c r="H2801" s="41"/>
      <c r="I2801" s="40">
        <v>5105.1264000000001</v>
      </c>
      <c r="J2801" s="41"/>
      <c r="K2801" s="9" t="s">
        <v>3941</v>
      </c>
    </row>
    <row r="2802" spans="1:11" x14ac:dyDescent="0.2">
      <c r="A2802" s="9" t="s">
        <v>27</v>
      </c>
      <c r="B2802" s="9" t="s">
        <v>392</v>
      </c>
      <c r="C2802" s="9"/>
      <c r="D2802" s="9" t="s">
        <v>76</v>
      </c>
      <c r="E2802" s="38">
        <v>4564</v>
      </c>
      <c r="F2802" s="39">
        <v>945011.04</v>
      </c>
      <c r="G2802" s="40">
        <v>207.05763365468891</v>
      </c>
      <c r="H2802" s="41">
        <v>2.580153411541701E-2</v>
      </c>
      <c r="I2802" s="40">
        <v>22.56792278702892</v>
      </c>
      <c r="J2802" s="41">
        <v>0.10899343525129609</v>
      </c>
      <c r="K2802" s="9" t="s">
        <v>3942</v>
      </c>
    </row>
    <row r="2803" spans="1:11" x14ac:dyDescent="0.2">
      <c r="A2803" s="9" t="s">
        <v>27</v>
      </c>
      <c r="B2803" s="9" t="s">
        <v>396</v>
      </c>
      <c r="C2803" s="9"/>
      <c r="D2803" s="9" t="s">
        <v>78</v>
      </c>
      <c r="E2803" s="38">
        <v>1393</v>
      </c>
      <c r="F2803" s="39">
        <v>1513098.23</v>
      </c>
      <c r="G2803" s="40">
        <v>1086.2155276381909</v>
      </c>
      <c r="H2803" s="41">
        <v>0.4911154415682753</v>
      </c>
      <c r="I2803" s="40">
        <v>146.88272821249109</v>
      </c>
      <c r="J2803" s="41">
        <v>0.13522429432754021</v>
      </c>
      <c r="K2803" s="9" t="s">
        <v>3943</v>
      </c>
    </row>
    <row r="2804" spans="1:11" x14ac:dyDescent="0.2">
      <c r="A2804" s="9" t="s">
        <v>27</v>
      </c>
      <c r="B2804" s="9" t="s">
        <v>398</v>
      </c>
      <c r="C2804" s="9"/>
      <c r="D2804" s="9" t="s">
        <v>76</v>
      </c>
      <c r="E2804" s="38">
        <v>4079</v>
      </c>
      <c r="F2804" s="39">
        <v>1468489.42</v>
      </c>
      <c r="G2804" s="40">
        <v>360.01211571463591</v>
      </c>
      <c r="H2804" s="41">
        <v>0.67295779815189427</v>
      </c>
      <c r="I2804" s="40">
        <v>43.451466339789157</v>
      </c>
      <c r="J2804" s="41">
        <v>0.1206944556672393</v>
      </c>
      <c r="K2804" s="9" t="s">
        <v>3944</v>
      </c>
    </row>
    <row r="2805" spans="1:11" x14ac:dyDescent="0.2">
      <c r="A2805" s="9" t="s">
        <v>36</v>
      </c>
      <c r="B2805" s="9" t="s">
        <v>650</v>
      </c>
      <c r="C2805" s="9"/>
      <c r="D2805" s="9" t="s">
        <v>76</v>
      </c>
      <c r="E2805" s="38">
        <v>8100</v>
      </c>
      <c r="F2805" s="39">
        <v>4674685.1399999997</v>
      </c>
      <c r="G2805" s="40">
        <v>577.12162222222219</v>
      </c>
      <c r="H2805" s="41">
        <v>0.34155856940653662</v>
      </c>
      <c r="I2805" s="40">
        <v>75.025810888888884</v>
      </c>
      <c r="J2805" s="41">
        <v>0.13</v>
      </c>
      <c r="K2805" s="9" t="s">
        <v>3945</v>
      </c>
    </row>
    <row r="2806" spans="1:11" x14ac:dyDescent="0.2">
      <c r="A2806" s="9" t="s">
        <v>36</v>
      </c>
      <c r="B2806" s="9" t="s">
        <v>3946</v>
      </c>
      <c r="C2806" s="9"/>
      <c r="D2806" s="9" t="s">
        <v>86</v>
      </c>
      <c r="E2806" s="38">
        <v>74407</v>
      </c>
      <c r="F2806" s="39">
        <v>0</v>
      </c>
      <c r="G2806" s="40"/>
      <c r="H2806" s="41"/>
      <c r="I2806" s="40">
        <v>11.797928689505021</v>
      </c>
      <c r="J2806" s="41"/>
      <c r="K2806" s="9" t="s">
        <v>3947</v>
      </c>
    </row>
    <row r="2807" spans="1:11" x14ac:dyDescent="0.2">
      <c r="A2807" s="9" t="s">
        <v>36</v>
      </c>
      <c r="B2807" s="9" t="s">
        <v>3948</v>
      </c>
      <c r="C2807" s="9"/>
      <c r="D2807" s="9" t="s">
        <v>81</v>
      </c>
      <c r="E2807" s="38">
        <v>719</v>
      </c>
      <c r="F2807" s="39">
        <v>645289.08000000007</v>
      </c>
      <c r="G2807" s="40">
        <v>897.48133518776092</v>
      </c>
      <c r="H2807" s="41">
        <v>0.29955204856891748</v>
      </c>
      <c r="I2807" s="40">
        <v>110.9111710709319</v>
      </c>
      <c r="J2807" s="41">
        <v>0.12358047652069359</v>
      </c>
      <c r="K2807" s="9" t="s">
        <v>3949</v>
      </c>
    </row>
    <row r="2808" spans="1:11" x14ac:dyDescent="0.2">
      <c r="A2808" s="9" t="s">
        <v>36</v>
      </c>
      <c r="B2808" s="9" t="s">
        <v>164</v>
      </c>
      <c r="C2808" s="9"/>
      <c r="D2808" s="9" t="s">
        <v>76</v>
      </c>
      <c r="E2808" s="38">
        <v>2614</v>
      </c>
      <c r="F2808" s="39">
        <v>2247764.17</v>
      </c>
      <c r="G2808" s="40">
        <v>859.89447972456003</v>
      </c>
      <c r="H2808" s="41">
        <v>0.2376891182188946</v>
      </c>
      <c r="I2808" s="40">
        <v>80.651995332823262</v>
      </c>
      <c r="J2808" s="41">
        <v>9.3792898122404017E-2</v>
      </c>
      <c r="K2808" s="9" t="s">
        <v>3950</v>
      </c>
    </row>
    <row r="2809" spans="1:11" x14ac:dyDescent="0.2">
      <c r="A2809" s="9" t="s">
        <v>36</v>
      </c>
      <c r="B2809" s="9" t="s">
        <v>166</v>
      </c>
      <c r="C2809" s="9"/>
      <c r="D2809" s="9" t="s">
        <v>76</v>
      </c>
      <c r="E2809" s="38">
        <v>3355</v>
      </c>
      <c r="F2809" s="39">
        <v>2184455.4700000002</v>
      </c>
      <c r="G2809" s="40">
        <v>651.10446199701948</v>
      </c>
      <c r="H2809" s="41">
        <v>0.1156527169530243</v>
      </c>
      <c r="I2809" s="40">
        <v>79.768166080476917</v>
      </c>
      <c r="J2809" s="41">
        <v>0.1225120863644797</v>
      </c>
      <c r="K2809" s="9" t="s">
        <v>3951</v>
      </c>
    </row>
    <row r="2810" spans="1:11" x14ac:dyDescent="0.2">
      <c r="A2810" s="9" t="s">
        <v>36</v>
      </c>
      <c r="B2810" s="9" t="s">
        <v>168</v>
      </c>
      <c r="C2810" s="9"/>
      <c r="D2810" s="9" t="s">
        <v>77</v>
      </c>
      <c r="E2810" s="38">
        <v>1700</v>
      </c>
      <c r="F2810" s="39">
        <v>595495.61</v>
      </c>
      <c r="G2810" s="40">
        <v>350.29153529411758</v>
      </c>
      <c r="H2810" s="41">
        <v>-0.11412023579009629</v>
      </c>
      <c r="I2810" s="40">
        <v>44.117647058823529</v>
      </c>
      <c r="J2810" s="41">
        <v>0.1259455128476934</v>
      </c>
      <c r="K2810" s="9" t="s">
        <v>3952</v>
      </c>
    </row>
    <row r="2811" spans="1:11" x14ac:dyDescent="0.2">
      <c r="A2811" s="9" t="s">
        <v>36</v>
      </c>
      <c r="B2811" s="9" t="s">
        <v>981</v>
      </c>
      <c r="C2811" s="9"/>
      <c r="D2811" s="9" t="s">
        <v>76</v>
      </c>
      <c r="E2811" s="38">
        <v>6192</v>
      </c>
      <c r="F2811" s="39">
        <v>4009801.4700000011</v>
      </c>
      <c r="G2811" s="40">
        <v>647.57775678294581</v>
      </c>
      <c r="H2811" s="41">
        <v>0.13176612091627871</v>
      </c>
      <c r="I2811" s="40">
        <v>64.757775678294593</v>
      </c>
      <c r="J2811" s="41">
        <v>0.1</v>
      </c>
      <c r="K2811" s="9" t="s">
        <v>3953</v>
      </c>
    </row>
    <row r="2812" spans="1:11" x14ac:dyDescent="0.2">
      <c r="A2812" s="9" t="s">
        <v>36</v>
      </c>
      <c r="B2812" s="9" t="s">
        <v>169</v>
      </c>
      <c r="C2812" s="9"/>
      <c r="D2812" s="9" t="s">
        <v>76</v>
      </c>
      <c r="E2812" s="38">
        <v>6929</v>
      </c>
      <c r="F2812" s="39">
        <v>4045173.82</v>
      </c>
      <c r="G2812" s="40">
        <v>583.80340886130762</v>
      </c>
      <c r="H2812" s="41">
        <v>4.5213895976221108E-2</v>
      </c>
      <c r="I2812" s="40">
        <v>77.521197402222541</v>
      </c>
      <c r="J2812" s="41">
        <v>0.13278647610747171</v>
      </c>
      <c r="K2812" s="9" t="s">
        <v>3954</v>
      </c>
    </row>
    <row r="2813" spans="1:11" x14ac:dyDescent="0.2">
      <c r="A2813" s="9" t="s">
        <v>36</v>
      </c>
      <c r="B2813" s="9" t="s">
        <v>171</v>
      </c>
      <c r="C2813" s="9"/>
      <c r="D2813" s="9" t="s">
        <v>84</v>
      </c>
      <c r="E2813" s="38">
        <v>3500</v>
      </c>
      <c r="F2813" s="39">
        <v>0</v>
      </c>
      <c r="G2813" s="40"/>
      <c r="H2813" s="41"/>
      <c r="I2813" s="40">
        <v>52.184112342857141</v>
      </c>
      <c r="J2813" s="41"/>
      <c r="K2813" s="9" t="s">
        <v>3955</v>
      </c>
    </row>
    <row r="2814" spans="1:11" x14ac:dyDescent="0.2">
      <c r="A2814" s="9" t="s">
        <v>36</v>
      </c>
      <c r="B2814" s="9" t="s">
        <v>173</v>
      </c>
      <c r="C2814" s="9"/>
      <c r="D2814" s="9" t="s">
        <v>80</v>
      </c>
      <c r="E2814" s="38">
        <v>266</v>
      </c>
      <c r="F2814" s="39">
        <v>1066586.8500000001</v>
      </c>
      <c r="G2814" s="40">
        <v>4009.7249999999999</v>
      </c>
      <c r="H2814" s="41">
        <v>4.4290222795849488E-2</v>
      </c>
      <c r="I2814" s="40">
        <v>797.8017593984963</v>
      </c>
      <c r="J2814" s="41">
        <v>0.19896670205525219</v>
      </c>
      <c r="K2814" s="9" t="s">
        <v>3956</v>
      </c>
    </row>
    <row r="2815" spans="1:11" x14ac:dyDescent="0.2">
      <c r="A2815" s="9" t="s">
        <v>36</v>
      </c>
      <c r="B2815" s="9" t="s">
        <v>173</v>
      </c>
      <c r="C2815" s="9"/>
      <c r="D2815" s="9" t="s">
        <v>80</v>
      </c>
      <c r="E2815" s="38">
        <v>250</v>
      </c>
      <c r="F2815" s="39">
        <v>31816.92</v>
      </c>
      <c r="G2815" s="40">
        <v>127.26768</v>
      </c>
      <c r="H2815" s="41"/>
      <c r="I2815" s="40">
        <v>360</v>
      </c>
      <c r="J2815" s="41">
        <v>2.828683606081293E-2</v>
      </c>
      <c r="K2815" s="9" t="s">
        <v>3956</v>
      </c>
    </row>
    <row r="2816" spans="1:11" x14ac:dyDescent="0.2">
      <c r="A2816" s="9" t="s">
        <v>36</v>
      </c>
      <c r="B2816" s="9" t="s">
        <v>173</v>
      </c>
      <c r="C2816" s="9"/>
      <c r="D2816" s="9" t="s">
        <v>80</v>
      </c>
      <c r="E2816" s="38">
        <v>270</v>
      </c>
      <c r="F2816" s="39">
        <v>747248.42999999993</v>
      </c>
      <c r="G2816" s="40">
        <v>2767.586777777778</v>
      </c>
      <c r="H2816" s="41">
        <v>6.6128213779226966E-2</v>
      </c>
      <c r="I2816" s="40">
        <v>558.76860888888882</v>
      </c>
      <c r="J2816" s="41">
        <v>0.20189741235053521</v>
      </c>
      <c r="K2816" s="9" t="s">
        <v>3956</v>
      </c>
    </row>
    <row r="2817" spans="1:11" x14ac:dyDescent="0.2">
      <c r="A2817" s="9" t="s">
        <v>36</v>
      </c>
      <c r="B2817" s="9" t="s">
        <v>3957</v>
      </c>
      <c r="C2817" s="9"/>
      <c r="D2817" s="9" t="s">
        <v>76</v>
      </c>
      <c r="E2817" s="38">
        <v>7123</v>
      </c>
      <c r="F2817" s="39">
        <v>505801.34999999992</v>
      </c>
      <c r="G2817" s="40">
        <v>71.009595675979213</v>
      </c>
      <c r="H2817" s="41"/>
      <c r="I2817" s="40">
        <v>14.039028443071739</v>
      </c>
      <c r="J2817" s="41">
        <v>0.19770607492447381</v>
      </c>
      <c r="K2817" s="9" t="s">
        <v>3958</v>
      </c>
    </row>
    <row r="2818" spans="1:11" x14ac:dyDescent="0.2">
      <c r="A2818" s="9" t="s">
        <v>36</v>
      </c>
      <c r="B2818" s="9" t="s">
        <v>3959</v>
      </c>
      <c r="C2818" s="9"/>
      <c r="D2818" s="9" t="s">
        <v>76</v>
      </c>
      <c r="E2818" s="38">
        <v>3643</v>
      </c>
      <c r="F2818" s="39">
        <v>466866.17</v>
      </c>
      <c r="G2818" s="40">
        <v>128.1543151248971</v>
      </c>
      <c r="H2818" s="41">
        <v>-0.13852415365190379</v>
      </c>
      <c r="I2818" s="40">
        <v>12.81543151248971</v>
      </c>
      <c r="J2818" s="41">
        <v>0.1</v>
      </c>
      <c r="K2818" s="9" t="s">
        <v>3960</v>
      </c>
    </row>
    <row r="2819" spans="1:11" x14ac:dyDescent="0.2">
      <c r="A2819" s="9" t="s">
        <v>36</v>
      </c>
      <c r="B2819" s="9" t="s">
        <v>1443</v>
      </c>
      <c r="C2819" s="9"/>
      <c r="D2819" s="9" t="s">
        <v>78</v>
      </c>
      <c r="E2819" s="38">
        <v>140</v>
      </c>
      <c r="F2819" s="39">
        <v>556854.65999999992</v>
      </c>
      <c r="G2819" s="40">
        <v>3977.5332857142848</v>
      </c>
      <c r="H2819" s="41">
        <v>-0.3650793700597661</v>
      </c>
      <c r="I2819" s="40">
        <v>499.99999714285713</v>
      </c>
      <c r="J2819" s="41">
        <v>0.12570604976170979</v>
      </c>
      <c r="K2819" s="9" t="s">
        <v>3961</v>
      </c>
    </row>
    <row r="2820" spans="1:11" x14ac:dyDescent="0.2">
      <c r="A2820" s="9" t="s">
        <v>36</v>
      </c>
      <c r="B2820" s="9" t="s">
        <v>1443</v>
      </c>
      <c r="C2820" s="9"/>
      <c r="D2820" s="9" t="s">
        <v>78</v>
      </c>
      <c r="E2820" s="38">
        <v>216</v>
      </c>
      <c r="F2820" s="39">
        <v>810031.63</v>
      </c>
      <c r="G2820" s="40">
        <v>3750.1464351851851</v>
      </c>
      <c r="H2820" s="41">
        <v>8.2611015998022633E-2</v>
      </c>
      <c r="I2820" s="40">
        <v>309.2694925925926</v>
      </c>
      <c r="J2820" s="41">
        <v>8.2468644341703048E-2</v>
      </c>
      <c r="K2820" s="9" t="s">
        <v>3961</v>
      </c>
    </row>
    <row r="2821" spans="1:11" x14ac:dyDescent="0.2">
      <c r="A2821" s="9" t="s">
        <v>36</v>
      </c>
      <c r="B2821" s="9" t="s">
        <v>177</v>
      </c>
      <c r="C2821" s="9"/>
      <c r="D2821" s="9" t="s">
        <v>85</v>
      </c>
      <c r="E2821" s="38">
        <v>35398</v>
      </c>
      <c r="F2821" s="39">
        <v>0</v>
      </c>
      <c r="G2821" s="40"/>
      <c r="H2821" s="41">
        <v>4.2785341775237358E-2</v>
      </c>
      <c r="I2821" s="40">
        <v>16.950110175716141</v>
      </c>
      <c r="J2821" s="41"/>
      <c r="K2821" s="9" t="s">
        <v>3962</v>
      </c>
    </row>
    <row r="2822" spans="1:11" x14ac:dyDescent="0.2">
      <c r="A2822" s="9" t="s">
        <v>36</v>
      </c>
      <c r="B2822" s="9" t="s">
        <v>179</v>
      </c>
      <c r="C2822" s="9"/>
      <c r="D2822" s="9" t="s">
        <v>79</v>
      </c>
      <c r="E2822" s="38">
        <v>5678</v>
      </c>
      <c r="F2822" s="39">
        <v>3959142</v>
      </c>
      <c r="G2822" s="40">
        <v>697.27756252201482</v>
      </c>
      <c r="H2822" s="41">
        <v>-0.1012827592159101</v>
      </c>
      <c r="I2822" s="40">
        <v>80.815713138429032</v>
      </c>
      <c r="J2822" s="41">
        <v>0.115901783568258</v>
      </c>
      <c r="K2822" s="9" t="s">
        <v>3963</v>
      </c>
    </row>
    <row r="2823" spans="1:11" x14ac:dyDescent="0.2">
      <c r="A2823" s="9" t="s">
        <v>36</v>
      </c>
      <c r="B2823" s="9" t="s">
        <v>3209</v>
      </c>
      <c r="C2823" s="9"/>
      <c r="D2823" s="9" t="s">
        <v>81</v>
      </c>
      <c r="E2823" s="38">
        <v>2504</v>
      </c>
      <c r="F2823" s="39">
        <v>1692886.57</v>
      </c>
      <c r="G2823" s="40">
        <v>676.07291134185311</v>
      </c>
      <c r="H2823" s="41">
        <v>9.4451023432898781E-2</v>
      </c>
      <c r="I2823" s="40">
        <v>69.194932907348246</v>
      </c>
      <c r="J2823" s="41">
        <v>0.1023483292208999</v>
      </c>
      <c r="K2823" s="9" t="s">
        <v>3964</v>
      </c>
    </row>
    <row r="2824" spans="1:11" x14ac:dyDescent="0.2">
      <c r="A2824" s="9" t="s">
        <v>36</v>
      </c>
      <c r="B2824" s="9" t="s">
        <v>187</v>
      </c>
      <c r="C2824" s="9"/>
      <c r="D2824" s="9" t="s">
        <v>76</v>
      </c>
      <c r="E2824" s="38">
        <v>1860</v>
      </c>
      <c r="F2824" s="39">
        <v>1199677.1399999999</v>
      </c>
      <c r="G2824" s="40">
        <v>644.98770967741939</v>
      </c>
      <c r="H2824" s="41">
        <v>-4.5744158075462969E-2</v>
      </c>
      <c r="I2824" s="40">
        <v>66.948648548387112</v>
      </c>
      <c r="J2824" s="41">
        <v>0.1037983321912761</v>
      </c>
      <c r="K2824" s="9" t="s">
        <v>3965</v>
      </c>
    </row>
    <row r="2825" spans="1:11" x14ac:dyDescent="0.2">
      <c r="A2825" s="9" t="s">
        <v>36</v>
      </c>
      <c r="B2825" s="9" t="s">
        <v>422</v>
      </c>
      <c r="C2825" s="9"/>
      <c r="D2825" s="9" t="s">
        <v>83</v>
      </c>
      <c r="E2825" s="38">
        <v>594</v>
      </c>
      <c r="F2825" s="39">
        <v>270942</v>
      </c>
      <c r="G2825" s="40">
        <v>456.13131313131311</v>
      </c>
      <c r="H2825" s="41">
        <v>0.26040850100165491</v>
      </c>
      <c r="I2825" s="40">
        <v>206.36</v>
      </c>
      <c r="J2825" s="41">
        <v>0.45241357929003262</v>
      </c>
      <c r="K2825" s="9" t="s">
        <v>3966</v>
      </c>
    </row>
    <row r="2826" spans="1:11" x14ac:dyDescent="0.2">
      <c r="A2826" s="9" t="s">
        <v>36</v>
      </c>
      <c r="B2826" s="9" t="s">
        <v>191</v>
      </c>
      <c r="C2826" s="9"/>
      <c r="D2826" s="9" t="s">
        <v>76</v>
      </c>
      <c r="E2826" s="38">
        <v>6200</v>
      </c>
      <c r="F2826" s="39">
        <v>4079231.18</v>
      </c>
      <c r="G2826" s="40">
        <v>657.94051290322579</v>
      </c>
      <c r="H2826" s="41">
        <v>3.4500615736412638E-2</v>
      </c>
      <c r="I2826" s="40">
        <v>78.374313709677423</v>
      </c>
      <c r="J2826" s="41">
        <v>0.11912066846870881</v>
      </c>
      <c r="K2826" s="9" t="s">
        <v>3967</v>
      </c>
    </row>
    <row r="2827" spans="1:11" x14ac:dyDescent="0.2">
      <c r="A2827" s="9" t="s">
        <v>36</v>
      </c>
      <c r="B2827" s="9" t="s">
        <v>193</v>
      </c>
      <c r="C2827" s="9"/>
      <c r="D2827" s="9" t="s">
        <v>82</v>
      </c>
      <c r="E2827" s="38">
        <v>3025</v>
      </c>
      <c r="F2827" s="39">
        <v>1872481.46</v>
      </c>
      <c r="G2827" s="40">
        <v>619.00213553719004</v>
      </c>
      <c r="H2827" s="41">
        <v>7.2514205171519311E-2</v>
      </c>
      <c r="I2827" s="40">
        <v>103.4332903140496</v>
      </c>
      <c r="J2827" s="41">
        <v>0.16709682305746301</v>
      </c>
      <c r="K2827" s="9" t="s">
        <v>3968</v>
      </c>
    </row>
    <row r="2828" spans="1:11" x14ac:dyDescent="0.2">
      <c r="A2828" s="9" t="s">
        <v>36</v>
      </c>
      <c r="B2828" s="9" t="s">
        <v>3969</v>
      </c>
      <c r="C2828" s="9"/>
      <c r="D2828" s="9" t="s">
        <v>76</v>
      </c>
      <c r="E2828" s="38">
        <v>6635</v>
      </c>
      <c r="F2828" s="39">
        <v>830019</v>
      </c>
      <c r="G2828" s="40">
        <v>125.0970610399397</v>
      </c>
      <c r="H2828" s="41">
        <v>1.012830877586492E-2</v>
      </c>
      <c r="I2828" s="40">
        <v>15.01164732479277</v>
      </c>
      <c r="J2828" s="41">
        <v>0.12</v>
      </c>
      <c r="K2828" s="9" t="s">
        <v>3970</v>
      </c>
    </row>
    <row r="2829" spans="1:11" x14ac:dyDescent="0.2">
      <c r="A2829" s="9" t="s">
        <v>36</v>
      </c>
      <c r="B2829" s="9" t="s">
        <v>1215</v>
      </c>
      <c r="C2829" s="9"/>
      <c r="D2829" s="9" t="s">
        <v>81</v>
      </c>
      <c r="E2829" s="38">
        <v>2787</v>
      </c>
      <c r="F2829" s="39">
        <v>2755441.37</v>
      </c>
      <c r="G2829" s="40">
        <v>988.67648726228924</v>
      </c>
      <c r="H2829" s="41">
        <v>0.28365232517636679</v>
      </c>
      <c r="I2829" s="40">
        <v>70.051692142088271</v>
      </c>
      <c r="J2829" s="41">
        <v>7.0854008408823443E-2</v>
      </c>
      <c r="K2829" s="9" t="s">
        <v>3971</v>
      </c>
    </row>
    <row r="2830" spans="1:11" x14ac:dyDescent="0.2">
      <c r="A2830" s="9" t="s">
        <v>36</v>
      </c>
      <c r="B2830" s="9" t="s">
        <v>200</v>
      </c>
      <c r="C2830" s="9"/>
      <c r="D2830" s="9" t="s">
        <v>77</v>
      </c>
      <c r="E2830" s="38">
        <v>6536</v>
      </c>
      <c r="F2830" s="39">
        <v>3408980.96</v>
      </c>
      <c r="G2830" s="40">
        <v>521.56991432068548</v>
      </c>
      <c r="H2830" s="41">
        <v>-4.8083817866234307E-2</v>
      </c>
      <c r="I2830" s="40">
        <v>78.3620023255814</v>
      </c>
      <c r="J2830" s="41">
        <v>0.150242566095177</v>
      </c>
      <c r="K2830" s="9" t="s">
        <v>3972</v>
      </c>
    </row>
    <row r="2831" spans="1:11" x14ac:dyDescent="0.2">
      <c r="A2831" s="9" t="s">
        <v>36</v>
      </c>
      <c r="B2831" s="9" t="s">
        <v>202</v>
      </c>
      <c r="C2831" s="9"/>
      <c r="D2831" s="9" t="s">
        <v>81</v>
      </c>
      <c r="E2831" s="38">
        <v>719</v>
      </c>
      <c r="F2831" s="39">
        <v>690818.12</v>
      </c>
      <c r="G2831" s="40">
        <v>960.80406119610575</v>
      </c>
      <c r="H2831" s="41">
        <v>2.750512241922419E-2</v>
      </c>
      <c r="I2831" s="40">
        <v>187.41810180806681</v>
      </c>
      <c r="J2831" s="41">
        <v>0.19506381100715781</v>
      </c>
      <c r="K2831" s="9" t="s">
        <v>3973</v>
      </c>
    </row>
    <row r="2832" spans="1:11" x14ac:dyDescent="0.2">
      <c r="A2832" s="9" t="s">
        <v>36</v>
      </c>
      <c r="B2832" s="9" t="s">
        <v>877</v>
      </c>
      <c r="C2832" s="9"/>
      <c r="D2832" s="9" t="s">
        <v>76</v>
      </c>
      <c r="E2832" s="38">
        <v>6672</v>
      </c>
      <c r="F2832" s="39">
        <v>1617820.82</v>
      </c>
      <c r="G2832" s="40">
        <v>242.4791396882494</v>
      </c>
      <c r="H2832" s="41">
        <v>0.117004747161588</v>
      </c>
      <c r="I2832" s="40">
        <v>24.247913968824939</v>
      </c>
      <c r="J2832" s="41">
        <v>0.1</v>
      </c>
      <c r="K2832" s="9" t="s">
        <v>3974</v>
      </c>
    </row>
    <row r="2833" spans="1:11" x14ac:dyDescent="0.2">
      <c r="A2833" s="9" t="s">
        <v>36</v>
      </c>
      <c r="B2833" s="9" t="s">
        <v>3975</v>
      </c>
      <c r="C2833" s="9"/>
      <c r="D2833" s="9" t="s">
        <v>81</v>
      </c>
      <c r="E2833" s="38">
        <v>7918</v>
      </c>
      <c r="F2833" s="39">
        <v>3410621.96</v>
      </c>
      <c r="G2833" s="40">
        <v>430.74285930790597</v>
      </c>
      <c r="H2833" s="41">
        <v>7.1208341494438804E-2</v>
      </c>
      <c r="I2833" s="40">
        <v>29.225226319777718</v>
      </c>
      <c r="J2833" s="41">
        <v>6.7848429029642443E-2</v>
      </c>
      <c r="K2833" s="9" t="s">
        <v>3976</v>
      </c>
    </row>
    <row r="2834" spans="1:11" x14ac:dyDescent="0.2">
      <c r="A2834" s="9" t="s">
        <v>36</v>
      </c>
      <c r="B2834" s="9" t="s">
        <v>432</v>
      </c>
      <c r="C2834" s="9"/>
      <c r="D2834" s="9" t="s">
        <v>81</v>
      </c>
      <c r="E2834" s="38">
        <v>4500</v>
      </c>
      <c r="F2834" s="39">
        <v>0</v>
      </c>
      <c r="G2834" s="40"/>
      <c r="H2834" s="41"/>
      <c r="I2834" s="40">
        <v>29.107231200000001</v>
      </c>
      <c r="J2834" s="41"/>
      <c r="K2834" s="9" t="s">
        <v>3977</v>
      </c>
    </row>
    <row r="2835" spans="1:11" x14ac:dyDescent="0.2">
      <c r="A2835" s="9" t="s">
        <v>36</v>
      </c>
      <c r="B2835" s="9" t="s">
        <v>759</v>
      </c>
      <c r="C2835" s="9"/>
      <c r="D2835" s="9" t="s">
        <v>76</v>
      </c>
      <c r="E2835" s="38">
        <v>2138</v>
      </c>
      <c r="F2835" s="39">
        <v>348078.70000000013</v>
      </c>
      <c r="G2835" s="40">
        <v>162.80575304022449</v>
      </c>
      <c r="H2835" s="41">
        <v>4.1041094941263803E-2</v>
      </c>
      <c r="I2835" s="40">
        <v>13.024460243217961</v>
      </c>
      <c r="J2835" s="41">
        <v>0.08</v>
      </c>
      <c r="K2835" s="9" t="s">
        <v>3978</v>
      </c>
    </row>
    <row r="2836" spans="1:11" x14ac:dyDescent="0.2">
      <c r="A2836" s="9" t="s">
        <v>36</v>
      </c>
      <c r="B2836" s="9" t="s">
        <v>204</v>
      </c>
      <c r="C2836" s="9"/>
      <c r="D2836" s="9" t="s">
        <v>81</v>
      </c>
      <c r="E2836" s="38">
        <v>708</v>
      </c>
      <c r="F2836" s="39">
        <v>1694978.67</v>
      </c>
      <c r="G2836" s="40">
        <v>2394.0376694915249</v>
      </c>
      <c r="H2836" s="41">
        <v>7.2804911481542209E-2</v>
      </c>
      <c r="I2836" s="40">
        <v>157.03372076271191</v>
      </c>
      <c r="J2836" s="41">
        <v>6.5593671630097855E-2</v>
      </c>
      <c r="K2836" s="9" t="s">
        <v>3979</v>
      </c>
    </row>
    <row r="2837" spans="1:11" x14ac:dyDescent="0.2">
      <c r="A2837" s="9" t="s">
        <v>36</v>
      </c>
      <c r="B2837" s="9" t="s">
        <v>206</v>
      </c>
      <c r="C2837" s="9"/>
      <c r="D2837" s="9" t="s">
        <v>80</v>
      </c>
      <c r="E2837" s="38">
        <v>270</v>
      </c>
      <c r="F2837" s="39">
        <v>0</v>
      </c>
      <c r="G2837" s="40"/>
      <c r="H2837" s="41"/>
      <c r="I2837" s="40">
        <v>208.14814666666669</v>
      </c>
      <c r="J2837" s="41"/>
      <c r="K2837" s="9" t="s">
        <v>3980</v>
      </c>
    </row>
    <row r="2838" spans="1:11" x14ac:dyDescent="0.2">
      <c r="A2838" s="9" t="s">
        <v>36</v>
      </c>
      <c r="B2838" s="9" t="s">
        <v>208</v>
      </c>
      <c r="C2838" s="9"/>
      <c r="D2838" s="9" t="s">
        <v>78</v>
      </c>
      <c r="E2838" s="38">
        <v>1168</v>
      </c>
      <c r="F2838" s="39">
        <v>937967.0199999999</v>
      </c>
      <c r="G2838" s="40">
        <v>803.05395547945193</v>
      </c>
      <c r="H2838" s="41">
        <v>-0.1827417379513398</v>
      </c>
      <c r="I2838" s="40">
        <v>96.366474657534241</v>
      </c>
      <c r="J2838" s="41">
        <v>0.12</v>
      </c>
      <c r="K2838" s="9" t="s">
        <v>3981</v>
      </c>
    </row>
    <row r="2839" spans="1:11" x14ac:dyDescent="0.2">
      <c r="A2839" s="9" t="s">
        <v>36</v>
      </c>
      <c r="B2839" s="9" t="s">
        <v>212</v>
      </c>
      <c r="C2839" s="9"/>
      <c r="D2839" s="9" t="s">
        <v>76</v>
      </c>
      <c r="E2839" s="38">
        <v>2500</v>
      </c>
      <c r="F2839" s="39">
        <v>2642531.23</v>
      </c>
      <c r="G2839" s="40">
        <v>1057.0124920000001</v>
      </c>
      <c r="H2839" s="41">
        <v>0.24409990927149</v>
      </c>
      <c r="I2839" s="40">
        <v>125.01868224</v>
      </c>
      <c r="J2839" s="41">
        <v>0.11827550117543929</v>
      </c>
      <c r="K2839" s="9" t="s">
        <v>3982</v>
      </c>
    </row>
    <row r="2840" spans="1:11" x14ac:dyDescent="0.2">
      <c r="A2840" s="9" t="s">
        <v>36</v>
      </c>
      <c r="B2840" s="9" t="s">
        <v>888</v>
      </c>
      <c r="C2840" s="9"/>
      <c r="D2840" s="9" t="s">
        <v>86</v>
      </c>
      <c r="E2840" s="38">
        <v>225947</v>
      </c>
      <c r="F2840" s="39">
        <v>20052444.260000002</v>
      </c>
      <c r="G2840" s="40">
        <v>88.748442156788968</v>
      </c>
      <c r="H2840" s="41">
        <v>-3.4762238293717357E-2</v>
      </c>
      <c r="I2840" s="40">
        <v>0.85887959140860459</v>
      </c>
      <c r="J2840" s="41">
        <v>9.6776863969200728E-3</v>
      </c>
      <c r="K2840" s="9" t="s">
        <v>3983</v>
      </c>
    </row>
    <row r="2841" spans="1:11" x14ac:dyDescent="0.2">
      <c r="A2841" s="9" t="s">
        <v>36</v>
      </c>
      <c r="B2841" s="9" t="s">
        <v>888</v>
      </c>
      <c r="C2841" s="9"/>
      <c r="D2841" s="9" t="s">
        <v>86</v>
      </c>
      <c r="E2841" s="38">
        <v>200523</v>
      </c>
      <c r="F2841" s="39">
        <v>8747247.8499999996</v>
      </c>
      <c r="G2841" s="40">
        <v>43.622167282556113</v>
      </c>
      <c r="H2841" s="41">
        <v>-1.5549336473202049E-2</v>
      </c>
      <c r="I2841" s="40">
        <v>0.67449879265720136</v>
      </c>
      <c r="J2841" s="41">
        <v>1.546229439468781E-2</v>
      </c>
      <c r="K2841" s="9" t="s">
        <v>3983</v>
      </c>
    </row>
    <row r="2842" spans="1:11" x14ac:dyDescent="0.2">
      <c r="A2842" s="9" t="s">
        <v>36</v>
      </c>
      <c r="B2842" s="9" t="s">
        <v>3984</v>
      </c>
      <c r="C2842" s="9"/>
      <c r="D2842" s="9" t="s">
        <v>80</v>
      </c>
      <c r="E2842" s="38">
        <v>643</v>
      </c>
      <c r="F2842" s="39">
        <v>0</v>
      </c>
      <c r="G2842" s="40"/>
      <c r="H2842" s="41"/>
      <c r="I2842" s="40">
        <v>80.000000622083974</v>
      </c>
      <c r="J2842" s="41"/>
      <c r="K2842" s="9" t="s">
        <v>3985</v>
      </c>
    </row>
    <row r="2843" spans="1:11" x14ac:dyDescent="0.2">
      <c r="A2843" s="9" t="s">
        <v>36</v>
      </c>
      <c r="B2843" s="9" t="s">
        <v>1001</v>
      </c>
      <c r="C2843" s="9"/>
      <c r="D2843" s="9" t="s">
        <v>76</v>
      </c>
      <c r="E2843" s="38">
        <v>3550</v>
      </c>
      <c r="F2843" s="39">
        <v>0</v>
      </c>
      <c r="G2843" s="40"/>
      <c r="H2843" s="41">
        <v>4.6693042430235213E-2</v>
      </c>
      <c r="I2843" s="40">
        <v>53.735070760563381</v>
      </c>
      <c r="J2843" s="41"/>
      <c r="K2843" s="9" t="s">
        <v>3986</v>
      </c>
    </row>
    <row r="2844" spans="1:11" x14ac:dyDescent="0.2">
      <c r="A2844" s="9" t="s">
        <v>36</v>
      </c>
      <c r="B2844" s="9" t="s">
        <v>228</v>
      </c>
      <c r="C2844" s="9"/>
      <c r="D2844" s="9" t="s">
        <v>76</v>
      </c>
      <c r="E2844" s="38">
        <v>5660</v>
      </c>
      <c r="F2844" s="39">
        <v>1082567.1399999999</v>
      </c>
      <c r="G2844" s="40">
        <v>191.26627915194351</v>
      </c>
      <c r="H2844" s="41">
        <v>-0.1315653767464896</v>
      </c>
      <c r="I2844" s="40">
        <v>42.848197950530043</v>
      </c>
      <c r="J2844" s="41">
        <v>0.22402379625156549</v>
      </c>
      <c r="K2844" s="9" t="s">
        <v>3987</v>
      </c>
    </row>
    <row r="2845" spans="1:11" x14ac:dyDescent="0.2">
      <c r="A2845" s="9" t="s">
        <v>36</v>
      </c>
      <c r="B2845" s="9" t="s">
        <v>3876</v>
      </c>
      <c r="C2845" s="9"/>
      <c r="D2845" s="9" t="s">
        <v>82</v>
      </c>
      <c r="E2845" s="38">
        <v>4282</v>
      </c>
      <c r="F2845" s="39">
        <v>829347.23</v>
      </c>
      <c r="G2845" s="40">
        <v>193.68221158337229</v>
      </c>
      <c r="H2845" s="41">
        <v>9.1406069567007125E-3</v>
      </c>
      <c r="I2845" s="40">
        <v>14.01214385801028</v>
      </c>
      <c r="J2845" s="41">
        <v>7.2346054619366121E-2</v>
      </c>
      <c r="K2845" s="9" t="s">
        <v>3988</v>
      </c>
    </row>
    <row r="2846" spans="1:11" x14ac:dyDescent="0.2">
      <c r="A2846" s="9" t="s">
        <v>36</v>
      </c>
      <c r="B2846" s="9" t="s">
        <v>231</v>
      </c>
      <c r="C2846" s="9"/>
      <c r="D2846" s="9" t="s">
        <v>76</v>
      </c>
      <c r="E2846" s="38">
        <v>11204</v>
      </c>
      <c r="F2846" s="39">
        <v>2787498.89</v>
      </c>
      <c r="G2846" s="40">
        <v>248.79497411638701</v>
      </c>
      <c r="H2846" s="41">
        <v>-0.1318437448068539</v>
      </c>
      <c r="I2846" s="40">
        <v>34.831296376294183</v>
      </c>
      <c r="J2846" s="41">
        <v>0.14000000000000001</v>
      </c>
      <c r="K2846" s="9" t="s">
        <v>3989</v>
      </c>
    </row>
    <row r="2847" spans="1:11" x14ac:dyDescent="0.2">
      <c r="A2847" s="9" t="s">
        <v>36</v>
      </c>
      <c r="B2847" s="9" t="s">
        <v>3990</v>
      </c>
      <c r="C2847" s="9"/>
      <c r="D2847" s="9" t="s">
        <v>83</v>
      </c>
      <c r="E2847" s="38">
        <v>926</v>
      </c>
      <c r="F2847" s="39">
        <v>154221</v>
      </c>
      <c r="G2847" s="40">
        <v>166.5453563714903</v>
      </c>
      <c r="H2847" s="41">
        <v>0.2104608993240597</v>
      </c>
      <c r="I2847" s="40">
        <v>41.375096760259183</v>
      </c>
      <c r="J2847" s="41">
        <v>0.2484314042834633</v>
      </c>
      <c r="K2847" s="9" t="s">
        <v>3991</v>
      </c>
    </row>
    <row r="2848" spans="1:11" x14ac:dyDescent="0.2">
      <c r="A2848" s="9" t="s">
        <v>36</v>
      </c>
      <c r="B2848" s="9" t="s">
        <v>895</v>
      </c>
      <c r="C2848" s="9"/>
      <c r="D2848" s="9" t="s">
        <v>77</v>
      </c>
      <c r="E2848" s="38">
        <v>5819</v>
      </c>
      <c r="F2848" s="39">
        <v>3899959.25</v>
      </c>
      <c r="G2848" s="40">
        <v>670.21124763705109</v>
      </c>
      <c r="H2848" s="41">
        <v>-0.120285580071415</v>
      </c>
      <c r="I2848" s="40">
        <v>88.782685066162571</v>
      </c>
      <c r="J2848" s="41">
        <v>0.1324697032154887</v>
      </c>
      <c r="K2848" s="9" t="s">
        <v>3992</v>
      </c>
    </row>
    <row r="2849" spans="1:11" x14ac:dyDescent="0.2">
      <c r="A2849" s="9" t="s">
        <v>36</v>
      </c>
      <c r="B2849" s="9" t="s">
        <v>449</v>
      </c>
      <c r="C2849" s="9"/>
      <c r="D2849" s="9" t="s">
        <v>81</v>
      </c>
      <c r="E2849" s="38">
        <v>2902</v>
      </c>
      <c r="F2849" s="39">
        <v>1160907</v>
      </c>
      <c r="G2849" s="40">
        <v>400.0368711233632</v>
      </c>
      <c r="H2849" s="41">
        <v>-0.1172683402589577</v>
      </c>
      <c r="I2849" s="40">
        <v>25.597029634734671</v>
      </c>
      <c r="J2849" s="41">
        <v>6.3986675935281637E-2</v>
      </c>
      <c r="K2849" s="9" t="s">
        <v>3993</v>
      </c>
    </row>
    <row r="2850" spans="1:11" x14ac:dyDescent="0.2">
      <c r="A2850" s="9" t="s">
        <v>36</v>
      </c>
      <c r="B2850" s="9" t="s">
        <v>235</v>
      </c>
      <c r="C2850" s="9"/>
      <c r="D2850" s="9" t="s">
        <v>77</v>
      </c>
      <c r="E2850" s="38">
        <v>4550</v>
      </c>
      <c r="F2850" s="39">
        <v>3134925.95</v>
      </c>
      <c r="G2850" s="40">
        <v>688.99471428571428</v>
      </c>
      <c r="H2850" s="41">
        <v>-5.6725252431048548E-2</v>
      </c>
      <c r="I2850" s="40">
        <v>109.96162773626369</v>
      </c>
      <c r="J2850" s="41">
        <v>0.15959720075684719</v>
      </c>
      <c r="K2850" s="9" t="s">
        <v>3994</v>
      </c>
    </row>
    <row r="2851" spans="1:11" x14ac:dyDescent="0.2">
      <c r="A2851" s="9" t="s">
        <v>36</v>
      </c>
      <c r="B2851" s="9" t="s">
        <v>456</v>
      </c>
      <c r="C2851" s="9"/>
      <c r="D2851" s="9" t="s">
        <v>76</v>
      </c>
      <c r="E2851" s="38">
        <v>1579</v>
      </c>
      <c r="F2851" s="39">
        <v>670314.96</v>
      </c>
      <c r="G2851" s="40">
        <v>424.51865737808743</v>
      </c>
      <c r="H2851" s="41">
        <v>-7.7924762805864731E-2</v>
      </c>
      <c r="I2851" s="40">
        <v>57.588860291323613</v>
      </c>
      <c r="J2851" s="41">
        <v>0.1356568416733531</v>
      </c>
      <c r="K2851" s="9" t="s">
        <v>3995</v>
      </c>
    </row>
    <row r="2852" spans="1:11" x14ac:dyDescent="0.2">
      <c r="A2852" s="9" t="s">
        <v>36</v>
      </c>
      <c r="B2852" s="9" t="s">
        <v>242</v>
      </c>
      <c r="C2852" s="9"/>
      <c r="D2852" s="9" t="s">
        <v>82</v>
      </c>
      <c r="E2852" s="38">
        <v>3236</v>
      </c>
      <c r="F2852" s="39">
        <v>627823.64</v>
      </c>
      <c r="G2852" s="40">
        <v>194.01224969097649</v>
      </c>
      <c r="H2852" s="41">
        <v>-0.15057244456084379</v>
      </c>
      <c r="I2852" s="40">
        <v>0</v>
      </c>
      <c r="J2852" s="41">
        <v>0</v>
      </c>
      <c r="K2852" s="9" t="s">
        <v>3996</v>
      </c>
    </row>
    <row r="2853" spans="1:11" x14ac:dyDescent="0.2">
      <c r="A2853" s="9" t="s">
        <v>36</v>
      </c>
      <c r="B2853" s="9" t="s">
        <v>461</v>
      </c>
      <c r="C2853" s="9"/>
      <c r="D2853" s="9" t="s">
        <v>76</v>
      </c>
      <c r="E2853" s="38">
        <v>3058</v>
      </c>
      <c r="F2853" s="39">
        <v>2763264.42</v>
      </c>
      <c r="G2853" s="40">
        <v>903.61818835840415</v>
      </c>
      <c r="H2853" s="41">
        <v>0.2397528605568737</v>
      </c>
      <c r="I2853" s="40">
        <v>81.86500104643558</v>
      </c>
      <c r="J2853" s="41">
        <v>9.0596893799978803E-2</v>
      </c>
      <c r="K2853" s="9" t="s">
        <v>3997</v>
      </c>
    </row>
    <row r="2854" spans="1:11" x14ac:dyDescent="0.2">
      <c r="A2854" s="9" t="s">
        <v>36</v>
      </c>
      <c r="B2854" s="9" t="s">
        <v>3998</v>
      </c>
      <c r="C2854" s="9"/>
      <c r="D2854" s="9" t="s">
        <v>76</v>
      </c>
      <c r="E2854" s="38">
        <v>3473</v>
      </c>
      <c r="F2854" s="39">
        <v>621056.56999999995</v>
      </c>
      <c r="G2854" s="40">
        <v>178.82423553124099</v>
      </c>
      <c r="H2854" s="41">
        <v>1.009796666294735E-2</v>
      </c>
      <c r="I2854" s="40">
        <v>29.956809674632879</v>
      </c>
      <c r="J2854" s="41">
        <v>0.16752097155980489</v>
      </c>
      <c r="K2854" s="9" t="s">
        <v>3999</v>
      </c>
    </row>
    <row r="2855" spans="1:11" x14ac:dyDescent="0.2">
      <c r="A2855" s="9" t="s">
        <v>36</v>
      </c>
      <c r="B2855" s="9" t="s">
        <v>247</v>
      </c>
      <c r="C2855" s="9"/>
      <c r="D2855" s="9" t="s">
        <v>76</v>
      </c>
      <c r="E2855" s="38">
        <v>21531</v>
      </c>
      <c r="F2855" s="39">
        <v>3719732.8</v>
      </c>
      <c r="G2855" s="40">
        <v>172.76172959918259</v>
      </c>
      <c r="H2855" s="41">
        <v>-0.1257992432042733</v>
      </c>
      <c r="I2855" s="40">
        <v>23.125669053922248</v>
      </c>
      <c r="J2855" s="41">
        <v>0.13385874931661759</v>
      </c>
      <c r="K2855" s="9" t="s">
        <v>4000</v>
      </c>
    </row>
    <row r="2856" spans="1:11" x14ac:dyDescent="0.2">
      <c r="A2856" s="9" t="s">
        <v>36</v>
      </c>
      <c r="B2856" s="9" t="s">
        <v>464</v>
      </c>
      <c r="C2856" s="9"/>
      <c r="D2856" s="9" t="s">
        <v>80</v>
      </c>
      <c r="E2856" s="38">
        <v>844</v>
      </c>
      <c r="F2856" s="39">
        <v>549665</v>
      </c>
      <c r="G2856" s="40">
        <v>651.26184834123228</v>
      </c>
      <c r="H2856" s="41">
        <v>5.3467909097406917E-2</v>
      </c>
      <c r="I2856" s="40">
        <v>199.240717535545</v>
      </c>
      <c r="J2856" s="41">
        <v>0.30593027680496299</v>
      </c>
      <c r="K2856" s="9" t="s">
        <v>4001</v>
      </c>
    </row>
    <row r="2857" spans="1:11" x14ac:dyDescent="0.2">
      <c r="A2857" s="9" t="s">
        <v>36</v>
      </c>
      <c r="B2857" s="9" t="s">
        <v>249</v>
      </c>
      <c r="C2857" s="9"/>
      <c r="D2857" s="9" t="s">
        <v>82</v>
      </c>
      <c r="E2857" s="38">
        <v>4000</v>
      </c>
      <c r="F2857" s="39">
        <v>832698.14</v>
      </c>
      <c r="G2857" s="40">
        <v>208.17453499999999</v>
      </c>
      <c r="H2857" s="41">
        <v>-6.3373337319403325E-2</v>
      </c>
      <c r="I2857" s="40">
        <v>24.9809442</v>
      </c>
      <c r="J2857" s="41">
        <v>0.12</v>
      </c>
      <c r="K2857" s="9" t="s">
        <v>4002</v>
      </c>
    </row>
    <row r="2858" spans="1:11" x14ac:dyDescent="0.2">
      <c r="A2858" s="9" t="s">
        <v>36</v>
      </c>
      <c r="B2858" s="9" t="s">
        <v>4003</v>
      </c>
      <c r="C2858" s="9"/>
      <c r="D2858" s="9" t="s">
        <v>80</v>
      </c>
      <c r="E2858" s="38">
        <v>1402</v>
      </c>
      <c r="F2858" s="39">
        <v>0</v>
      </c>
      <c r="G2858" s="40"/>
      <c r="H2858" s="41"/>
      <c r="I2858" s="40">
        <v>55.629999714693298</v>
      </c>
      <c r="J2858" s="41"/>
      <c r="K2858" s="9" t="s">
        <v>4004</v>
      </c>
    </row>
    <row r="2859" spans="1:11" x14ac:dyDescent="0.2">
      <c r="A2859" s="9" t="s">
        <v>36</v>
      </c>
      <c r="B2859" s="9" t="s">
        <v>467</v>
      </c>
      <c r="C2859" s="9"/>
      <c r="D2859" s="9" t="s">
        <v>78</v>
      </c>
      <c r="E2859" s="38">
        <v>2266</v>
      </c>
      <c r="F2859" s="39">
        <v>6650960.5700000003</v>
      </c>
      <c r="G2859" s="40">
        <v>2935.1105781112092</v>
      </c>
      <c r="H2859" s="41">
        <v>-2.960847765765813E-2</v>
      </c>
      <c r="I2859" s="40">
        <v>235.05566902030009</v>
      </c>
      <c r="J2859" s="41">
        <v>8.0084093176333471E-2</v>
      </c>
      <c r="K2859" s="9" t="s">
        <v>4005</v>
      </c>
    </row>
    <row r="2860" spans="1:11" x14ac:dyDescent="0.2">
      <c r="A2860" s="9" t="s">
        <v>36</v>
      </c>
      <c r="B2860" s="9" t="s">
        <v>140</v>
      </c>
      <c r="C2860" s="9"/>
      <c r="D2860" s="9" t="s">
        <v>83</v>
      </c>
      <c r="E2860" s="38">
        <v>6810</v>
      </c>
      <c r="F2860" s="39">
        <v>4076808.810000001</v>
      </c>
      <c r="G2860" s="40">
        <v>598.65033920704855</v>
      </c>
      <c r="H2860" s="41">
        <v>0.53195083159758183</v>
      </c>
      <c r="I2860" s="40">
        <v>65.851537312775335</v>
      </c>
      <c r="J2860" s="41">
        <v>0.11</v>
      </c>
      <c r="K2860" s="9" t="s">
        <v>4006</v>
      </c>
    </row>
    <row r="2861" spans="1:11" x14ac:dyDescent="0.2">
      <c r="A2861" s="9" t="s">
        <v>36</v>
      </c>
      <c r="B2861" s="9" t="s">
        <v>256</v>
      </c>
      <c r="C2861" s="9"/>
      <c r="D2861" s="9" t="s">
        <v>76</v>
      </c>
      <c r="E2861" s="38">
        <v>1826</v>
      </c>
      <c r="F2861" s="39">
        <v>1896949.87</v>
      </c>
      <c r="G2861" s="40">
        <v>1038.85535049288</v>
      </c>
      <c r="H2861" s="41">
        <v>7.934663517847737E-2</v>
      </c>
      <c r="I2861" s="40">
        <v>124.6626420591457</v>
      </c>
      <c r="J2861" s="41">
        <v>0.12</v>
      </c>
      <c r="K2861" s="9" t="s">
        <v>4007</v>
      </c>
    </row>
    <row r="2862" spans="1:11" x14ac:dyDescent="0.2">
      <c r="A2862" s="9" t="s">
        <v>36</v>
      </c>
      <c r="B2862" s="9" t="s">
        <v>2961</v>
      </c>
      <c r="C2862" s="9"/>
      <c r="D2862" s="9" t="s">
        <v>81</v>
      </c>
      <c r="E2862" s="38">
        <v>6000</v>
      </c>
      <c r="F2862" s="39">
        <v>4487242.04</v>
      </c>
      <c r="G2862" s="40">
        <v>747.87367333333339</v>
      </c>
      <c r="H2862" s="41">
        <v>-0.18175927616929921</v>
      </c>
      <c r="I2862" s="40">
        <v>32.94</v>
      </c>
      <c r="J2862" s="41">
        <v>4.4044871713672933E-2</v>
      </c>
      <c r="K2862" s="9" t="s">
        <v>4008</v>
      </c>
    </row>
    <row r="2863" spans="1:11" x14ac:dyDescent="0.2">
      <c r="A2863" s="9" t="s">
        <v>36</v>
      </c>
      <c r="B2863" s="9" t="s">
        <v>4009</v>
      </c>
      <c r="C2863" s="9"/>
      <c r="D2863" s="9" t="s">
        <v>79</v>
      </c>
      <c r="E2863" s="38">
        <v>3298</v>
      </c>
      <c r="F2863" s="39">
        <v>659790.66999999993</v>
      </c>
      <c r="G2863" s="40">
        <v>200.0578138265615</v>
      </c>
      <c r="H2863" s="41">
        <v>0.13896793143636171</v>
      </c>
      <c r="I2863" s="40">
        <v>49.893592055791387</v>
      </c>
      <c r="J2863" s="41">
        <v>0.24939586763177479</v>
      </c>
      <c r="K2863" s="9" t="s">
        <v>4010</v>
      </c>
    </row>
    <row r="2864" spans="1:11" x14ac:dyDescent="0.2">
      <c r="A2864" s="9" t="s">
        <v>36</v>
      </c>
      <c r="B2864" s="9" t="s">
        <v>473</v>
      </c>
      <c r="C2864" s="9"/>
      <c r="D2864" s="9" t="s">
        <v>86</v>
      </c>
      <c r="E2864" s="38">
        <v>201097</v>
      </c>
      <c r="F2864" s="39">
        <v>16092014.859999999</v>
      </c>
      <c r="G2864" s="40">
        <v>80.021158247015109</v>
      </c>
      <c r="H2864" s="41">
        <v>-4.2476788827989199E-2</v>
      </c>
      <c r="I2864" s="40">
        <v>0.36999995027275401</v>
      </c>
      <c r="J2864" s="41">
        <v>4.6237764908452252E-3</v>
      </c>
      <c r="K2864" s="9" t="s">
        <v>4011</v>
      </c>
    </row>
    <row r="2865" spans="1:11" x14ac:dyDescent="0.2">
      <c r="A2865" s="9" t="s">
        <v>36</v>
      </c>
      <c r="B2865" s="9" t="s">
        <v>4012</v>
      </c>
      <c r="C2865" s="9"/>
      <c r="D2865" s="9" t="s">
        <v>78</v>
      </c>
      <c r="E2865" s="38">
        <v>192</v>
      </c>
      <c r="F2865" s="39">
        <v>332176.40000000002</v>
      </c>
      <c r="G2865" s="40">
        <v>1730.085416666667</v>
      </c>
      <c r="H2865" s="41"/>
      <c r="I2865" s="40">
        <v>312.5</v>
      </c>
      <c r="J2865" s="41">
        <v>0.18062691991363619</v>
      </c>
      <c r="K2865" s="9" t="s">
        <v>4013</v>
      </c>
    </row>
    <row r="2866" spans="1:11" x14ac:dyDescent="0.2">
      <c r="A2866" s="9" t="s">
        <v>36</v>
      </c>
      <c r="B2866" s="9" t="s">
        <v>481</v>
      </c>
      <c r="C2866" s="9"/>
      <c r="D2866" s="9" t="s">
        <v>77</v>
      </c>
      <c r="E2866" s="38">
        <v>2033</v>
      </c>
      <c r="F2866" s="39">
        <v>1034118.73</v>
      </c>
      <c r="G2866" s="40">
        <v>508.66636989670451</v>
      </c>
      <c r="H2866" s="41">
        <v>-0.12730763956670271</v>
      </c>
      <c r="I2866" s="40">
        <v>90.170059419576987</v>
      </c>
      <c r="J2866" s="41">
        <v>0.17726758589896149</v>
      </c>
      <c r="K2866" s="9" t="s">
        <v>4014</v>
      </c>
    </row>
    <row r="2867" spans="1:11" x14ac:dyDescent="0.2">
      <c r="A2867" s="9" t="s">
        <v>36</v>
      </c>
      <c r="B2867" s="9" t="s">
        <v>267</v>
      </c>
      <c r="C2867" s="9"/>
      <c r="D2867" s="9" t="s">
        <v>77</v>
      </c>
      <c r="E2867" s="38">
        <v>3504</v>
      </c>
      <c r="F2867" s="39">
        <v>2849006.16</v>
      </c>
      <c r="G2867" s="40">
        <v>813.0725342465754</v>
      </c>
      <c r="H2867" s="41">
        <v>4.3742172776984112E-2</v>
      </c>
      <c r="I2867" s="40">
        <v>121.83671232876711</v>
      </c>
      <c r="J2867" s="41">
        <v>0.14984728569347841</v>
      </c>
      <c r="K2867" s="9" t="s">
        <v>4015</v>
      </c>
    </row>
    <row r="2868" spans="1:11" x14ac:dyDescent="0.2">
      <c r="A2868" s="9" t="s">
        <v>36</v>
      </c>
      <c r="B2868" s="9" t="s">
        <v>271</v>
      </c>
      <c r="C2868" s="9"/>
      <c r="D2868" s="9" t="s">
        <v>78</v>
      </c>
      <c r="E2868" s="38">
        <v>2259</v>
      </c>
      <c r="F2868" s="39">
        <v>3473009.95</v>
      </c>
      <c r="G2868" s="40">
        <v>1537.410336432049</v>
      </c>
      <c r="H2868" s="41">
        <v>5.1470304891517804E-4</v>
      </c>
      <c r="I2868" s="40">
        <v>174.1672377158034</v>
      </c>
      <c r="J2868" s="41">
        <v>0.113286110798502</v>
      </c>
      <c r="K2868" s="9" t="s">
        <v>4016</v>
      </c>
    </row>
    <row r="2869" spans="1:11" x14ac:dyDescent="0.2">
      <c r="A2869" s="9" t="s">
        <v>36</v>
      </c>
      <c r="B2869" s="9" t="s">
        <v>487</v>
      </c>
      <c r="C2869" s="9"/>
      <c r="D2869" s="9" t="s">
        <v>77</v>
      </c>
      <c r="E2869" s="38">
        <v>2592</v>
      </c>
      <c r="F2869" s="39">
        <v>1448759.55</v>
      </c>
      <c r="G2869" s="40">
        <v>558.93501157407422</v>
      </c>
      <c r="H2869" s="41">
        <v>0.18162820219363399</v>
      </c>
      <c r="I2869" s="40">
        <v>60.278170331790129</v>
      </c>
      <c r="J2869" s="41">
        <v>0.10784468513080719</v>
      </c>
      <c r="K2869" s="9" t="s">
        <v>4017</v>
      </c>
    </row>
    <row r="2870" spans="1:11" x14ac:dyDescent="0.2">
      <c r="A2870" s="9" t="s">
        <v>36</v>
      </c>
      <c r="B2870" s="9" t="s">
        <v>1913</v>
      </c>
      <c r="C2870" s="9"/>
      <c r="D2870" s="9" t="s">
        <v>76</v>
      </c>
      <c r="E2870" s="38">
        <v>5619</v>
      </c>
      <c r="F2870" s="39">
        <v>530223.95000000007</v>
      </c>
      <c r="G2870" s="40">
        <v>94.362689090585519</v>
      </c>
      <c r="H2870" s="41">
        <v>-9.7969680664903691E-2</v>
      </c>
      <c r="I2870" s="40">
        <v>10.678056593699949</v>
      </c>
      <c r="J2870" s="41">
        <v>0.1131597318453834</v>
      </c>
      <c r="K2870" s="9" t="s">
        <v>4018</v>
      </c>
    </row>
    <row r="2871" spans="1:11" x14ac:dyDescent="0.2">
      <c r="A2871" s="9" t="s">
        <v>36</v>
      </c>
      <c r="B2871" s="9" t="s">
        <v>489</v>
      </c>
      <c r="C2871" s="9"/>
      <c r="D2871" s="9" t="s">
        <v>82</v>
      </c>
      <c r="E2871" s="38">
        <v>2763</v>
      </c>
      <c r="F2871" s="39">
        <v>6645615.9000000004</v>
      </c>
      <c r="G2871" s="40">
        <v>2405.2174809989142</v>
      </c>
      <c r="H2871" s="41">
        <v>-6.7116035444413644E-3</v>
      </c>
      <c r="I2871" s="40">
        <v>197.96024429967429</v>
      </c>
      <c r="J2871" s="41">
        <v>8.2304509202826476E-2</v>
      </c>
      <c r="K2871" s="9" t="s">
        <v>4019</v>
      </c>
    </row>
    <row r="2872" spans="1:11" x14ac:dyDescent="0.2">
      <c r="A2872" s="9" t="s">
        <v>36</v>
      </c>
      <c r="B2872" s="9" t="s">
        <v>275</v>
      </c>
      <c r="C2872" s="9"/>
      <c r="D2872" s="9" t="s">
        <v>83</v>
      </c>
      <c r="E2872" s="38">
        <v>4026</v>
      </c>
      <c r="F2872" s="39">
        <v>3196274.15</v>
      </c>
      <c r="G2872" s="40">
        <v>793.90813462493793</v>
      </c>
      <c r="H2872" s="41">
        <v>4.2852970329545832E-2</v>
      </c>
      <c r="I2872" s="40">
        <v>73.302853229011433</v>
      </c>
      <c r="J2872" s="41">
        <v>9.2331656563314518E-2</v>
      </c>
      <c r="K2872" s="9" t="s">
        <v>4020</v>
      </c>
    </row>
    <row r="2873" spans="1:11" x14ac:dyDescent="0.2">
      <c r="A2873" s="9" t="s">
        <v>36</v>
      </c>
      <c r="B2873" s="9" t="s">
        <v>277</v>
      </c>
      <c r="C2873" s="9"/>
      <c r="D2873" s="9" t="s">
        <v>76</v>
      </c>
      <c r="E2873" s="38">
        <v>642</v>
      </c>
      <c r="F2873" s="39">
        <v>1171891.8500000001</v>
      </c>
      <c r="G2873" s="40">
        <v>1825.3767133956389</v>
      </c>
      <c r="H2873" s="41">
        <v>3.4397413361423573E-2</v>
      </c>
      <c r="I2873" s="40">
        <v>254.27576261682239</v>
      </c>
      <c r="J2873" s="41">
        <v>0.13930043083753851</v>
      </c>
      <c r="K2873" s="9" t="s">
        <v>4021</v>
      </c>
    </row>
    <row r="2874" spans="1:11" x14ac:dyDescent="0.2">
      <c r="A2874" s="9" t="s">
        <v>36</v>
      </c>
      <c r="B2874" s="9" t="s">
        <v>277</v>
      </c>
      <c r="C2874" s="9"/>
      <c r="D2874" s="9" t="s">
        <v>76</v>
      </c>
      <c r="E2874" s="38">
        <v>3545</v>
      </c>
      <c r="F2874" s="39">
        <v>763126.52</v>
      </c>
      <c r="G2874" s="40">
        <v>215.26841184767281</v>
      </c>
      <c r="H2874" s="41">
        <v>-5.4310006259918768E-2</v>
      </c>
      <c r="I2874" s="40">
        <v>25.83220942172073</v>
      </c>
      <c r="J2874" s="41">
        <v>0.12</v>
      </c>
      <c r="K2874" s="9" t="s">
        <v>4021</v>
      </c>
    </row>
    <row r="2875" spans="1:11" x14ac:dyDescent="0.2">
      <c r="A2875" s="9" t="s">
        <v>36</v>
      </c>
      <c r="B2875" s="9" t="s">
        <v>279</v>
      </c>
      <c r="C2875" s="9"/>
      <c r="D2875" s="9" t="s">
        <v>76</v>
      </c>
      <c r="E2875" s="38">
        <v>5800</v>
      </c>
      <c r="F2875" s="39">
        <v>624765.86999999988</v>
      </c>
      <c r="G2875" s="40">
        <v>107.7182534482758</v>
      </c>
      <c r="H2875" s="41">
        <v>-5.3222374406904423E-2</v>
      </c>
      <c r="I2875" s="40">
        <v>13.280000068965521</v>
      </c>
      <c r="J2875" s="41">
        <v>0.1232845840314549</v>
      </c>
      <c r="K2875" s="9" t="s">
        <v>4022</v>
      </c>
    </row>
    <row r="2876" spans="1:11" x14ac:dyDescent="0.2">
      <c r="A2876" s="9" t="s">
        <v>36</v>
      </c>
      <c r="B2876" s="9" t="s">
        <v>4023</v>
      </c>
      <c r="C2876" s="9"/>
      <c r="D2876" s="9" t="s">
        <v>80</v>
      </c>
      <c r="E2876" s="38">
        <v>1732</v>
      </c>
      <c r="F2876" s="39">
        <v>674675.96</v>
      </c>
      <c r="G2876" s="40">
        <v>389.53577367205543</v>
      </c>
      <c r="H2876" s="41">
        <v>-5.0041278929147941E-2</v>
      </c>
      <c r="I2876" s="40">
        <v>46.744292840646636</v>
      </c>
      <c r="J2876" s="41">
        <v>0.12</v>
      </c>
      <c r="K2876" s="9" t="s">
        <v>4024</v>
      </c>
    </row>
    <row r="2877" spans="1:11" x14ac:dyDescent="0.2">
      <c r="A2877" s="9" t="s">
        <v>36</v>
      </c>
      <c r="B2877" s="9" t="s">
        <v>283</v>
      </c>
      <c r="C2877" s="9"/>
      <c r="D2877" s="9" t="s">
        <v>78</v>
      </c>
      <c r="E2877" s="38">
        <v>768</v>
      </c>
      <c r="F2877" s="39">
        <v>646872.51</v>
      </c>
      <c r="G2877" s="40">
        <v>842.28191406250005</v>
      </c>
      <c r="H2877" s="41">
        <v>0.36521029933995097</v>
      </c>
      <c r="I2877" s="40">
        <v>104.2749489583333</v>
      </c>
      <c r="J2877" s="41">
        <v>0.1238005318853324</v>
      </c>
      <c r="K2877" s="9" t="s">
        <v>4025</v>
      </c>
    </row>
    <row r="2878" spans="1:11" x14ac:dyDescent="0.2">
      <c r="A2878" s="9" t="s">
        <v>36</v>
      </c>
      <c r="B2878" s="9" t="s">
        <v>287</v>
      </c>
      <c r="C2878" s="9"/>
      <c r="D2878" s="9" t="s">
        <v>79</v>
      </c>
      <c r="E2878" s="38">
        <v>2191</v>
      </c>
      <c r="F2878" s="39">
        <v>1839352.19</v>
      </c>
      <c r="G2878" s="40">
        <v>839.50350981287079</v>
      </c>
      <c r="H2878" s="41">
        <v>0.1089890188585043</v>
      </c>
      <c r="I2878" s="40">
        <v>110.0691006846189</v>
      </c>
      <c r="J2878" s="41">
        <v>0.13111213877968639</v>
      </c>
      <c r="K2878" s="9" t="s">
        <v>4026</v>
      </c>
    </row>
    <row r="2879" spans="1:11" x14ac:dyDescent="0.2">
      <c r="A2879" s="9" t="s">
        <v>36</v>
      </c>
      <c r="B2879" s="9" t="s">
        <v>502</v>
      </c>
      <c r="C2879" s="9"/>
      <c r="D2879" s="9" t="s">
        <v>86</v>
      </c>
      <c r="E2879" s="38">
        <v>181373</v>
      </c>
      <c r="F2879" s="39">
        <v>18056146.719999999</v>
      </c>
      <c r="G2879" s="40">
        <v>99.552561406604084</v>
      </c>
      <c r="H2879" s="41">
        <v>-6.1174883703178702E-2</v>
      </c>
      <c r="I2879" s="40">
        <v>1.6242363174232111</v>
      </c>
      <c r="J2879" s="41">
        <v>1.631536441126127E-2</v>
      </c>
      <c r="K2879" s="9" t="s">
        <v>4027</v>
      </c>
    </row>
    <row r="2880" spans="1:11" x14ac:dyDescent="0.2">
      <c r="A2880" s="9" t="s">
        <v>36</v>
      </c>
      <c r="B2880" s="9" t="s">
        <v>4028</v>
      </c>
      <c r="C2880" s="9"/>
      <c r="D2880" s="9" t="s">
        <v>76</v>
      </c>
      <c r="E2880" s="38">
        <v>1560</v>
      </c>
      <c r="F2880" s="39">
        <v>0</v>
      </c>
      <c r="G2880" s="40"/>
      <c r="H2880" s="41"/>
      <c r="I2880" s="40">
        <v>35</v>
      </c>
      <c r="J2880" s="41"/>
      <c r="K2880" s="9" t="s">
        <v>4029</v>
      </c>
    </row>
    <row r="2881" spans="1:11" x14ac:dyDescent="0.2">
      <c r="A2881" s="9" t="s">
        <v>36</v>
      </c>
      <c r="B2881" s="9" t="s">
        <v>295</v>
      </c>
      <c r="C2881" s="9"/>
      <c r="D2881" s="9" t="s">
        <v>76</v>
      </c>
      <c r="E2881" s="38">
        <v>4733</v>
      </c>
      <c r="F2881" s="39">
        <v>558178.27999999991</v>
      </c>
      <c r="G2881" s="40">
        <v>117.9332938939362</v>
      </c>
      <c r="H2881" s="41">
        <v>-0.107637405953271</v>
      </c>
      <c r="I2881" s="40">
        <v>11.6205365729981</v>
      </c>
      <c r="J2881" s="41">
        <v>9.8534825826615838E-2</v>
      </c>
      <c r="K2881" s="9" t="s">
        <v>4030</v>
      </c>
    </row>
    <row r="2882" spans="1:11" x14ac:dyDescent="0.2">
      <c r="A2882" s="9" t="s">
        <v>36</v>
      </c>
      <c r="B2882" s="9" t="s">
        <v>301</v>
      </c>
      <c r="C2882" s="9"/>
      <c r="D2882" s="9" t="s">
        <v>82</v>
      </c>
      <c r="E2882" s="38">
        <v>2140</v>
      </c>
      <c r="F2882" s="39">
        <v>1048955.6000000001</v>
      </c>
      <c r="G2882" s="40">
        <v>490.1661682242991</v>
      </c>
      <c r="H2882" s="41"/>
      <c r="I2882" s="40">
        <v>61.693771962616829</v>
      </c>
      <c r="J2882" s="41">
        <v>0.1258629745625077</v>
      </c>
      <c r="K2882" s="9" t="s">
        <v>4031</v>
      </c>
    </row>
    <row r="2883" spans="1:11" x14ac:dyDescent="0.2">
      <c r="A2883" s="9" t="s">
        <v>36</v>
      </c>
      <c r="B2883" s="9" t="s">
        <v>708</v>
      </c>
      <c r="C2883" s="9"/>
      <c r="D2883" s="9" t="s">
        <v>80</v>
      </c>
      <c r="E2883" s="38">
        <v>622</v>
      </c>
      <c r="F2883" s="39">
        <v>421295.92</v>
      </c>
      <c r="G2883" s="40">
        <v>677.32463022508034</v>
      </c>
      <c r="H2883" s="41">
        <v>-4.9286489084614533E-2</v>
      </c>
      <c r="I2883" s="40">
        <v>129.13999999999999</v>
      </c>
      <c r="J2883" s="41">
        <v>0.19066189864834199</v>
      </c>
      <c r="K2883" s="9" t="s">
        <v>4032</v>
      </c>
    </row>
    <row r="2884" spans="1:11" x14ac:dyDescent="0.2">
      <c r="A2884" s="9" t="s">
        <v>36</v>
      </c>
      <c r="B2884" s="9" t="s">
        <v>307</v>
      </c>
      <c r="C2884" s="9"/>
      <c r="D2884" s="9" t="s">
        <v>81</v>
      </c>
      <c r="E2884" s="38">
        <v>2500</v>
      </c>
      <c r="F2884" s="39">
        <v>0</v>
      </c>
      <c r="G2884" s="40"/>
      <c r="H2884" s="41"/>
      <c r="I2884" s="40">
        <v>56.307958079999999</v>
      </c>
      <c r="J2884" s="41"/>
      <c r="K2884" s="9" t="s">
        <v>4033</v>
      </c>
    </row>
    <row r="2885" spans="1:11" x14ac:dyDescent="0.2">
      <c r="A2885" s="9" t="s">
        <v>36</v>
      </c>
      <c r="B2885" s="9" t="s">
        <v>800</v>
      </c>
      <c r="C2885" s="9"/>
      <c r="D2885" s="9" t="s">
        <v>86</v>
      </c>
      <c r="E2885" s="38">
        <v>200000</v>
      </c>
      <c r="F2885" s="39">
        <v>0</v>
      </c>
      <c r="G2885" s="40"/>
      <c r="H2885" s="41">
        <v>-2.120330313506984E-3</v>
      </c>
      <c r="I2885" s="40">
        <v>1.374825E-2</v>
      </c>
      <c r="J2885" s="41"/>
      <c r="K2885" s="9" t="s">
        <v>4034</v>
      </c>
    </row>
    <row r="2886" spans="1:11" x14ac:dyDescent="0.2">
      <c r="A2886" s="9" t="s">
        <v>36</v>
      </c>
      <c r="B2886" s="9" t="s">
        <v>710</v>
      </c>
      <c r="C2886" s="9"/>
      <c r="D2886" s="9" t="s">
        <v>76</v>
      </c>
      <c r="E2886" s="38">
        <v>1779</v>
      </c>
      <c r="F2886" s="39">
        <v>798719.5</v>
      </c>
      <c r="G2886" s="40">
        <v>448.97105115233279</v>
      </c>
      <c r="H2886" s="41">
        <v>-2.1453996981900252E-2</v>
      </c>
      <c r="I2886" s="40">
        <v>70.96526677908939</v>
      </c>
      <c r="J2886" s="41">
        <v>0.15806201000476389</v>
      </c>
      <c r="K2886" s="9" t="s">
        <v>4035</v>
      </c>
    </row>
    <row r="2887" spans="1:11" x14ac:dyDescent="0.2">
      <c r="A2887" s="9" t="s">
        <v>36</v>
      </c>
      <c r="B2887" s="9" t="s">
        <v>2402</v>
      </c>
      <c r="C2887" s="9"/>
      <c r="D2887" s="9" t="s">
        <v>81</v>
      </c>
      <c r="E2887" s="38">
        <v>6400</v>
      </c>
      <c r="F2887" s="39">
        <v>3934398.04</v>
      </c>
      <c r="G2887" s="40">
        <v>614.74969375000001</v>
      </c>
      <c r="H2887" s="41">
        <v>1.2080106937086821E-3</v>
      </c>
      <c r="I2887" s="40">
        <v>30.660146062500001</v>
      </c>
      <c r="J2887" s="41">
        <v>4.9874194935294339E-2</v>
      </c>
      <c r="K2887" s="9" t="s">
        <v>4036</v>
      </c>
    </row>
    <row r="2888" spans="1:11" x14ac:dyDescent="0.2">
      <c r="A2888" s="9" t="s">
        <v>36</v>
      </c>
      <c r="B2888" s="9" t="s">
        <v>317</v>
      </c>
      <c r="C2888" s="9"/>
      <c r="D2888" s="9" t="s">
        <v>76</v>
      </c>
      <c r="E2888" s="38">
        <v>5603</v>
      </c>
      <c r="F2888" s="39">
        <v>4238241.7300000004</v>
      </c>
      <c r="G2888" s="40">
        <v>756.42365339996434</v>
      </c>
      <c r="H2888" s="41">
        <v>0.26112098187528121</v>
      </c>
      <c r="I2888" s="40">
        <v>70.375419311083348</v>
      </c>
      <c r="J2888" s="41">
        <v>9.3037042132091879E-2</v>
      </c>
      <c r="K2888" s="9" t="s">
        <v>4037</v>
      </c>
    </row>
    <row r="2889" spans="1:11" x14ac:dyDescent="0.2">
      <c r="A2889" s="9" t="s">
        <v>36</v>
      </c>
      <c r="B2889" s="9" t="s">
        <v>319</v>
      </c>
      <c r="C2889" s="9"/>
      <c r="D2889" s="9" t="s">
        <v>81</v>
      </c>
      <c r="E2889" s="38">
        <v>910</v>
      </c>
      <c r="F2889" s="39">
        <v>1704305.25</v>
      </c>
      <c r="G2889" s="40">
        <v>1872.862912087912</v>
      </c>
      <c r="H2889" s="41">
        <v>-1.6844927938700051E-2</v>
      </c>
      <c r="I2889" s="40">
        <v>310.91313000000002</v>
      </c>
      <c r="J2889" s="41">
        <v>0.16600955040184259</v>
      </c>
      <c r="K2889" s="9" t="s">
        <v>4038</v>
      </c>
    </row>
    <row r="2890" spans="1:11" x14ac:dyDescent="0.2">
      <c r="A2890" s="9" t="s">
        <v>36</v>
      </c>
      <c r="B2890" s="9" t="s">
        <v>321</v>
      </c>
      <c r="C2890" s="9"/>
      <c r="D2890" s="9" t="s">
        <v>78</v>
      </c>
      <c r="E2890" s="38">
        <v>1558</v>
      </c>
      <c r="F2890" s="39">
        <v>2289594.1</v>
      </c>
      <c r="G2890" s="40">
        <v>1469.572593068036</v>
      </c>
      <c r="H2890" s="41">
        <v>0.13633808135937489</v>
      </c>
      <c r="I2890" s="40">
        <v>146.15136739409499</v>
      </c>
      <c r="J2890" s="41">
        <v>9.9451614764381149E-2</v>
      </c>
      <c r="K2890" s="9" t="s">
        <v>4039</v>
      </c>
    </row>
    <row r="2891" spans="1:11" x14ac:dyDescent="0.2">
      <c r="A2891" s="9" t="s">
        <v>36</v>
      </c>
      <c r="B2891" s="9" t="s">
        <v>4040</v>
      </c>
      <c r="C2891" s="9"/>
      <c r="D2891" s="9" t="s">
        <v>81</v>
      </c>
      <c r="E2891" s="38">
        <v>808</v>
      </c>
      <c r="F2891" s="39">
        <v>358652.55</v>
      </c>
      <c r="G2891" s="40">
        <v>443.87691831683168</v>
      </c>
      <c r="H2891" s="41">
        <v>5.1996370086860942E-2</v>
      </c>
      <c r="I2891" s="40">
        <v>95.965043316831682</v>
      </c>
      <c r="J2891" s="41">
        <v>0.21619741724964731</v>
      </c>
      <c r="K2891" s="9" t="s">
        <v>4041</v>
      </c>
    </row>
    <row r="2892" spans="1:11" x14ac:dyDescent="0.2">
      <c r="A2892" s="9" t="s">
        <v>36</v>
      </c>
      <c r="B2892" s="9" t="s">
        <v>4042</v>
      </c>
      <c r="C2892" s="9"/>
      <c r="D2892" s="9" t="s">
        <v>79</v>
      </c>
      <c r="E2892" s="38">
        <v>2137</v>
      </c>
      <c r="F2892" s="39">
        <v>385454.17</v>
      </c>
      <c r="G2892" s="40">
        <v>180.3716284510997</v>
      </c>
      <c r="H2892" s="41">
        <v>5.0922812947533987E-2</v>
      </c>
      <c r="I2892" s="40">
        <v>28.06117903603182</v>
      </c>
      <c r="J2892" s="41">
        <v>0.15557424012302171</v>
      </c>
      <c r="K2892" s="9" t="s">
        <v>4043</v>
      </c>
    </row>
    <row r="2893" spans="1:11" x14ac:dyDescent="0.2">
      <c r="A2893" s="9" t="s">
        <v>36</v>
      </c>
      <c r="B2893" s="9" t="s">
        <v>4042</v>
      </c>
      <c r="C2893" s="9"/>
      <c r="D2893" s="9" t="s">
        <v>79</v>
      </c>
      <c r="E2893" s="38">
        <v>150</v>
      </c>
      <c r="F2893" s="39">
        <v>197812.1</v>
      </c>
      <c r="G2893" s="40">
        <v>1318.747333333333</v>
      </c>
      <c r="H2893" s="41">
        <v>3.008849705398953E-2</v>
      </c>
      <c r="I2893" s="40">
        <v>395.35199999999998</v>
      </c>
      <c r="J2893" s="41">
        <v>0.29979359199968048</v>
      </c>
      <c r="K2893" s="9" t="s">
        <v>4043</v>
      </c>
    </row>
    <row r="2894" spans="1:11" x14ac:dyDescent="0.2">
      <c r="A2894" s="9" t="s">
        <v>36</v>
      </c>
      <c r="B2894" s="9" t="s">
        <v>3917</v>
      </c>
      <c r="C2894" s="9"/>
      <c r="D2894" s="9" t="s">
        <v>78</v>
      </c>
      <c r="E2894" s="38">
        <v>1883</v>
      </c>
      <c r="F2894" s="39">
        <v>1032121</v>
      </c>
      <c r="G2894" s="40">
        <v>548.12586298459905</v>
      </c>
      <c r="H2894" s="41">
        <v>0.13733302034343189</v>
      </c>
      <c r="I2894" s="40">
        <v>38.369182262347323</v>
      </c>
      <c r="J2894" s="41">
        <v>7.0000678408829967E-2</v>
      </c>
      <c r="K2894" s="9" t="s">
        <v>4044</v>
      </c>
    </row>
    <row r="2895" spans="1:11" x14ac:dyDescent="0.2">
      <c r="A2895" s="9" t="s">
        <v>36</v>
      </c>
      <c r="B2895" s="9" t="s">
        <v>4045</v>
      </c>
      <c r="C2895" s="9"/>
      <c r="D2895" s="9" t="s">
        <v>81</v>
      </c>
      <c r="E2895" s="38">
        <v>663</v>
      </c>
      <c r="F2895" s="39">
        <v>885850</v>
      </c>
      <c r="G2895" s="40">
        <v>1336.1236802413271</v>
      </c>
      <c r="H2895" s="41">
        <v>-6.3061156196086744E-3</v>
      </c>
      <c r="I2895" s="40">
        <v>244.06532488687779</v>
      </c>
      <c r="J2895" s="41">
        <v>0.18266671603544621</v>
      </c>
      <c r="K2895" s="9" t="s">
        <v>4046</v>
      </c>
    </row>
    <row r="2896" spans="1:11" x14ac:dyDescent="0.2">
      <c r="A2896" s="9" t="s">
        <v>36</v>
      </c>
      <c r="B2896" s="9" t="s">
        <v>950</v>
      </c>
      <c r="C2896" s="9"/>
      <c r="D2896" s="9" t="s">
        <v>80</v>
      </c>
      <c r="E2896" s="38">
        <v>581</v>
      </c>
      <c r="F2896" s="39">
        <v>1684454.34</v>
      </c>
      <c r="G2896" s="40">
        <v>2899.2329432013771</v>
      </c>
      <c r="H2896" s="41">
        <v>7.3322266904891409E-2</v>
      </c>
      <c r="I2896" s="40">
        <v>358.33771222030992</v>
      </c>
      <c r="J2896" s="41">
        <v>0.1235974201592191</v>
      </c>
      <c r="K2896" s="9" t="s">
        <v>4047</v>
      </c>
    </row>
    <row r="2897" spans="1:11" x14ac:dyDescent="0.2">
      <c r="A2897" s="9" t="s">
        <v>36</v>
      </c>
      <c r="B2897" s="9" t="s">
        <v>343</v>
      </c>
      <c r="C2897" s="9"/>
      <c r="D2897" s="9" t="s">
        <v>79</v>
      </c>
      <c r="E2897" s="38">
        <v>4884</v>
      </c>
      <c r="F2897" s="39">
        <v>7647707.2399999993</v>
      </c>
      <c r="G2897" s="40">
        <v>1565.869623259623</v>
      </c>
      <c r="H2897" s="41">
        <v>7.0599374638026971E-2</v>
      </c>
      <c r="I2897" s="40">
        <v>106.1780266175266</v>
      </c>
      <c r="J2897" s="41">
        <v>6.780770572488598E-2</v>
      </c>
      <c r="K2897" s="9" t="s">
        <v>4048</v>
      </c>
    </row>
    <row r="2898" spans="1:11" x14ac:dyDescent="0.2">
      <c r="A2898" s="9" t="s">
        <v>36</v>
      </c>
      <c r="B2898" s="9" t="s">
        <v>1412</v>
      </c>
      <c r="C2898" s="9"/>
      <c r="D2898" s="9" t="s">
        <v>77</v>
      </c>
      <c r="E2898" s="38">
        <v>7162</v>
      </c>
      <c r="F2898" s="39">
        <v>1495653.66</v>
      </c>
      <c r="G2898" s="40">
        <v>208.83184306059749</v>
      </c>
      <c r="H2898" s="41">
        <v>-2.043175056273969E-2</v>
      </c>
      <c r="I2898" s="40">
        <v>20.883184361910079</v>
      </c>
      <c r="J2898" s="41">
        <v>0.1000000002674416</v>
      </c>
      <c r="K2898" s="9" t="s">
        <v>4049</v>
      </c>
    </row>
    <row r="2899" spans="1:11" x14ac:dyDescent="0.2">
      <c r="A2899" s="9" t="s">
        <v>36</v>
      </c>
      <c r="B2899" s="9" t="s">
        <v>4050</v>
      </c>
      <c r="C2899" s="9"/>
      <c r="D2899" s="9" t="s">
        <v>82</v>
      </c>
      <c r="E2899" s="38">
        <v>5440</v>
      </c>
      <c r="F2899" s="39">
        <v>469770.03</v>
      </c>
      <c r="G2899" s="40">
        <v>86.3547849264706</v>
      </c>
      <c r="H2899" s="41">
        <v>-3.7138016155296938E-2</v>
      </c>
      <c r="I2899" s="40">
        <v>20.10617823529412</v>
      </c>
      <c r="J2899" s="41">
        <v>0.23283224261879801</v>
      </c>
      <c r="K2899" s="9" t="s">
        <v>4051</v>
      </c>
    </row>
    <row r="2900" spans="1:11" x14ac:dyDescent="0.2">
      <c r="A2900" s="9" t="s">
        <v>36</v>
      </c>
      <c r="B2900" s="9" t="s">
        <v>355</v>
      </c>
      <c r="C2900" s="9"/>
      <c r="D2900" s="9" t="s">
        <v>82</v>
      </c>
      <c r="E2900" s="38">
        <v>2047</v>
      </c>
      <c r="F2900" s="39">
        <v>1844720.69</v>
      </c>
      <c r="G2900" s="40">
        <v>901.18255495847575</v>
      </c>
      <c r="H2900" s="41">
        <v>-5.5898737955445428E-2</v>
      </c>
      <c r="I2900" s="40">
        <v>126.2171191011236</v>
      </c>
      <c r="J2900" s="41">
        <v>0.14005721527414541</v>
      </c>
      <c r="K2900" s="9" t="s">
        <v>4052</v>
      </c>
    </row>
    <row r="2901" spans="1:11" x14ac:dyDescent="0.2">
      <c r="A2901" s="9" t="s">
        <v>36</v>
      </c>
      <c r="B2901" s="9" t="s">
        <v>538</v>
      </c>
      <c r="C2901" s="9"/>
      <c r="D2901" s="9" t="s">
        <v>80</v>
      </c>
      <c r="E2901" s="38">
        <v>1517</v>
      </c>
      <c r="F2901" s="39">
        <v>0</v>
      </c>
      <c r="G2901" s="40"/>
      <c r="H2901" s="41">
        <v>-9.5141160313049783E-2</v>
      </c>
      <c r="I2901" s="40">
        <v>52.465787738958483</v>
      </c>
      <c r="J2901" s="41"/>
      <c r="K2901" s="9" t="s">
        <v>4053</v>
      </c>
    </row>
    <row r="2902" spans="1:11" x14ac:dyDescent="0.2">
      <c r="A2902" s="9" t="s">
        <v>36</v>
      </c>
      <c r="B2902" s="9" t="s">
        <v>4054</v>
      </c>
      <c r="C2902" s="9"/>
      <c r="D2902" s="9" t="s">
        <v>80</v>
      </c>
      <c r="E2902" s="38">
        <v>565</v>
      </c>
      <c r="F2902" s="39">
        <v>372886.14</v>
      </c>
      <c r="G2902" s="40">
        <v>659.97546902654869</v>
      </c>
      <c r="H2902" s="41">
        <v>2.512574619823427E-2</v>
      </c>
      <c r="I2902" s="40">
        <v>179.91</v>
      </c>
      <c r="J2902" s="41">
        <v>0.27260104116500539</v>
      </c>
      <c r="K2902" s="9" t="s">
        <v>4055</v>
      </c>
    </row>
    <row r="2903" spans="1:11" x14ac:dyDescent="0.2">
      <c r="A2903" s="9" t="s">
        <v>36</v>
      </c>
      <c r="B2903" s="9" t="s">
        <v>357</v>
      </c>
      <c r="C2903" s="9"/>
      <c r="D2903" s="9" t="s">
        <v>76</v>
      </c>
      <c r="E2903" s="38">
        <v>802</v>
      </c>
      <c r="F2903" s="39">
        <v>601234.6100000001</v>
      </c>
      <c r="G2903" s="40">
        <v>749.66908977556125</v>
      </c>
      <c r="H2903" s="41">
        <v>5.9885894341377838E-3</v>
      </c>
      <c r="I2903" s="40">
        <v>110.58476359102249</v>
      </c>
      <c r="J2903" s="41">
        <v>0.14751143551100621</v>
      </c>
      <c r="K2903" s="9" t="s">
        <v>4056</v>
      </c>
    </row>
    <row r="2904" spans="1:11" x14ac:dyDescent="0.2">
      <c r="A2904" s="9" t="s">
        <v>36</v>
      </c>
      <c r="B2904" s="9" t="s">
        <v>4057</v>
      </c>
      <c r="C2904" s="9"/>
      <c r="D2904" s="9" t="s">
        <v>76</v>
      </c>
      <c r="E2904" s="38">
        <v>1000</v>
      </c>
      <c r="F2904" s="39">
        <v>0</v>
      </c>
      <c r="G2904" s="40"/>
      <c r="H2904" s="41"/>
      <c r="I2904" s="40">
        <v>65.16</v>
      </c>
      <c r="J2904" s="41"/>
      <c r="K2904" s="9" t="s">
        <v>4058</v>
      </c>
    </row>
    <row r="2905" spans="1:11" x14ac:dyDescent="0.2">
      <c r="A2905" s="9" t="s">
        <v>36</v>
      </c>
      <c r="B2905" s="9" t="s">
        <v>4059</v>
      </c>
      <c r="C2905" s="9"/>
      <c r="D2905" s="9" t="s">
        <v>81</v>
      </c>
      <c r="E2905" s="38">
        <v>234</v>
      </c>
      <c r="F2905" s="39">
        <v>0</v>
      </c>
      <c r="G2905" s="40"/>
      <c r="H2905" s="41"/>
      <c r="I2905" s="40">
        <v>280</v>
      </c>
      <c r="J2905" s="41"/>
      <c r="K2905" s="9" t="s">
        <v>4060</v>
      </c>
    </row>
    <row r="2906" spans="1:11" x14ac:dyDescent="0.2">
      <c r="A2906" s="9" t="s">
        <v>36</v>
      </c>
      <c r="B2906" s="9" t="s">
        <v>550</v>
      </c>
      <c r="C2906" s="9"/>
      <c r="D2906" s="9" t="s">
        <v>76</v>
      </c>
      <c r="E2906" s="38">
        <v>3723</v>
      </c>
      <c r="F2906" s="39">
        <v>802902.5</v>
      </c>
      <c r="G2906" s="40">
        <v>215.66008595218909</v>
      </c>
      <c r="H2906" s="41">
        <v>-0.1257840476128228</v>
      </c>
      <c r="I2906" s="40">
        <v>24.174053182917</v>
      </c>
      <c r="J2906" s="41">
        <v>0.1120933114543796</v>
      </c>
      <c r="K2906" s="9" t="s">
        <v>4061</v>
      </c>
    </row>
    <row r="2907" spans="1:11" x14ac:dyDescent="0.2">
      <c r="A2907" s="9" t="s">
        <v>36</v>
      </c>
      <c r="B2907" s="9" t="s">
        <v>4062</v>
      </c>
      <c r="C2907" s="9"/>
      <c r="D2907" s="9" t="s">
        <v>79</v>
      </c>
      <c r="E2907" s="38">
        <v>1132</v>
      </c>
      <c r="F2907" s="39">
        <v>112907</v>
      </c>
      <c r="G2907" s="40">
        <v>99.741166077738512</v>
      </c>
      <c r="H2907" s="41">
        <v>-3.3000236798484489E-2</v>
      </c>
      <c r="I2907" s="40">
        <v>52.025088339222613</v>
      </c>
      <c r="J2907" s="41">
        <v>0.52160096362493025</v>
      </c>
      <c r="K2907" s="9" t="s">
        <v>4063</v>
      </c>
    </row>
    <row r="2908" spans="1:11" x14ac:dyDescent="0.2">
      <c r="A2908" s="9" t="s">
        <v>36</v>
      </c>
      <c r="B2908" s="9" t="s">
        <v>4062</v>
      </c>
      <c r="C2908" s="9"/>
      <c r="D2908" s="9" t="s">
        <v>79</v>
      </c>
      <c r="E2908" s="38">
        <v>1896</v>
      </c>
      <c r="F2908" s="39">
        <v>96110</v>
      </c>
      <c r="G2908" s="40">
        <v>50.690928270042193</v>
      </c>
      <c r="H2908" s="41">
        <v>-2.2767877594026299E-2</v>
      </c>
      <c r="I2908" s="40">
        <v>26.59637067510549</v>
      </c>
      <c r="J2908" s="41">
        <v>0.52467712829050051</v>
      </c>
      <c r="K2908" s="9" t="s">
        <v>4063</v>
      </c>
    </row>
    <row r="2909" spans="1:11" x14ac:dyDescent="0.2">
      <c r="A2909" s="9" t="s">
        <v>36</v>
      </c>
      <c r="B2909" s="9" t="s">
        <v>4064</v>
      </c>
      <c r="C2909" s="9"/>
      <c r="D2909" s="9" t="s">
        <v>80</v>
      </c>
      <c r="E2909" s="38">
        <v>774</v>
      </c>
      <c r="F2909" s="39">
        <v>0</v>
      </c>
      <c r="G2909" s="40"/>
      <c r="H2909" s="41"/>
      <c r="I2909" s="40">
        <v>127.0073627906977</v>
      </c>
      <c r="J2909" s="41"/>
      <c r="K2909" s="9" t="s">
        <v>4065</v>
      </c>
    </row>
    <row r="2910" spans="1:11" x14ac:dyDescent="0.2">
      <c r="A2910" s="9" t="s">
        <v>36</v>
      </c>
      <c r="B2910" s="9" t="s">
        <v>4066</v>
      </c>
      <c r="C2910" s="9"/>
      <c r="D2910" s="9" t="s">
        <v>81</v>
      </c>
      <c r="E2910" s="38">
        <v>709</v>
      </c>
      <c r="F2910" s="39">
        <v>380062.86</v>
      </c>
      <c r="G2910" s="40">
        <v>536.05480959097315</v>
      </c>
      <c r="H2910" s="41">
        <v>-4.7844426591099311E-2</v>
      </c>
      <c r="I2910" s="40">
        <v>98.104999717912548</v>
      </c>
      <c r="J2910" s="41">
        <v>0.18301300158610601</v>
      </c>
      <c r="K2910" s="9" t="s">
        <v>4067</v>
      </c>
    </row>
    <row r="2911" spans="1:11" x14ac:dyDescent="0.2">
      <c r="A2911" s="9" t="s">
        <v>36</v>
      </c>
      <c r="B2911" s="9" t="s">
        <v>371</v>
      </c>
      <c r="C2911" s="9"/>
      <c r="D2911" s="9" t="s">
        <v>76</v>
      </c>
      <c r="E2911" s="38">
        <v>2525</v>
      </c>
      <c r="F2911" s="39">
        <v>742766.5</v>
      </c>
      <c r="G2911" s="40">
        <v>294.16495049504948</v>
      </c>
      <c r="H2911" s="41">
        <v>-9.5910063113715416E-2</v>
      </c>
      <c r="I2911" s="40">
        <v>43.564356594059397</v>
      </c>
      <c r="J2911" s="41">
        <v>0.14809499405263971</v>
      </c>
      <c r="K2911" s="9" t="s">
        <v>4068</v>
      </c>
    </row>
    <row r="2912" spans="1:11" x14ac:dyDescent="0.2">
      <c r="A2912" s="9" t="s">
        <v>36</v>
      </c>
      <c r="B2912" s="9" t="s">
        <v>1050</v>
      </c>
      <c r="C2912" s="9"/>
      <c r="D2912" s="9" t="s">
        <v>77</v>
      </c>
      <c r="E2912" s="38">
        <v>3193</v>
      </c>
      <c r="F2912" s="39">
        <v>1387489</v>
      </c>
      <c r="G2912" s="40">
        <v>434.54087065455678</v>
      </c>
      <c r="H2912" s="41">
        <v>0.1583023023095807</v>
      </c>
      <c r="I2912" s="40">
        <v>43.474535045411827</v>
      </c>
      <c r="J2912" s="41">
        <v>0.1000470565172048</v>
      </c>
      <c r="K2912" s="9" t="s">
        <v>4069</v>
      </c>
    </row>
    <row r="2913" spans="1:11" x14ac:dyDescent="0.2">
      <c r="A2913" s="9" t="s">
        <v>36</v>
      </c>
      <c r="B2913" s="9" t="s">
        <v>4070</v>
      </c>
      <c r="C2913" s="9"/>
      <c r="D2913" s="9" t="s">
        <v>83</v>
      </c>
      <c r="E2913" s="38">
        <v>765</v>
      </c>
      <c r="F2913" s="39">
        <v>187869.47</v>
      </c>
      <c r="G2913" s="40">
        <v>245.58100653594769</v>
      </c>
      <c r="H2913" s="41">
        <v>4.6838006389385373E-2</v>
      </c>
      <c r="I2913" s="40">
        <v>38.933736862745093</v>
      </c>
      <c r="J2913" s="41">
        <v>0.15853724769649899</v>
      </c>
      <c r="K2913" s="9" t="s">
        <v>4071</v>
      </c>
    </row>
    <row r="2914" spans="1:11" x14ac:dyDescent="0.2">
      <c r="A2914" s="9" t="s">
        <v>36</v>
      </c>
      <c r="B2914" s="9" t="s">
        <v>384</v>
      </c>
      <c r="C2914" s="9"/>
      <c r="D2914" s="9" t="s">
        <v>77</v>
      </c>
      <c r="E2914" s="38">
        <v>3224</v>
      </c>
      <c r="F2914" s="39">
        <v>1045957.19</v>
      </c>
      <c r="G2914" s="40">
        <v>324.428408808933</v>
      </c>
      <c r="H2914" s="41">
        <v>-0.28992042868849272</v>
      </c>
      <c r="I2914" s="40">
        <v>64.89709354838709</v>
      </c>
      <c r="J2914" s="41">
        <v>0.20003517505338819</v>
      </c>
      <c r="K2914" s="9" t="s">
        <v>4072</v>
      </c>
    </row>
    <row r="2915" spans="1:11" x14ac:dyDescent="0.2">
      <c r="A2915" s="9" t="s">
        <v>36</v>
      </c>
      <c r="B2915" s="9" t="s">
        <v>388</v>
      </c>
      <c r="C2915" s="9"/>
      <c r="D2915" s="9" t="s">
        <v>76</v>
      </c>
      <c r="E2915" s="38">
        <v>15132</v>
      </c>
      <c r="F2915" s="39">
        <v>7671950.7300000004</v>
      </c>
      <c r="G2915" s="40">
        <v>507.00176645519429</v>
      </c>
      <c r="H2915" s="41">
        <v>-2.5452909946126621E-2</v>
      </c>
      <c r="I2915" s="40">
        <v>80.823901665344962</v>
      </c>
      <c r="J2915" s="41">
        <v>0.15941542419159929</v>
      </c>
      <c r="K2915" s="9" t="s">
        <v>4073</v>
      </c>
    </row>
    <row r="2916" spans="1:11" x14ac:dyDescent="0.2">
      <c r="A2916" s="9" t="s">
        <v>36</v>
      </c>
      <c r="B2916" s="9" t="s">
        <v>390</v>
      </c>
      <c r="C2916" s="9"/>
      <c r="D2916" s="9" t="s">
        <v>83</v>
      </c>
      <c r="E2916" s="38">
        <v>3285</v>
      </c>
      <c r="F2916" s="39">
        <v>693968</v>
      </c>
      <c r="G2916" s="40">
        <v>211.2535768645358</v>
      </c>
      <c r="H2916" s="41">
        <v>-3.6778721192167733E-2</v>
      </c>
      <c r="I2916" s="40">
        <v>19.012821826484021</v>
      </c>
      <c r="J2916" s="41">
        <v>8.9999999567703409E-2</v>
      </c>
      <c r="K2916" s="9" t="s">
        <v>4074</v>
      </c>
    </row>
    <row r="2917" spans="1:11" x14ac:dyDescent="0.2">
      <c r="A2917" s="9" t="s">
        <v>36</v>
      </c>
      <c r="B2917" s="9" t="s">
        <v>1564</v>
      </c>
      <c r="C2917" s="9"/>
      <c r="D2917" s="9" t="s">
        <v>83</v>
      </c>
      <c r="E2917" s="38">
        <v>1</v>
      </c>
      <c r="F2917" s="39">
        <v>0</v>
      </c>
      <c r="G2917" s="40"/>
      <c r="H2917" s="41"/>
      <c r="I2917" s="40">
        <v>38946.120000000003</v>
      </c>
      <c r="J2917" s="41"/>
      <c r="K2917" s="9" t="s">
        <v>4075</v>
      </c>
    </row>
    <row r="2918" spans="1:11" x14ac:dyDescent="0.2">
      <c r="A2918" s="9" t="s">
        <v>36</v>
      </c>
      <c r="B2918" s="9" t="s">
        <v>571</v>
      </c>
      <c r="C2918" s="9"/>
      <c r="D2918" s="9" t="s">
        <v>76</v>
      </c>
      <c r="E2918" s="38">
        <v>2000</v>
      </c>
      <c r="F2918" s="39">
        <v>576433.19000000006</v>
      </c>
      <c r="G2918" s="40">
        <v>288.21659499999998</v>
      </c>
      <c r="H2918" s="41">
        <v>-4.9712276367113013E-2</v>
      </c>
      <c r="I2918" s="40">
        <v>51.58032</v>
      </c>
      <c r="J2918" s="41">
        <v>0.17896374079362079</v>
      </c>
      <c r="K2918" s="9" t="s">
        <v>4076</v>
      </c>
    </row>
    <row r="2919" spans="1:11" x14ac:dyDescent="0.2">
      <c r="A2919" s="9" t="s">
        <v>36</v>
      </c>
      <c r="B2919" s="9" t="s">
        <v>392</v>
      </c>
      <c r="C2919" s="9"/>
      <c r="D2919" s="9" t="s">
        <v>76</v>
      </c>
      <c r="E2919" s="38">
        <v>6080</v>
      </c>
      <c r="F2919" s="39">
        <v>2170608.29</v>
      </c>
      <c r="G2919" s="40">
        <v>357.00794243421052</v>
      </c>
      <c r="H2919" s="41">
        <v>0.1161223996430147</v>
      </c>
      <c r="I2919" s="40">
        <v>48.35526315789474</v>
      </c>
      <c r="J2919" s="41">
        <v>0.13544590304683671</v>
      </c>
      <c r="K2919" s="9" t="s">
        <v>4077</v>
      </c>
    </row>
    <row r="2920" spans="1:11" x14ac:dyDescent="0.2">
      <c r="A2920" s="9" t="s">
        <v>36</v>
      </c>
      <c r="B2920" s="9" t="s">
        <v>396</v>
      </c>
      <c r="C2920" s="9"/>
      <c r="D2920" s="9" t="s">
        <v>78</v>
      </c>
      <c r="E2920" s="38">
        <v>1922</v>
      </c>
      <c r="F2920" s="39">
        <v>3071164.09</v>
      </c>
      <c r="G2920" s="40">
        <v>1597.900150884496</v>
      </c>
      <c r="H2920" s="41">
        <v>-0.1553959118548566</v>
      </c>
      <c r="I2920" s="40">
        <v>154.68843371488029</v>
      </c>
      <c r="J2920" s="41">
        <v>9.6807321552134978E-2</v>
      </c>
      <c r="K2920" s="9" t="s">
        <v>4078</v>
      </c>
    </row>
    <row r="2921" spans="1:11" x14ac:dyDescent="0.2">
      <c r="A2921" s="9" t="s">
        <v>36</v>
      </c>
      <c r="B2921" s="9" t="s">
        <v>398</v>
      </c>
      <c r="C2921" s="9"/>
      <c r="D2921" s="9" t="s">
        <v>76</v>
      </c>
      <c r="E2921" s="38">
        <v>2901</v>
      </c>
      <c r="F2921" s="39">
        <v>1617642.15</v>
      </c>
      <c r="G2921" s="40">
        <v>557.61535677352629</v>
      </c>
      <c r="H2921" s="41">
        <v>2.4485564774333869E-2</v>
      </c>
      <c r="I2921" s="40">
        <v>61.913831230610143</v>
      </c>
      <c r="J2921" s="41">
        <v>0.1110332247462766</v>
      </c>
      <c r="K2921" s="9" t="s">
        <v>4079</v>
      </c>
    </row>
    <row r="2922" spans="1:11" x14ac:dyDescent="0.2">
      <c r="A2922" s="9" t="s">
        <v>20</v>
      </c>
      <c r="B2922" s="9" t="s">
        <v>1739</v>
      </c>
      <c r="C2922" s="9"/>
      <c r="D2922" s="9" t="s">
        <v>77</v>
      </c>
      <c r="E2922" s="38">
        <v>1250</v>
      </c>
      <c r="F2922" s="39">
        <v>419793.39999999991</v>
      </c>
      <c r="G2922" s="40">
        <v>335.83471999999989</v>
      </c>
      <c r="H2922" s="41"/>
      <c r="I2922" s="40">
        <v>99.330502190327437</v>
      </c>
      <c r="J2922" s="41">
        <v>0.29577198626255041</v>
      </c>
      <c r="K2922" s="9" t="s">
        <v>4080</v>
      </c>
    </row>
    <row r="2923" spans="1:11" x14ac:dyDescent="0.2">
      <c r="A2923" s="9" t="s">
        <v>20</v>
      </c>
      <c r="B2923" s="9" t="s">
        <v>582</v>
      </c>
      <c r="C2923" s="9"/>
      <c r="D2923" s="9" t="s">
        <v>76</v>
      </c>
      <c r="E2923" s="38">
        <v>10000</v>
      </c>
      <c r="F2923" s="39">
        <v>4164784.120000001</v>
      </c>
      <c r="G2923" s="40">
        <v>416.47841199999999</v>
      </c>
      <c r="H2923" s="41"/>
      <c r="I2923" s="40">
        <v>40.330791949399249</v>
      </c>
      <c r="J2923" s="41">
        <v>9.6837653014771971E-2</v>
      </c>
      <c r="K2923" s="9" t="s">
        <v>4081</v>
      </c>
    </row>
    <row r="2924" spans="1:11" x14ac:dyDescent="0.2">
      <c r="A2924" s="9" t="s">
        <v>20</v>
      </c>
      <c r="B2924" s="9" t="s">
        <v>4082</v>
      </c>
      <c r="C2924" s="9"/>
      <c r="D2924" s="9" t="s">
        <v>82</v>
      </c>
      <c r="E2924" s="38">
        <v>900</v>
      </c>
      <c r="F2924" s="39">
        <v>0</v>
      </c>
      <c r="G2924" s="40"/>
      <c r="H2924" s="41"/>
      <c r="I2924" s="40">
        <v>33.333333333333343</v>
      </c>
      <c r="J2924" s="41"/>
      <c r="K2924" s="9" t="s">
        <v>4083</v>
      </c>
    </row>
    <row r="2925" spans="1:11" x14ac:dyDescent="0.2">
      <c r="A2925" s="9" t="s">
        <v>20</v>
      </c>
      <c r="B2925" s="9" t="s">
        <v>985</v>
      </c>
      <c r="C2925" s="9"/>
      <c r="D2925" s="9" t="s">
        <v>76</v>
      </c>
      <c r="E2925" s="38">
        <v>3450</v>
      </c>
      <c r="F2925" s="39">
        <v>3910177.75</v>
      </c>
      <c r="G2925" s="40">
        <v>1133.384855072464</v>
      </c>
      <c r="H2925" s="41">
        <v>-0.2380648337199035</v>
      </c>
      <c r="I2925" s="40">
        <v>80.197154712066535</v>
      </c>
      <c r="J2925" s="41">
        <v>7.0758978605673248E-2</v>
      </c>
      <c r="K2925" s="9" t="s">
        <v>4084</v>
      </c>
    </row>
    <row r="2926" spans="1:11" x14ac:dyDescent="0.2">
      <c r="A2926" s="9" t="s">
        <v>20</v>
      </c>
      <c r="B2926" s="9" t="s">
        <v>2331</v>
      </c>
      <c r="C2926" s="9"/>
      <c r="D2926" s="9" t="s">
        <v>79</v>
      </c>
      <c r="E2926" s="38">
        <v>2463</v>
      </c>
      <c r="F2926" s="39">
        <v>452360</v>
      </c>
      <c r="G2926" s="40">
        <v>183.66220056841249</v>
      </c>
      <c r="H2926" s="41">
        <v>0.41266330070311769</v>
      </c>
      <c r="I2926" s="40">
        <v>42.244560764123307</v>
      </c>
      <c r="J2926" s="41">
        <v>0.2300122759793875</v>
      </c>
      <c r="K2926" s="9" t="s">
        <v>4085</v>
      </c>
    </row>
    <row r="2927" spans="1:11" x14ac:dyDescent="0.2">
      <c r="A2927" s="9" t="s">
        <v>20</v>
      </c>
      <c r="B2927" s="9" t="s">
        <v>4086</v>
      </c>
      <c r="C2927" s="9"/>
      <c r="D2927" s="9" t="s">
        <v>76</v>
      </c>
      <c r="E2927" s="38">
        <v>8712</v>
      </c>
      <c r="F2927" s="39">
        <v>4865590.12</v>
      </c>
      <c r="G2927" s="40">
        <v>558.49289715335169</v>
      </c>
      <c r="H2927" s="41">
        <v>9.556171938234885E-2</v>
      </c>
      <c r="I2927" s="40">
        <v>38.782238573449462</v>
      </c>
      <c r="J2927" s="41">
        <v>6.9440880575425801E-2</v>
      </c>
      <c r="K2927" s="9" t="s">
        <v>4087</v>
      </c>
    </row>
    <row r="2928" spans="1:11" x14ac:dyDescent="0.2">
      <c r="A2928" s="9" t="s">
        <v>20</v>
      </c>
      <c r="B2928" s="9" t="s">
        <v>4088</v>
      </c>
      <c r="C2928" s="9"/>
      <c r="D2928" s="9" t="s">
        <v>83</v>
      </c>
      <c r="E2928" s="38">
        <v>2750</v>
      </c>
      <c r="F2928" s="39">
        <v>508483.81999999989</v>
      </c>
      <c r="G2928" s="40">
        <v>184.90320727272729</v>
      </c>
      <c r="H2928" s="41">
        <v>0.36325588797240338</v>
      </c>
      <c r="I2928" s="40">
        <v>31.852162190327391</v>
      </c>
      <c r="J2928" s="41">
        <v>0.1722639788683942</v>
      </c>
      <c r="K2928" s="9" t="s">
        <v>4089</v>
      </c>
    </row>
    <row r="2929" spans="1:11" x14ac:dyDescent="0.2">
      <c r="A2929" s="9" t="s">
        <v>20</v>
      </c>
      <c r="B2929" s="9" t="s">
        <v>586</v>
      </c>
      <c r="C2929" s="9"/>
      <c r="D2929" s="9" t="s">
        <v>83</v>
      </c>
      <c r="E2929" s="38">
        <v>9570</v>
      </c>
      <c r="F2929" s="39">
        <v>1570876.63</v>
      </c>
      <c r="G2929" s="40">
        <v>164.14593834900731</v>
      </c>
      <c r="H2929" s="41">
        <v>-0.11246823508906641</v>
      </c>
      <c r="I2929" s="40">
        <v>41.959320869789501</v>
      </c>
      <c r="J2929" s="41">
        <v>0.25562204762310681</v>
      </c>
      <c r="K2929" s="9" t="s">
        <v>4090</v>
      </c>
    </row>
    <row r="2930" spans="1:11" x14ac:dyDescent="0.2">
      <c r="A2930" s="9" t="s">
        <v>20</v>
      </c>
      <c r="B2930" s="9" t="s">
        <v>4091</v>
      </c>
      <c r="C2930" s="9"/>
      <c r="D2930" s="9" t="s">
        <v>85</v>
      </c>
      <c r="E2930" s="38">
        <v>16900</v>
      </c>
      <c r="F2930" s="39">
        <v>21002012</v>
      </c>
      <c r="G2930" s="40">
        <v>1242.7226035502961</v>
      </c>
      <c r="H2930" s="41">
        <v>-6.5939650467759167E-2</v>
      </c>
      <c r="I2930" s="40">
        <v>37.610918369335891</v>
      </c>
      <c r="J2930" s="41">
        <v>3.0264934637775499E-2</v>
      </c>
      <c r="K2930" s="9" t="s">
        <v>4092</v>
      </c>
    </row>
    <row r="2931" spans="1:11" x14ac:dyDescent="0.2">
      <c r="A2931" s="9" t="s">
        <v>20</v>
      </c>
      <c r="B2931" s="9" t="s">
        <v>4093</v>
      </c>
      <c r="C2931" s="9"/>
      <c r="D2931" s="9" t="s">
        <v>76</v>
      </c>
      <c r="E2931" s="38">
        <v>2400</v>
      </c>
      <c r="F2931" s="39">
        <v>1201664.44</v>
      </c>
      <c r="G2931" s="40">
        <v>500.69351666666671</v>
      </c>
      <c r="H2931" s="41">
        <v>-9.0250266888235273E-2</v>
      </c>
      <c r="I2931" s="40">
        <v>29.4394853169082</v>
      </c>
      <c r="J2931" s="41">
        <v>5.8797416656999259E-2</v>
      </c>
      <c r="K2931" s="9" t="s">
        <v>4094</v>
      </c>
    </row>
    <row r="2932" spans="1:11" x14ac:dyDescent="0.2">
      <c r="A2932" s="9" t="s">
        <v>20</v>
      </c>
      <c r="B2932" s="9" t="s">
        <v>4095</v>
      </c>
      <c r="C2932" s="9"/>
      <c r="D2932" s="9" t="s">
        <v>83</v>
      </c>
      <c r="E2932" s="38">
        <v>1030</v>
      </c>
      <c r="F2932" s="39">
        <v>780983.28</v>
      </c>
      <c r="G2932" s="40">
        <v>758.23619417475732</v>
      </c>
      <c r="H2932" s="41">
        <v>9.6628258553779295E-2</v>
      </c>
      <c r="I2932" s="40">
        <v>32.94629274971448</v>
      </c>
      <c r="J2932" s="41">
        <v>4.3451226679533918E-2</v>
      </c>
      <c r="K2932" s="9" t="s">
        <v>4096</v>
      </c>
    </row>
    <row r="2933" spans="1:11" x14ac:dyDescent="0.2">
      <c r="A2933" s="9" t="s">
        <v>20</v>
      </c>
      <c r="B2933" s="9" t="s">
        <v>3068</v>
      </c>
      <c r="C2933" s="9"/>
      <c r="D2933" s="9" t="s">
        <v>83</v>
      </c>
      <c r="E2933" s="38">
        <v>1800</v>
      </c>
      <c r="F2933" s="39">
        <v>522027.4</v>
      </c>
      <c r="G2933" s="40">
        <v>290.01522222222218</v>
      </c>
      <c r="H2933" s="41">
        <v>0.24938153860153661</v>
      </c>
      <c r="I2933" s="40">
        <v>52.908198190327397</v>
      </c>
      <c r="J2933" s="41">
        <v>0.18243248676714921</v>
      </c>
      <c r="K2933" s="9" t="s">
        <v>4097</v>
      </c>
    </row>
    <row r="2934" spans="1:11" x14ac:dyDescent="0.2">
      <c r="A2934" s="9" t="s">
        <v>20</v>
      </c>
      <c r="B2934" s="9" t="s">
        <v>4098</v>
      </c>
      <c r="C2934" s="9"/>
      <c r="D2934" s="9" t="s">
        <v>79</v>
      </c>
      <c r="E2934" s="38">
        <v>1685</v>
      </c>
      <c r="F2934" s="39">
        <v>0</v>
      </c>
      <c r="G2934" s="40"/>
      <c r="H2934" s="41"/>
      <c r="I2934" s="40">
        <v>61.616938537636777</v>
      </c>
      <c r="J2934" s="41"/>
      <c r="K2934" s="9" t="s">
        <v>4099</v>
      </c>
    </row>
    <row r="2935" spans="1:11" x14ac:dyDescent="0.2">
      <c r="A2935" s="9" t="s">
        <v>20</v>
      </c>
      <c r="B2935" s="9" t="s">
        <v>4100</v>
      </c>
      <c r="C2935" s="9"/>
      <c r="D2935" s="9" t="s">
        <v>81</v>
      </c>
      <c r="E2935" s="38">
        <v>1700</v>
      </c>
      <c r="F2935" s="39">
        <v>137962.65</v>
      </c>
      <c r="G2935" s="40">
        <v>81.154499999999985</v>
      </c>
      <c r="H2935" s="41">
        <v>0.52300224665706352</v>
      </c>
      <c r="I2935" s="40">
        <v>38.641450999999982</v>
      </c>
      <c r="J2935" s="41">
        <v>0.47614674478925978</v>
      </c>
      <c r="K2935" s="9" t="s">
        <v>4101</v>
      </c>
    </row>
    <row r="2936" spans="1:11" x14ac:dyDescent="0.2">
      <c r="A2936" s="9" t="s">
        <v>20</v>
      </c>
      <c r="B2936" s="9" t="s">
        <v>1215</v>
      </c>
      <c r="C2936" s="9"/>
      <c r="D2936" s="9" t="s">
        <v>81</v>
      </c>
      <c r="E2936" s="38">
        <v>3000</v>
      </c>
      <c r="F2936" s="39">
        <v>2675637.9300000002</v>
      </c>
      <c r="G2936" s="40">
        <v>891.87931000000003</v>
      </c>
      <c r="H2936" s="41">
        <v>0.78092388475261265</v>
      </c>
      <c r="I2936" s="40">
        <v>56.989207577649601</v>
      </c>
      <c r="J2936" s="41">
        <v>6.3897891719956593E-2</v>
      </c>
      <c r="K2936" s="9" t="s">
        <v>4102</v>
      </c>
    </row>
    <row r="2937" spans="1:11" x14ac:dyDescent="0.2">
      <c r="A2937" s="9" t="s">
        <v>20</v>
      </c>
      <c r="B2937" s="9" t="s">
        <v>4103</v>
      </c>
      <c r="C2937" s="9"/>
      <c r="D2937" s="9" t="s">
        <v>83</v>
      </c>
      <c r="E2937" s="38">
        <v>923</v>
      </c>
      <c r="F2937" s="39">
        <v>0</v>
      </c>
      <c r="G2937" s="40"/>
      <c r="H2937" s="41"/>
      <c r="I2937" s="40">
        <v>47.380807760340183</v>
      </c>
      <c r="J2937" s="41"/>
      <c r="K2937" s="9" t="s">
        <v>4104</v>
      </c>
    </row>
    <row r="2938" spans="1:11" x14ac:dyDescent="0.2">
      <c r="A2938" s="9" t="s">
        <v>20</v>
      </c>
      <c r="B2938" s="9" t="s">
        <v>4105</v>
      </c>
      <c r="C2938" s="9"/>
      <c r="D2938" s="9" t="s">
        <v>76</v>
      </c>
      <c r="E2938" s="38">
        <v>6476</v>
      </c>
      <c r="F2938" s="39">
        <v>1496716.79</v>
      </c>
      <c r="G2938" s="40">
        <v>231.11747838171709</v>
      </c>
      <c r="H2938" s="41"/>
      <c r="I2938" s="40">
        <v>21.578364000000001</v>
      </c>
      <c r="J2938" s="41">
        <v>9.3365348874051166E-2</v>
      </c>
      <c r="K2938" s="9" t="s">
        <v>4106</v>
      </c>
    </row>
    <row r="2939" spans="1:11" x14ac:dyDescent="0.2">
      <c r="A2939" s="9" t="s">
        <v>20</v>
      </c>
      <c r="B2939" s="9" t="s">
        <v>4107</v>
      </c>
      <c r="C2939" s="9"/>
      <c r="D2939" s="9" t="s">
        <v>79</v>
      </c>
      <c r="E2939" s="38">
        <v>1326</v>
      </c>
      <c r="F2939" s="39">
        <v>1371165.11</v>
      </c>
      <c r="G2939" s="40">
        <v>1034.06116892911</v>
      </c>
      <c r="H2939" s="41">
        <v>0.32824100312711058</v>
      </c>
      <c r="I2939" s="40">
        <v>74.08303087724552</v>
      </c>
      <c r="J2939" s="41">
        <v>7.1642793582479325E-2</v>
      </c>
      <c r="K2939" s="9" t="s">
        <v>4108</v>
      </c>
    </row>
    <row r="2940" spans="1:11" x14ac:dyDescent="0.2">
      <c r="A2940" s="9" t="s">
        <v>20</v>
      </c>
      <c r="B2940" s="9" t="s">
        <v>2942</v>
      </c>
      <c r="C2940" s="9"/>
      <c r="D2940" s="9" t="s">
        <v>83</v>
      </c>
      <c r="E2940" s="38">
        <v>2750</v>
      </c>
      <c r="F2940" s="39">
        <v>0</v>
      </c>
      <c r="G2940" s="40"/>
      <c r="H2940" s="41"/>
      <c r="I2940" s="40">
        <v>35.514750190327419</v>
      </c>
      <c r="J2940" s="41"/>
      <c r="K2940" s="9" t="s">
        <v>4109</v>
      </c>
    </row>
    <row r="2941" spans="1:11" x14ac:dyDescent="0.2">
      <c r="A2941" s="9" t="s">
        <v>20</v>
      </c>
      <c r="B2941" s="9" t="s">
        <v>2945</v>
      </c>
      <c r="C2941" s="9"/>
      <c r="D2941" s="9" t="s">
        <v>83</v>
      </c>
      <c r="E2941" s="38">
        <v>1505</v>
      </c>
      <c r="F2941" s="39">
        <v>1007469.74</v>
      </c>
      <c r="G2941" s="40">
        <v>669.41510963455141</v>
      </c>
      <c r="H2941" s="41">
        <v>-7.4428389752163759E-2</v>
      </c>
      <c r="I2941" s="40">
        <v>56.10641489212329</v>
      </c>
      <c r="J2941" s="41">
        <v>8.3814084989436571E-2</v>
      </c>
      <c r="K2941" s="9" t="s">
        <v>4110</v>
      </c>
    </row>
    <row r="2942" spans="1:11" x14ac:dyDescent="0.2">
      <c r="A2942" s="9" t="s">
        <v>20</v>
      </c>
      <c r="B2942" s="9" t="s">
        <v>4111</v>
      </c>
      <c r="C2942" s="9"/>
      <c r="D2942" s="9" t="s">
        <v>80</v>
      </c>
      <c r="E2942" s="38">
        <v>2078</v>
      </c>
      <c r="F2942" s="39">
        <v>1215165.97</v>
      </c>
      <c r="G2942" s="40">
        <v>584.77669393647727</v>
      </c>
      <c r="H2942" s="41">
        <v>-0.3501974214605158</v>
      </c>
      <c r="I2942" s="40">
        <v>64.164725008856763</v>
      </c>
      <c r="J2942" s="41">
        <v>0.10972517488158789</v>
      </c>
      <c r="K2942" s="9" t="s">
        <v>4112</v>
      </c>
    </row>
    <row r="2943" spans="1:11" x14ac:dyDescent="0.2">
      <c r="A2943" s="9" t="s">
        <v>20</v>
      </c>
      <c r="B2943" s="9" t="s">
        <v>770</v>
      </c>
      <c r="C2943" s="9"/>
      <c r="D2943" s="9" t="s">
        <v>83</v>
      </c>
      <c r="E2943" s="38">
        <v>1500</v>
      </c>
      <c r="F2943" s="39">
        <v>834008.56</v>
      </c>
      <c r="G2943" s="40">
        <v>556.0057066666667</v>
      </c>
      <c r="H2943" s="41">
        <v>0.55856422080447665</v>
      </c>
      <c r="I2943" s="40">
        <v>48.51436676034016</v>
      </c>
      <c r="J2943" s="41">
        <v>8.7255159755806624E-2</v>
      </c>
      <c r="K2943" s="9" t="s">
        <v>4113</v>
      </c>
    </row>
    <row r="2944" spans="1:11" x14ac:dyDescent="0.2">
      <c r="A2944" s="9" t="s">
        <v>20</v>
      </c>
      <c r="B2944" s="9" t="s">
        <v>1231</v>
      </c>
      <c r="C2944" s="9"/>
      <c r="D2944" s="9" t="s">
        <v>76</v>
      </c>
      <c r="E2944" s="38">
        <v>2308</v>
      </c>
      <c r="F2944" s="39">
        <v>1994944.33</v>
      </c>
      <c r="G2944" s="40">
        <v>864.36062824956673</v>
      </c>
      <c r="H2944" s="41">
        <v>6.0422079643981483E-2</v>
      </c>
      <c r="I2944" s="40">
        <v>54.896997181661881</v>
      </c>
      <c r="J2944" s="41">
        <v>6.3511681799800213E-2</v>
      </c>
      <c r="K2944" s="9" t="s">
        <v>4114</v>
      </c>
    </row>
    <row r="2945" spans="1:11" x14ac:dyDescent="0.2">
      <c r="A2945" s="9" t="s">
        <v>20</v>
      </c>
      <c r="B2945" s="9" t="s">
        <v>4115</v>
      </c>
      <c r="C2945" s="9"/>
      <c r="D2945" s="9" t="s">
        <v>76</v>
      </c>
      <c r="E2945" s="38">
        <v>1250</v>
      </c>
      <c r="F2945" s="39">
        <v>0</v>
      </c>
      <c r="G2945" s="40"/>
      <c r="H2945" s="41"/>
      <c r="I2945" s="40">
        <v>80.790518190327461</v>
      </c>
      <c r="J2945" s="41"/>
      <c r="K2945" s="9" t="s">
        <v>4116</v>
      </c>
    </row>
    <row r="2946" spans="1:11" x14ac:dyDescent="0.2">
      <c r="A2946" s="9" t="s">
        <v>20</v>
      </c>
      <c r="B2946" s="9" t="s">
        <v>1236</v>
      </c>
      <c r="C2946" s="9"/>
      <c r="D2946" s="9" t="s">
        <v>76</v>
      </c>
      <c r="E2946" s="38">
        <v>2207</v>
      </c>
      <c r="F2946" s="39">
        <v>966884.24</v>
      </c>
      <c r="G2946" s="40">
        <v>438.09888536474853</v>
      </c>
      <c r="H2946" s="41">
        <v>1.327415015773213E-2</v>
      </c>
      <c r="I2946" s="40">
        <v>108.7990267641233</v>
      </c>
      <c r="J2946" s="41">
        <v>0.24834353703853951</v>
      </c>
      <c r="K2946" s="9" t="s">
        <v>4117</v>
      </c>
    </row>
    <row r="2947" spans="1:11" x14ac:dyDescent="0.2">
      <c r="A2947" s="9" t="s">
        <v>20</v>
      </c>
      <c r="B2947" s="9" t="s">
        <v>3091</v>
      </c>
      <c r="C2947" s="9"/>
      <c r="D2947" s="9" t="s">
        <v>83</v>
      </c>
      <c r="E2947" s="38">
        <v>5261</v>
      </c>
      <c r="F2947" s="39">
        <v>0</v>
      </c>
      <c r="G2947" s="40"/>
      <c r="H2947" s="41"/>
      <c r="I2947" s="40">
        <v>54.203050008856877</v>
      </c>
      <c r="J2947" s="41"/>
      <c r="K2947" s="9" t="s">
        <v>4118</v>
      </c>
    </row>
    <row r="2948" spans="1:11" x14ac:dyDescent="0.2">
      <c r="A2948" s="9" t="s">
        <v>20</v>
      </c>
      <c r="B2948" s="9" t="s">
        <v>4119</v>
      </c>
      <c r="C2948" s="9"/>
      <c r="D2948" s="9" t="s">
        <v>83</v>
      </c>
      <c r="E2948" s="38">
        <v>1268</v>
      </c>
      <c r="F2948" s="39">
        <v>0</v>
      </c>
      <c r="G2948" s="40"/>
      <c r="H2948" s="41"/>
      <c r="I2948" s="40">
        <v>52.050473186119874</v>
      </c>
      <c r="J2948" s="41"/>
      <c r="K2948" s="9" t="s">
        <v>4120</v>
      </c>
    </row>
    <row r="2949" spans="1:11" x14ac:dyDescent="0.2">
      <c r="A2949" s="9" t="s">
        <v>20</v>
      </c>
      <c r="B2949" s="9" t="s">
        <v>4121</v>
      </c>
      <c r="C2949" s="9"/>
      <c r="D2949" s="9" t="s">
        <v>81</v>
      </c>
      <c r="E2949" s="38">
        <v>3543</v>
      </c>
      <c r="F2949" s="39">
        <v>4594763.29</v>
      </c>
      <c r="G2949" s="40">
        <v>1296.856700536269</v>
      </c>
      <c r="H2949" s="41">
        <v>1.2685433049909789E-2</v>
      </c>
      <c r="I2949" s="40">
        <v>76.928839071828818</v>
      </c>
      <c r="J2949" s="41">
        <v>5.931945992183843E-2</v>
      </c>
      <c r="K2949" s="9" t="s">
        <v>4122</v>
      </c>
    </row>
    <row r="2950" spans="1:11" x14ac:dyDescent="0.2">
      <c r="A2950" s="9" t="s">
        <v>20</v>
      </c>
      <c r="B2950" s="9" t="s">
        <v>4123</v>
      </c>
      <c r="C2950" s="9"/>
      <c r="D2950" s="9" t="s">
        <v>83</v>
      </c>
      <c r="E2950" s="38">
        <v>2197</v>
      </c>
      <c r="F2950" s="39">
        <v>1272584.3500000001</v>
      </c>
      <c r="G2950" s="40">
        <v>579.23730086481567</v>
      </c>
      <c r="H2950" s="41">
        <v>0.18956662483944101</v>
      </c>
      <c r="I2950" s="40">
        <v>29.690263002244539</v>
      </c>
      <c r="J2950" s="41">
        <v>5.1257512176643732E-2</v>
      </c>
      <c r="K2950" s="9" t="s">
        <v>4124</v>
      </c>
    </row>
    <row r="2951" spans="1:11" x14ac:dyDescent="0.2">
      <c r="A2951" s="9" t="s">
        <v>20</v>
      </c>
      <c r="B2951" s="9" t="s">
        <v>2955</v>
      </c>
      <c r="C2951" s="9"/>
      <c r="D2951" s="9" t="s">
        <v>78</v>
      </c>
      <c r="E2951" s="38">
        <v>1343</v>
      </c>
      <c r="F2951" s="39">
        <v>896785.85454545461</v>
      </c>
      <c r="G2951" s="40">
        <v>667.74821634062141</v>
      </c>
      <c r="H2951" s="41"/>
      <c r="I2951" s="40">
        <v>89.160502190327364</v>
      </c>
      <c r="J2951" s="41">
        <v>0.1335241338104094</v>
      </c>
      <c r="K2951" s="9" t="s">
        <v>4125</v>
      </c>
    </row>
    <row r="2952" spans="1:11" x14ac:dyDescent="0.2">
      <c r="A2952" s="9" t="s">
        <v>20</v>
      </c>
      <c r="B2952" s="9" t="s">
        <v>4126</v>
      </c>
      <c r="C2952" s="9"/>
      <c r="D2952" s="9" t="s">
        <v>80</v>
      </c>
      <c r="E2952" s="38">
        <v>1232</v>
      </c>
      <c r="F2952" s="39">
        <v>406026.13000000012</v>
      </c>
      <c r="G2952" s="40">
        <v>329.56666396103901</v>
      </c>
      <c r="H2952" s="41">
        <v>2.1905693128998371E-2</v>
      </c>
      <c r="I2952" s="40">
        <v>32.591092618638598</v>
      </c>
      <c r="J2952" s="41">
        <v>9.8890744066552433E-2</v>
      </c>
      <c r="K2952" s="9" t="s">
        <v>4127</v>
      </c>
    </row>
    <row r="2953" spans="1:11" x14ac:dyDescent="0.2">
      <c r="A2953" s="9" t="s">
        <v>20</v>
      </c>
      <c r="B2953" s="9" t="s">
        <v>4128</v>
      </c>
      <c r="C2953" s="9"/>
      <c r="D2953" s="9" t="s">
        <v>76</v>
      </c>
      <c r="E2953" s="38">
        <v>1500</v>
      </c>
      <c r="F2953" s="39">
        <v>1301436.49</v>
      </c>
      <c r="G2953" s="40">
        <v>867.62432666666666</v>
      </c>
      <c r="H2953" s="41">
        <v>-8.7582558843788794E-2</v>
      </c>
      <c r="I2953" s="40">
        <v>39.896674760340161</v>
      </c>
      <c r="J2953" s="41">
        <v>4.5983812963865979E-2</v>
      </c>
      <c r="K2953" s="9" t="s">
        <v>4129</v>
      </c>
    </row>
    <row r="2954" spans="1:11" x14ac:dyDescent="0.2">
      <c r="A2954" s="9" t="s">
        <v>20</v>
      </c>
      <c r="B2954" s="9" t="s">
        <v>4130</v>
      </c>
      <c r="C2954" s="9"/>
      <c r="D2954" s="9" t="s">
        <v>83</v>
      </c>
      <c r="E2954" s="38">
        <v>3240</v>
      </c>
      <c r="F2954" s="39">
        <v>3106844.2</v>
      </c>
      <c r="G2954" s="40">
        <v>958.90253086419739</v>
      </c>
      <c r="H2954" s="41">
        <v>0.2365251243606481</v>
      </c>
      <c r="I2954" s="40">
        <v>42.855030661574723</v>
      </c>
      <c r="J2954" s="41">
        <v>4.4691748412586017E-2</v>
      </c>
      <c r="K2954" s="9" t="s">
        <v>4131</v>
      </c>
    </row>
    <row r="2955" spans="1:11" x14ac:dyDescent="0.2">
      <c r="A2955" s="9" t="s">
        <v>20</v>
      </c>
      <c r="B2955" s="9" t="s">
        <v>4132</v>
      </c>
      <c r="C2955" s="9"/>
      <c r="D2955" s="9" t="s">
        <v>81</v>
      </c>
      <c r="E2955" s="38">
        <v>3413</v>
      </c>
      <c r="F2955" s="39">
        <v>2003358.67</v>
      </c>
      <c r="G2955" s="40">
        <v>586.9788075007325</v>
      </c>
      <c r="H2955" s="41"/>
      <c r="I2955" s="40">
        <v>36.843480882686102</v>
      </c>
      <c r="J2955" s="41">
        <v>6.2767991641061296E-2</v>
      </c>
      <c r="K2955" s="9" t="s">
        <v>4133</v>
      </c>
    </row>
    <row r="2956" spans="1:11" x14ac:dyDescent="0.2">
      <c r="A2956" s="9" t="s">
        <v>20</v>
      </c>
      <c r="B2956" s="9" t="s">
        <v>4134</v>
      </c>
      <c r="C2956" s="9"/>
      <c r="D2956" s="9" t="s">
        <v>76</v>
      </c>
      <c r="E2956" s="38">
        <v>1500</v>
      </c>
      <c r="F2956" s="39">
        <v>2003358.67</v>
      </c>
      <c r="G2956" s="40">
        <v>1335.572446666667</v>
      </c>
      <c r="H2956" s="41"/>
      <c r="I2956" s="40">
        <v>94.729616337636799</v>
      </c>
      <c r="J2956" s="41">
        <v>7.092810021205799E-2</v>
      </c>
      <c r="K2956" s="9" t="s">
        <v>4135</v>
      </c>
    </row>
    <row r="2957" spans="1:11" x14ac:dyDescent="0.2">
      <c r="A2957" s="9" t="s">
        <v>20</v>
      </c>
      <c r="B2957" s="9" t="s">
        <v>4136</v>
      </c>
      <c r="C2957" s="9"/>
      <c r="D2957" s="9" t="s">
        <v>76</v>
      </c>
      <c r="E2957" s="38">
        <v>1502</v>
      </c>
      <c r="F2957" s="39">
        <v>1228442.8999999999</v>
      </c>
      <c r="G2957" s="40">
        <v>817.87143808255655</v>
      </c>
      <c r="H2957" s="41">
        <v>0.75280876049860812</v>
      </c>
      <c r="I2957" s="40">
        <v>74.152572764123249</v>
      </c>
      <c r="J2957" s="41">
        <v>9.0665316468281215E-2</v>
      </c>
      <c r="K2957" s="9" t="s">
        <v>4137</v>
      </c>
    </row>
    <row r="2958" spans="1:11" x14ac:dyDescent="0.2">
      <c r="A2958" s="9" t="s">
        <v>20</v>
      </c>
      <c r="B2958" s="9" t="s">
        <v>597</v>
      </c>
      <c r="C2958" s="9"/>
      <c r="D2958" s="9" t="s">
        <v>78</v>
      </c>
      <c r="E2958" s="38">
        <v>2000</v>
      </c>
      <c r="F2958" s="39">
        <v>2641680.2400000002</v>
      </c>
      <c r="G2958" s="40">
        <v>1320.8401200000001</v>
      </c>
      <c r="H2958" s="41">
        <v>-7.8931781311179408E-2</v>
      </c>
      <c r="I2958" s="40">
        <v>113.7099175247925</v>
      </c>
      <c r="J2958" s="41">
        <v>8.6089085123180933E-2</v>
      </c>
      <c r="K2958" s="9" t="s">
        <v>4138</v>
      </c>
    </row>
    <row r="2959" spans="1:11" x14ac:dyDescent="0.2">
      <c r="A2959" s="9" t="s">
        <v>20</v>
      </c>
      <c r="B2959" s="9" t="s">
        <v>2970</v>
      </c>
      <c r="C2959" s="9"/>
      <c r="D2959" s="9" t="s">
        <v>83</v>
      </c>
      <c r="E2959" s="38">
        <v>1250</v>
      </c>
      <c r="F2959" s="39">
        <v>959564.23</v>
      </c>
      <c r="G2959" s="40">
        <v>767.65138400000001</v>
      </c>
      <c r="H2959" s="41">
        <v>0.15649875428592189</v>
      </c>
      <c r="I2959" s="40">
        <v>78.597804190327395</v>
      </c>
      <c r="J2959" s="41">
        <v>0.10238736727181801</v>
      </c>
      <c r="K2959" s="9" t="s">
        <v>4139</v>
      </c>
    </row>
    <row r="2960" spans="1:11" x14ac:dyDescent="0.2">
      <c r="A2960" s="9" t="s">
        <v>20</v>
      </c>
      <c r="B2960" s="9" t="s">
        <v>494</v>
      </c>
      <c r="C2960" s="9"/>
      <c r="D2960" s="9" t="s">
        <v>85</v>
      </c>
      <c r="E2960" s="38">
        <v>1250</v>
      </c>
      <c r="F2960" s="39">
        <v>3189159.0099999988</v>
      </c>
      <c r="G2960" s="40">
        <v>2551.3272079999988</v>
      </c>
      <c r="H2960" s="41">
        <v>5.9693845366761901E-2</v>
      </c>
      <c r="I2960" s="40">
        <v>145.03941732479231</v>
      </c>
      <c r="J2960" s="41">
        <v>5.68486146622054E-2</v>
      </c>
      <c r="K2960" s="9" t="s">
        <v>4140</v>
      </c>
    </row>
    <row r="2961" spans="1:11" x14ac:dyDescent="0.2">
      <c r="A2961" s="9" t="s">
        <v>20</v>
      </c>
      <c r="B2961" s="9" t="s">
        <v>285</v>
      </c>
      <c r="C2961" s="9"/>
      <c r="D2961" s="9" t="s">
        <v>76</v>
      </c>
      <c r="E2961" s="38">
        <v>8201</v>
      </c>
      <c r="F2961" s="39">
        <v>14805817.4</v>
      </c>
      <c r="G2961" s="40">
        <v>1805.3673210584079</v>
      </c>
      <c r="H2961" s="41">
        <v>5.9794200601215902E-2</v>
      </c>
      <c r="I2961" s="40">
        <v>67.268205855697488</v>
      </c>
      <c r="J2961" s="41">
        <v>3.7260121566984543E-2</v>
      </c>
      <c r="K2961" s="9" t="s">
        <v>4141</v>
      </c>
    </row>
    <row r="2962" spans="1:11" x14ac:dyDescent="0.2">
      <c r="A2962" s="9" t="s">
        <v>20</v>
      </c>
      <c r="B2962" s="9" t="s">
        <v>4142</v>
      </c>
      <c r="C2962" s="9"/>
      <c r="D2962" s="9" t="s">
        <v>83</v>
      </c>
      <c r="E2962" s="38">
        <v>2500</v>
      </c>
      <c r="F2962" s="39">
        <v>0</v>
      </c>
      <c r="G2962" s="40"/>
      <c r="H2962" s="41"/>
      <c r="I2962" s="40">
        <v>56.931277464339587</v>
      </c>
      <c r="J2962" s="41"/>
      <c r="K2962" s="9" t="s">
        <v>4143</v>
      </c>
    </row>
    <row r="2963" spans="1:11" x14ac:dyDescent="0.2">
      <c r="A2963" s="9" t="s">
        <v>20</v>
      </c>
      <c r="B2963" s="9" t="s">
        <v>4144</v>
      </c>
      <c r="C2963" s="9"/>
      <c r="D2963" s="9" t="s">
        <v>76</v>
      </c>
      <c r="E2963" s="38">
        <v>810</v>
      </c>
      <c r="F2963" s="39">
        <v>0</v>
      </c>
      <c r="G2963" s="40"/>
      <c r="H2963" s="41"/>
      <c r="I2963" s="40">
        <v>19.25925925925926</v>
      </c>
      <c r="J2963" s="41"/>
      <c r="K2963" s="9" t="s">
        <v>4145</v>
      </c>
    </row>
    <row r="2964" spans="1:11" x14ac:dyDescent="0.2">
      <c r="A2964" s="9" t="s">
        <v>20</v>
      </c>
      <c r="B2964" s="9" t="s">
        <v>2978</v>
      </c>
      <c r="C2964" s="9"/>
      <c r="D2964" s="9" t="s">
        <v>76</v>
      </c>
      <c r="E2964" s="38">
        <v>1675</v>
      </c>
      <c r="F2964" s="39">
        <v>994618.69</v>
      </c>
      <c r="G2964" s="40">
        <v>593.80220298507459</v>
      </c>
      <c r="H2964" s="41">
        <v>0.12936054367446559</v>
      </c>
      <c r="I2964" s="40">
        <v>71.335714612402882</v>
      </c>
      <c r="J2964" s="41">
        <v>0.12013379919069769</v>
      </c>
      <c r="K2964" s="9" t="s">
        <v>4146</v>
      </c>
    </row>
    <row r="2965" spans="1:11" x14ac:dyDescent="0.2">
      <c r="A2965" s="9" t="s">
        <v>20</v>
      </c>
      <c r="B2965" s="9" t="s">
        <v>4147</v>
      </c>
      <c r="C2965" s="9"/>
      <c r="D2965" s="9" t="s">
        <v>78</v>
      </c>
      <c r="E2965" s="38">
        <v>7890</v>
      </c>
      <c r="F2965" s="39">
        <v>9346115.9900000002</v>
      </c>
      <c r="G2965" s="40">
        <v>1184.5520899873261</v>
      </c>
      <c r="H2965" s="41"/>
      <c r="I2965" s="40">
        <v>42.198432608248879</v>
      </c>
      <c r="J2965" s="41">
        <v>3.5623956907374493E-2</v>
      </c>
      <c r="K2965" s="9" t="s">
        <v>4148</v>
      </c>
    </row>
    <row r="2966" spans="1:11" x14ac:dyDescent="0.2">
      <c r="A2966" s="9" t="s">
        <v>20</v>
      </c>
      <c r="B2966" s="9" t="s">
        <v>3137</v>
      </c>
      <c r="C2966" s="9"/>
      <c r="D2966" s="9" t="s">
        <v>80</v>
      </c>
      <c r="E2966" s="38">
        <v>2400</v>
      </c>
      <c r="F2966" s="39">
        <v>0</v>
      </c>
      <c r="G2966" s="40"/>
      <c r="H2966" s="41"/>
      <c r="I2966" s="40">
        <v>46.235305537636798</v>
      </c>
      <c r="J2966" s="41"/>
      <c r="K2966" s="9" t="s">
        <v>4149</v>
      </c>
    </row>
    <row r="2967" spans="1:11" x14ac:dyDescent="0.2">
      <c r="A2967" s="9" t="s">
        <v>20</v>
      </c>
      <c r="B2967" s="9" t="s">
        <v>4150</v>
      </c>
      <c r="C2967" s="9"/>
      <c r="D2967" s="9" t="s">
        <v>83</v>
      </c>
      <c r="E2967" s="38">
        <v>2700</v>
      </c>
      <c r="F2967" s="39">
        <v>0</v>
      </c>
      <c r="G2967" s="40"/>
      <c r="H2967" s="41"/>
      <c r="I2967" s="40">
        <v>37.871795039457638</v>
      </c>
      <c r="J2967" s="41"/>
      <c r="K2967" s="9" t="s">
        <v>4151</v>
      </c>
    </row>
    <row r="2968" spans="1:11" x14ac:dyDescent="0.2">
      <c r="A2968" s="9" t="s">
        <v>20</v>
      </c>
      <c r="B2968" s="9" t="s">
        <v>4152</v>
      </c>
      <c r="C2968" s="9"/>
      <c r="D2968" s="9" t="s">
        <v>80</v>
      </c>
      <c r="E2968" s="38">
        <v>1608</v>
      </c>
      <c r="F2968" s="39">
        <v>1015715.07</v>
      </c>
      <c r="G2968" s="40">
        <v>631.66360074626868</v>
      </c>
      <c r="H2968" s="41">
        <v>7.2543127856758705E-2</v>
      </c>
      <c r="I2968" s="40">
        <v>48.568729254054702</v>
      </c>
      <c r="J2968" s="41">
        <v>7.6890182047333361E-2</v>
      </c>
      <c r="K2968" s="9" t="s">
        <v>4153</v>
      </c>
    </row>
    <row r="2969" spans="1:11" x14ac:dyDescent="0.2">
      <c r="A2969" s="9" t="s">
        <v>20</v>
      </c>
      <c r="B2969" s="9" t="s">
        <v>4154</v>
      </c>
      <c r="C2969" s="9"/>
      <c r="D2969" s="9" t="s">
        <v>83</v>
      </c>
      <c r="E2969" s="38">
        <v>3711</v>
      </c>
      <c r="F2969" s="39">
        <v>0</v>
      </c>
      <c r="G2969" s="40"/>
      <c r="H2969" s="41"/>
      <c r="I2969" s="40">
        <v>18.018593371059008</v>
      </c>
      <c r="J2969" s="41"/>
      <c r="K2969" s="9" t="s">
        <v>4155</v>
      </c>
    </row>
    <row r="2970" spans="1:11" x14ac:dyDescent="0.2">
      <c r="A2970" s="9" t="s">
        <v>20</v>
      </c>
      <c r="B2970" s="9" t="s">
        <v>4156</v>
      </c>
      <c r="C2970" s="9"/>
      <c r="D2970" s="9" t="s">
        <v>79</v>
      </c>
      <c r="E2970" s="38">
        <v>1800</v>
      </c>
      <c r="F2970" s="39">
        <v>0</v>
      </c>
      <c r="G2970" s="40"/>
      <c r="H2970" s="41"/>
      <c r="I2970" s="40">
        <v>54.015225537636809</v>
      </c>
      <c r="J2970" s="41"/>
      <c r="K2970" s="9" t="s">
        <v>4157</v>
      </c>
    </row>
    <row r="2971" spans="1:11" x14ac:dyDescent="0.2">
      <c r="A2971" s="9" t="s">
        <v>20</v>
      </c>
      <c r="B2971" s="9" t="s">
        <v>4158</v>
      </c>
      <c r="C2971" s="9"/>
      <c r="D2971" s="9" t="s">
        <v>83</v>
      </c>
      <c r="E2971" s="38">
        <v>3482</v>
      </c>
      <c r="F2971" s="39">
        <v>0</v>
      </c>
      <c r="G2971" s="40"/>
      <c r="H2971" s="41"/>
      <c r="I2971" s="40">
        <v>34.415225537636793</v>
      </c>
      <c r="J2971" s="41"/>
      <c r="K2971" s="9" t="s">
        <v>4159</v>
      </c>
    </row>
    <row r="2972" spans="1:11" x14ac:dyDescent="0.2">
      <c r="A2972" s="9" t="s">
        <v>20</v>
      </c>
      <c r="B2972" s="9" t="s">
        <v>817</v>
      </c>
      <c r="C2972" s="9"/>
      <c r="D2972" s="9" t="s">
        <v>83</v>
      </c>
      <c r="E2972" s="38">
        <v>1794</v>
      </c>
      <c r="F2972" s="39">
        <v>0</v>
      </c>
      <c r="G2972" s="40"/>
      <c r="H2972" s="41">
        <v>-0.25563542716952681</v>
      </c>
      <c r="I2972" s="40">
        <v>38.2440673169082</v>
      </c>
      <c r="J2972" s="41"/>
      <c r="K2972" s="9" t="s">
        <v>4160</v>
      </c>
    </row>
    <row r="2973" spans="1:11" x14ac:dyDescent="0.2">
      <c r="A2973" s="9" t="s">
        <v>20</v>
      </c>
      <c r="B2973" s="9" t="s">
        <v>4161</v>
      </c>
      <c r="C2973" s="9"/>
      <c r="D2973" s="9" t="s">
        <v>77</v>
      </c>
      <c r="E2973" s="38">
        <v>5500</v>
      </c>
      <c r="F2973" s="39">
        <v>4280379.4000000004</v>
      </c>
      <c r="G2973" s="40">
        <v>778.25080000000003</v>
      </c>
      <c r="H2973" s="41">
        <v>1.065470110507398E-2</v>
      </c>
      <c r="I2973" s="40">
        <v>31.711825618638681</v>
      </c>
      <c r="J2973" s="41">
        <v>4.0747565718710063E-2</v>
      </c>
      <c r="K2973" s="9" t="s">
        <v>4162</v>
      </c>
    </row>
    <row r="2974" spans="1:11" x14ac:dyDescent="0.2">
      <c r="A2974" s="9" t="s">
        <v>20</v>
      </c>
      <c r="B2974" s="9" t="s">
        <v>4163</v>
      </c>
      <c r="C2974" s="9"/>
      <c r="D2974" s="9" t="s">
        <v>81</v>
      </c>
      <c r="E2974" s="38">
        <v>5358</v>
      </c>
      <c r="F2974" s="39">
        <v>2775670.75</v>
      </c>
      <c r="G2974" s="40">
        <v>518.04231989548339</v>
      </c>
      <c r="H2974" s="41">
        <v>-6.0393598589369157E-2</v>
      </c>
      <c r="I2974" s="40">
        <v>33.98242408920202</v>
      </c>
      <c r="J2974" s="41">
        <v>6.5597776058253454E-2</v>
      </c>
      <c r="K2974" s="9" t="s">
        <v>4164</v>
      </c>
    </row>
    <row r="2975" spans="1:11" x14ac:dyDescent="0.2">
      <c r="A2975" s="9" t="s">
        <v>20</v>
      </c>
      <c r="B2975" s="9" t="s">
        <v>4165</v>
      </c>
      <c r="C2975" s="9"/>
      <c r="D2975" s="9" t="s">
        <v>83</v>
      </c>
      <c r="E2975" s="38">
        <v>2539</v>
      </c>
      <c r="F2975" s="39">
        <v>667311.23</v>
      </c>
      <c r="G2975" s="40">
        <v>262.82443087829847</v>
      </c>
      <c r="H2975" s="41">
        <v>-0.41516377027771012</v>
      </c>
      <c r="I2975" s="40">
        <v>54.050983190327408</v>
      </c>
      <c r="J2975" s="41">
        <v>0.2056543336161768</v>
      </c>
      <c r="K2975" s="9" t="s">
        <v>4166</v>
      </c>
    </row>
    <row r="2976" spans="1:11" x14ac:dyDescent="0.2">
      <c r="A2976" s="9" t="s">
        <v>20</v>
      </c>
      <c r="B2976" s="9" t="s">
        <v>4167</v>
      </c>
      <c r="C2976" s="9"/>
      <c r="D2976" s="9" t="s">
        <v>78</v>
      </c>
      <c r="E2976" s="38">
        <v>1282</v>
      </c>
      <c r="F2976" s="39">
        <v>392686.32</v>
      </c>
      <c r="G2976" s="40">
        <v>306.30758190327612</v>
      </c>
      <c r="H2976" s="41">
        <v>5.9257672622800177E-2</v>
      </c>
      <c r="I2976" s="40">
        <v>55.800312760340127</v>
      </c>
      <c r="J2976" s="41">
        <v>0.182170850664612</v>
      </c>
      <c r="K2976" s="9" t="s">
        <v>4168</v>
      </c>
    </row>
    <row r="2977" spans="1:11" x14ac:dyDescent="0.2">
      <c r="A2977" s="9" t="s">
        <v>20</v>
      </c>
      <c r="B2977" s="9" t="s">
        <v>611</v>
      </c>
      <c r="C2977" s="9"/>
      <c r="D2977" s="9" t="s">
        <v>78</v>
      </c>
      <c r="E2977" s="38">
        <v>1000</v>
      </c>
      <c r="F2977" s="39">
        <v>1221201.5</v>
      </c>
      <c r="G2977" s="40">
        <v>1221.2014999999999</v>
      </c>
      <c r="H2977" s="41"/>
      <c r="I2977" s="40">
        <v>86.322704790327407</v>
      </c>
      <c r="J2977" s="41">
        <v>7.0686700589810456E-2</v>
      </c>
      <c r="K2977" s="9" t="s">
        <v>4169</v>
      </c>
    </row>
    <row r="2978" spans="1:11" x14ac:dyDescent="0.2">
      <c r="A2978" s="9" t="s">
        <v>20</v>
      </c>
      <c r="B2978" s="9" t="s">
        <v>4170</v>
      </c>
      <c r="C2978" s="9"/>
      <c r="D2978" s="9" t="s">
        <v>80</v>
      </c>
      <c r="E2978" s="38">
        <v>889</v>
      </c>
      <c r="F2978" s="39">
        <v>294068.40999999997</v>
      </c>
      <c r="G2978" s="40">
        <v>330.78561304836899</v>
      </c>
      <c r="H2978" s="41">
        <v>0.37616824547621769</v>
      </c>
      <c r="I2978" s="40">
        <v>53.584136097598211</v>
      </c>
      <c r="J2978" s="41">
        <v>0.16199052795492311</v>
      </c>
      <c r="K2978" s="9" t="s">
        <v>4171</v>
      </c>
    </row>
    <row r="2979" spans="1:11" x14ac:dyDescent="0.2">
      <c r="A2979" s="9" t="s">
        <v>20</v>
      </c>
      <c r="B2979" s="9" t="s">
        <v>4172</v>
      </c>
      <c r="C2979" s="9"/>
      <c r="D2979" s="9" t="s">
        <v>83</v>
      </c>
      <c r="E2979" s="38">
        <v>2390</v>
      </c>
      <c r="F2979" s="39">
        <v>0</v>
      </c>
      <c r="G2979" s="40"/>
      <c r="H2979" s="41"/>
      <c r="I2979" s="40">
        <v>41.329041537636797</v>
      </c>
      <c r="J2979" s="41"/>
      <c r="K2979" s="9" t="s">
        <v>4173</v>
      </c>
    </row>
    <row r="2980" spans="1:11" x14ac:dyDescent="0.2">
      <c r="A2980" s="9" t="s">
        <v>20</v>
      </c>
      <c r="B2980" s="9" t="s">
        <v>4174</v>
      </c>
      <c r="C2980" s="9"/>
      <c r="D2980" s="9" t="s">
        <v>76</v>
      </c>
      <c r="E2980" s="38">
        <v>2750</v>
      </c>
      <c r="F2980" s="39">
        <v>1991398.66</v>
      </c>
      <c r="G2980" s="40">
        <v>724.14496727272729</v>
      </c>
      <c r="H2980" s="41">
        <v>-2.9832878130947239E-2</v>
      </c>
      <c r="I2980" s="40">
        <v>62.469420764123171</v>
      </c>
      <c r="J2980" s="41">
        <v>8.6266457114789225E-2</v>
      </c>
      <c r="K2980" s="9" t="s">
        <v>4175</v>
      </c>
    </row>
    <row r="2981" spans="1:11" x14ac:dyDescent="0.2">
      <c r="A2981" s="9" t="s">
        <v>20</v>
      </c>
      <c r="B2981" s="9" t="s">
        <v>4176</v>
      </c>
      <c r="C2981" s="9"/>
      <c r="D2981" s="9" t="s">
        <v>81</v>
      </c>
      <c r="E2981" s="38">
        <v>1866</v>
      </c>
      <c r="F2981" s="39">
        <v>1994144.69</v>
      </c>
      <c r="G2981" s="40">
        <v>1068.6734673097531</v>
      </c>
      <c r="H2981" s="41">
        <v>0.14529871758595991</v>
      </c>
      <c r="I2981" s="40">
        <v>64.919268971214464</v>
      </c>
      <c r="J2981" s="41">
        <v>6.0747525747635797E-2</v>
      </c>
      <c r="K2981" s="9" t="s">
        <v>4177</v>
      </c>
    </row>
    <row r="2982" spans="1:11" x14ac:dyDescent="0.2">
      <c r="A2982" s="9" t="s">
        <v>20</v>
      </c>
      <c r="B2982" s="9" t="s">
        <v>3005</v>
      </c>
      <c r="C2982" s="9"/>
      <c r="D2982" s="9" t="s">
        <v>76</v>
      </c>
      <c r="E2982" s="38">
        <v>1328</v>
      </c>
      <c r="F2982" s="39">
        <v>1043840.64</v>
      </c>
      <c r="G2982" s="40">
        <v>786.02457831325307</v>
      </c>
      <c r="H2982" s="41">
        <v>0.32418799379230112</v>
      </c>
      <c r="I2982" s="40">
        <v>62.368059456894393</v>
      </c>
      <c r="J2982" s="41">
        <v>7.9346194988878516E-2</v>
      </c>
      <c r="K2982" s="9" t="s">
        <v>4178</v>
      </c>
    </row>
    <row r="2983" spans="1:11" x14ac:dyDescent="0.2">
      <c r="A2983" s="9" t="s">
        <v>20</v>
      </c>
      <c r="B2983" s="9" t="s">
        <v>343</v>
      </c>
      <c r="C2983" s="9"/>
      <c r="D2983" s="9" t="s">
        <v>79</v>
      </c>
      <c r="E2983" s="38">
        <v>4200</v>
      </c>
      <c r="F2983" s="39">
        <v>0</v>
      </c>
      <c r="G2983" s="40"/>
      <c r="H2983" s="41"/>
      <c r="I2983" s="40">
        <v>77.110502190327423</v>
      </c>
      <c r="J2983" s="41"/>
      <c r="K2983" s="9" t="s">
        <v>4179</v>
      </c>
    </row>
    <row r="2984" spans="1:11" x14ac:dyDescent="0.2">
      <c r="A2984" s="9" t="s">
        <v>20</v>
      </c>
      <c r="B2984" s="9" t="s">
        <v>4180</v>
      </c>
      <c r="C2984" s="9"/>
      <c r="D2984" s="9" t="s">
        <v>83</v>
      </c>
      <c r="E2984" s="38">
        <v>90</v>
      </c>
      <c r="F2984" s="39">
        <v>0</v>
      </c>
      <c r="G2984" s="40"/>
      <c r="H2984" s="41"/>
      <c r="I2984" s="40">
        <v>26.4</v>
      </c>
      <c r="J2984" s="41"/>
      <c r="K2984" s="9" t="s">
        <v>4181</v>
      </c>
    </row>
    <row r="2985" spans="1:11" x14ac:dyDescent="0.2">
      <c r="A2985" s="9" t="s">
        <v>20</v>
      </c>
      <c r="B2985" s="9" t="s">
        <v>351</v>
      </c>
      <c r="C2985" s="9"/>
      <c r="D2985" s="9" t="s">
        <v>85</v>
      </c>
      <c r="E2985" s="38">
        <v>4000</v>
      </c>
      <c r="F2985" s="39">
        <v>1731530.62</v>
      </c>
      <c r="G2985" s="40">
        <v>432.88265499999989</v>
      </c>
      <c r="H2985" s="41">
        <v>0.2442166772678756</v>
      </c>
      <c r="I2985" s="40">
        <v>60.022421190327421</v>
      </c>
      <c r="J2985" s="41">
        <v>0.13865748718974991</v>
      </c>
      <c r="K2985" s="9" t="s">
        <v>4182</v>
      </c>
    </row>
    <row r="2986" spans="1:11" x14ac:dyDescent="0.2">
      <c r="A2986" s="9" t="s">
        <v>20</v>
      </c>
      <c r="B2986" s="9" t="s">
        <v>4183</v>
      </c>
      <c r="C2986" s="9"/>
      <c r="D2986" s="9" t="s">
        <v>81</v>
      </c>
      <c r="E2986" s="38">
        <v>2802</v>
      </c>
      <c r="F2986" s="39">
        <v>0</v>
      </c>
      <c r="G2986" s="40"/>
      <c r="H2986" s="41"/>
      <c r="I2986" s="40">
        <v>51.443366464339618</v>
      </c>
      <c r="J2986" s="41"/>
      <c r="K2986" s="9" t="s">
        <v>4184</v>
      </c>
    </row>
    <row r="2987" spans="1:11" x14ac:dyDescent="0.2">
      <c r="A2987" s="9" t="s">
        <v>20</v>
      </c>
      <c r="B2987" s="9" t="s">
        <v>538</v>
      </c>
      <c r="C2987" s="9"/>
      <c r="D2987" s="9" t="s">
        <v>80</v>
      </c>
      <c r="E2987" s="38">
        <v>2246</v>
      </c>
      <c r="F2987" s="39">
        <v>0</v>
      </c>
      <c r="G2987" s="40"/>
      <c r="H2987" s="41"/>
      <c r="I2987" s="40">
        <v>61.432519189670707</v>
      </c>
      <c r="J2987" s="41"/>
      <c r="K2987" s="9" t="s">
        <v>4185</v>
      </c>
    </row>
    <row r="2988" spans="1:11" x14ac:dyDescent="0.2">
      <c r="A2988" s="9" t="s">
        <v>20</v>
      </c>
      <c r="B2988" s="9" t="s">
        <v>4186</v>
      </c>
      <c r="C2988" s="9"/>
      <c r="D2988" s="9" t="s">
        <v>82</v>
      </c>
      <c r="E2988" s="38">
        <v>5000</v>
      </c>
      <c r="F2988" s="39">
        <v>3855432.36</v>
      </c>
      <c r="G2988" s="40">
        <v>771.08647199999996</v>
      </c>
      <c r="H2988" s="41">
        <v>0.1141112081699892</v>
      </c>
      <c r="I2988" s="40">
        <v>76.537276124123295</v>
      </c>
      <c r="J2988" s="41">
        <v>9.9259005187323918E-2</v>
      </c>
      <c r="K2988" s="9" t="s">
        <v>4187</v>
      </c>
    </row>
    <row r="2989" spans="1:11" x14ac:dyDescent="0.2">
      <c r="A2989" s="9" t="s">
        <v>20</v>
      </c>
      <c r="B2989" s="9" t="s">
        <v>4188</v>
      </c>
      <c r="C2989" s="9"/>
      <c r="D2989" s="9" t="s">
        <v>80</v>
      </c>
      <c r="E2989" s="38">
        <v>1625</v>
      </c>
      <c r="F2989" s="39">
        <v>0</v>
      </c>
      <c r="G2989" s="40"/>
      <c r="H2989" s="41"/>
      <c r="I2989" s="40">
        <v>80.160477574942817</v>
      </c>
      <c r="J2989" s="41"/>
      <c r="K2989" s="9" t="s">
        <v>4189</v>
      </c>
    </row>
    <row r="2990" spans="1:11" x14ac:dyDescent="0.2">
      <c r="A2990" s="9" t="s">
        <v>20</v>
      </c>
      <c r="B2990" s="9" t="s">
        <v>3020</v>
      </c>
      <c r="C2990" s="9"/>
      <c r="D2990" s="9" t="s">
        <v>77</v>
      </c>
      <c r="E2990" s="38">
        <v>2362</v>
      </c>
      <c r="F2990" s="39">
        <v>2461430.86</v>
      </c>
      <c r="G2990" s="40">
        <v>1042.096045723963</v>
      </c>
      <c r="H2990" s="41">
        <v>6.3796865903578706E-2</v>
      </c>
      <c r="I2990" s="40">
        <v>66.150842532963253</v>
      </c>
      <c r="J2990" s="41">
        <v>6.34786426878792E-2</v>
      </c>
      <c r="K2990" s="9" t="s">
        <v>4190</v>
      </c>
    </row>
    <row r="2991" spans="1:11" x14ac:dyDescent="0.2">
      <c r="A2991" s="9" t="s">
        <v>20</v>
      </c>
      <c r="B2991" s="9" t="s">
        <v>4191</v>
      </c>
      <c r="C2991" s="9"/>
      <c r="D2991" s="9" t="s">
        <v>80</v>
      </c>
      <c r="E2991" s="38">
        <v>4128</v>
      </c>
      <c r="F2991" s="39">
        <v>3708812.28</v>
      </c>
      <c r="G2991" s="40">
        <v>898.45258720930224</v>
      </c>
      <c r="H2991" s="41">
        <v>4.4055014885737112E-2</v>
      </c>
      <c r="I2991" s="40">
        <v>31.685577531082789</v>
      </c>
      <c r="J2991" s="41">
        <v>3.5266833199848489E-2</v>
      </c>
      <c r="K2991" s="9" t="s">
        <v>4192</v>
      </c>
    </row>
    <row r="2992" spans="1:11" x14ac:dyDescent="0.2">
      <c r="A2992" s="9" t="s">
        <v>20</v>
      </c>
      <c r="B2992" s="9" t="s">
        <v>4193</v>
      </c>
      <c r="C2992" s="9"/>
      <c r="D2992" s="9" t="s">
        <v>76</v>
      </c>
      <c r="E2992" s="38">
        <v>1500</v>
      </c>
      <c r="F2992" s="39">
        <v>485338.71030303033</v>
      </c>
      <c r="G2992" s="40">
        <v>323.55914020202022</v>
      </c>
      <c r="H2992" s="41"/>
      <c r="I2992" s="40">
        <v>62.097702190327439</v>
      </c>
      <c r="J2992" s="41">
        <v>0.19192071703354011</v>
      </c>
      <c r="K2992" s="9" t="s">
        <v>4194</v>
      </c>
    </row>
    <row r="2993" spans="1:11" x14ac:dyDescent="0.2">
      <c r="A2993" s="9" t="s">
        <v>20</v>
      </c>
      <c r="B2993" s="9" t="s">
        <v>3186</v>
      </c>
      <c r="C2993" s="9"/>
      <c r="D2993" s="9" t="s">
        <v>80</v>
      </c>
      <c r="E2993" s="38">
        <v>4507</v>
      </c>
      <c r="F2993" s="39">
        <v>2891715.85</v>
      </c>
      <c r="G2993" s="40">
        <v>641.60546927002429</v>
      </c>
      <c r="H2993" s="41">
        <v>0.1111292826346503</v>
      </c>
      <c r="I2993" s="40">
        <v>65.29373820956512</v>
      </c>
      <c r="J2993" s="41">
        <v>0.10176618083360781</v>
      </c>
      <c r="K2993" s="9" t="s">
        <v>4195</v>
      </c>
    </row>
    <row r="2994" spans="1:11" x14ac:dyDescent="0.2">
      <c r="A2994" s="9" t="s">
        <v>20</v>
      </c>
      <c r="B2994" s="9" t="s">
        <v>3030</v>
      </c>
      <c r="C2994" s="9"/>
      <c r="D2994" s="9" t="s">
        <v>85</v>
      </c>
      <c r="E2994" s="38">
        <v>12873</v>
      </c>
      <c r="F2994" s="39">
        <v>0</v>
      </c>
      <c r="G2994" s="40"/>
      <c r="H2994" s="41"/>
      <c r="I2994" s="40">
        <v>34.074351999999998</v>
      </c>
      <c r="J2994" s="41"/>
      <c r="K2994" s="9" t="s">
        <v>4196</v>
      </c>
    </row>
    <row r="2995" spans="1:11" x14ac:dyDescent="0.2">
      <c r="A2995" s="9" t="s">
        <v>20</v>
      </c>
      <c r="B2995" s="9" t="s">
        <v>4197</v>
      </c>
      <c r="C2995" s="9"/>
      <c r="D2995" s="9" t="s">
        <v>81</v>
      </c>
      <c r="E2995" s="38">
        <v>3000</v>
      </c>
      <c r="F2995" s="39">
        <v>1323847.43</v>
      </c>
      <c r="G2995" s="40">
        <v>441.2824766666667</v>
      </c>
      <c r="H2995" s="41">
        <v>8.5953656477020714E-3</v>
      </c>
      <c r="I2995" s="40">
        <v>31.353756675988119</v>
      </c>
      <c r="J2995" s="41">
        <v>7.105144285997092E-2</v>
      </c>
      <c r="K2995" s="9" t="s">
        <v>4198</v>
      </c>
    </row>
    <row r="2996" spans="1:11" x14ac:dyDescent="0.2">
      <c r="A2996" s="9" t="s">
        <v>20</v>
      </c>
      <c r="B2996" s="9" t="s">
        <v>4199</v>
      </c>
      <c r="C2996" s="9"/>
      <c r="D2996" s="9" t="s">
        <v>83</v>
      </c>
      <c r="E2996" s="38">
        <v>2311</v>
      </c>
      <c r="F2996" s="39">
        <v>0</v>
      </c>
      <c r="G2996" s="40"/>
      <c r="H2996" s="41"/>
      <c r="I2996" s="40">
        <v>40.721802316908217</v>
      </c>
      <c r="J2996" s="41"/>
      <c r="K2996" s="9" t="s">
        <v>4200</v>
      </c>
    </row>
    <row r="2997" spans="1:11" x14ac:dyDescent="0.2">
      <c r="A2997" s="9" t="s">
        <v>20</v>
      </c>
      <c r="B2997" s="9" t="s">
        <v>640</v>
      </c>
      <c r="C2997" s="9"/>
      <c r="D2997" s="9" t="s">
        <v>83</v>
      </c>
      <c r="E2997" s="38">
        <v>1000</v>
      </c>
      <c r="F2997" s="39">
        <v>2011881.67</v>
      </c>
      <c r="G2997" s="40">
        <v>2011.88167</v>
      </c>
      <c r="H2997" s="41">
        <v>3.6820677445820953E-2</v>
      </c>
      <c r="I2997" s="40">
        <v>59.078351807322179</v>
      </c>
      <c r="J2997" s="41">
        <v>2.9364724918102249E-2</v>
      </c>
      <c r="K2997" s="9" t="s">
        <v>4201</v>
      </c>
    </row>
    <row r="2998" spans="1:11" x14ac:dyDescent="0.2">
      <c r="A2998" s="9" t="s">
        <v>20</v>
      </c>
      <c r="B2998" s="9" t="s">
        <v>4202</v>
      </c>
      <c r="C2998" s="9"/>
      <c r="D2998" s="9" t="s">
        <v>82</v>
      </c>
      <c r="E2998" s="38">
        <v>11000</v>
      </c>
      <c r="F2998" s="39">
        <v>2621567.59</v>
      </c>
      <c r="G2998" s="40">
        <v>238.32432636363629</v>
      </c>
      <c r="H2998" s="41">
        <v>-0.26701887651381112</v>
      </c>
      <c r="I2998" s="40">
        <v>42.072014949399197</v>
      </c>
      <c r="J2998" s="41">
        <v>0.17653260827938111</v>
      </c>
      <c r="K2998" s="9" t="s">
        <v>4203</v>
      </c>
    </row>
    <row r="2999" spans="1:11" x14ac:dyDescent="0.2">
      <c r="A2999" s="9" t="s">
        <v>20</v>
      </c>
      <c r="B2999" s="9" t="s">
        <v>642</v>
      </c>
      <c r="C2999" s="9"/>
      <c r="D2999" s="9" t="s">
        <v>86</v>
      </c>
      <c r="E2999" s="38">
        <v>42027</v>
      </c>
      <c r="F2999" s="39">
        <v>46668093.579999998</v>
      </c>
      <c r="G2999" s="40">
        <v>1110.4312365860039</v>
      </c>
      <c r="H2999" s="41">
        <v>3.4734063108880033E-2</v>
      </c>
      <c r="I2999" s="40">
        <v>33.179978270381262</v>
      </c>
      <c r="J2999" s="41">
        <v>2.9880263790482298E-2</v>
      </c>
      <c r="K2999" s="9" t="s">
        <v>4204</v>
      </c>
    </row>
    <row r="3000" spans="1:11" x14ac:dyDescent="0.2">
      <c r="A3000" s="9" t="s">
        <v>20</v>
      </c>
      <c r="B3000" s="9" t="s">
        <v>4205</v>
      </c>
      <c r="C3000" s="9"/>
      <c r="D3000" s="9" t="s">
        <v>82</v>
      </c>
      <c r="E3000" s="38">
        <v>4976</v>
      </c>
      <c r="F3000" s="39">
        <v>1369493.34</v>
      </c>
      <c r="G3000" s="40">
        <v>275.21972266881028</v>
      </c>
      <c r="H3000" s="41">
        <v>0.47603662663026741</v>
      </c>
      <c r="I3000" s="40">
        <v>27.29450231690819</v>
      </c>
      <c r="J3000" s="41">
        <v>9.9173496914512285E-2</v>
      </c>
      <c r="K3000" s="9" t="s">
        <v>4206</v>
      </c>
    </row>
    <row r="3001" spans="1:11" x14ac:dyDescent="0.2">
      <c r="A3001" s="9" t="s">
        <v>47</v>
      </c>
      <c r="B3001" s="9" t="s">
        <v>166</v>
      </c>
      <c r="C3001" s="9"/>
      <c r="D3001" s="9" t="s">
        <v>76</v>
      </c>
      <c r="E3001" s="38">
        <v>3575</v>
      </c>
      <c r="F3001" s="39">
        <v>1697470.06</v>
      </c>
      <c r="G3001" s="40">
        <v>474.8168</v>
      </c>
      <c r="H3001" s="41">
        <v>0.56171367066216149</v>
      </c>
      <c r="I3001" s="40">
        <v>55.000000111888113</v>
      </c>
      <c r="J3001" s="41">
        <v>0.11583414932219779</v>
      </c>
      <c r="K3001" s="9" t="s">
        <v>4207</v>
      </c>
    </row>
    <row r="3002" spans="1:11" x14ac:dyDescent="0.2">
      <c r="A3002" s="9" t="s">
        <v>47</v>
      </c>
      <c r="B3002" s="9" t="s">
        <v>169</v>
      </c>
      <c r="C3002" s="9"/>
      <c r="D3002" s="9" t="s">
        <v>76</v>
      </c>
      <c r="E3002" s="38">
        <v>5413</v>
      </c>
      <c r="F3002" s="39">
        <v>1716428.59</v>
      </c>
      <c r="G3002" s="40">
        <v>317.09377239977829</v>
      </c>
      <c r="H3002" s="41">
        <v>0.73297267967402524</v>
      </c>
      <c r="I3002" s="40">
        <v>25.367501791982271</v>
      </c>
      <c r="J3002" s="41">
        <v>0.08</v>
      </c>
      <c r="K3002" s="9" t="s">
        <v>4208</v>
      </c>
    </row>
    <row r="3003" spans="1:11" x14ac:dyDescent="0.2">
      <c r="A3003" s="9" t="s">
        <v>47</v>
      </c>
      <c r="B3003" s="9" t="s">
        <v>173</v>
      </c>
      <c r="C3003" s="9"/>
      <c r="D3003" s="9" t="s">
        <v>80</v>
      </c>
      <c r="E3003" s="38">
        <v>216</v>
      </c>
      <c r="F3003" s="39">
        <v>1047699.19</v>
      </c>
      <c r="G3003" s="40">
        <v>4850.4592129629636</v>
      </c>
      <c r="H3003" s="41">
        <v>0.84218617052684108</v>
      </c>
      <c r="I3003" s="40">
        <v>486.41599444444449</v>
      </c>
      <c r="J3003" s="41">
        <v>0.1002824625644695</v>
      </c>
      <c r="K3003" s="9" t="s">
        <v>4209</v>
      </c>
    </row>
    <row r="3004" spans="1:11" x14ac:dyDescent="0.2">
      <c r="A3004" s="9" t="s">
        <v>47</v>
      </c>
      <c r="B3004" s="9" t="s">
        <v>1443</v>
      </c>
      <c r="C3004" s="9"/>
      <c r="D3004" s="9" t="s">
        <v>78</v>
      </c>
      <c r="E3004" s="38">
        <v>160</v>
      </c>
      <c r="F3004" s="39">
        <v>1591286.37</v>
      </c>
      <c r="G3004" s="40">
        <v>9945.5398125000011</v>
      </c>
      <c r="H3004" s="41">
        <v>0.74083657435973127</v>
      </c>
      <c r="I3004" s="40">
        <v>869.55398375000004</v>
      </c>
      <c r="J3004" s="41">
        <v>8.743155224788357E-2</v>
      </c>
      <c r="K3004" s="9" t="s">
        <v>4210</v>
      </c>
    </row>
    <row r="3005" spans="1:11" x14ac:dyDescent="0.2">
      <c r="A3005" s="9" t="s">
        <v>47</v>
      </c>
      <c r="B3005" s="9" t="s">
        <v>175</v>
      </c>
      <c r="C3005" s="9"/>
      <c r="D3005" s="9" t="s">
        <v>78</v>
      </c>
      <c r="E3005" s="38">
        <v>160</v>
      </c>
      <c r="F3005" s="39">
        <v>0</v>
      </c>
      <c r="G3005" s="40"/>
      <c r="H3005" s="41"/>
      <c r="I3005" s="40">
        <v>1160.0000024999999</v>
      </c>
      <c r="J3005" s="41"/>
      <c r="K3005" s="9" t="s">
        <v>4211</v>
      </c>
    </row>
    <row r="3006" spans="1:11" x14ac:dyDescent="0.2">
      <c r="A3006" s="9" t="s">
        <v>47</v>
      </c>
      <c r="B3006" s="9" t="s">
        <v>179</v>
      </c>
      <c r="C3006" s="9"/>
      <c r="D3006" s="9" t="s">
        <v>79</v>
      </c>
      <c r="E3006" s="38">
        <v>4709</v>
      </c>
      <c r="F3006" s="39">
        <v>5413908</v>
      </c>
      <c r="G3006" s="40">
        <v>1149.6937778721599</v>
      </c>
      <c r="H3006" s="41">
        <v>0.48939205489286042</v>
      </c>
      <c r="I3006" s="40">
        <v>97.774688893608001</v>
      </c>
      <c r="J3006" s="41">
        <v>8.5044114159309708E-2</v>
      </c>
      <c r="K3006" s="9" t="s">
        <v>4212</v>
      </c>
    </row>
    <row r="3007" spans="1:11" x14ac:dyDescent="0.2">
      <c r="A3007" s="9" t="s">
        <v>47</v>
      </c>
      <c r="B3007" s="9" t="s">
        <v>1082</v>
      </c>
      <c r="C3007" s="9"/>
      <c r="D3007" s="9" t="s">
        <v>86</v>
      </c>
      <c r="E3007" s="38">
        <v>79729</v>
      </c>
      <c r="F3007" s="39">
        <v>0</v>
      </c>
      <c r="G3007" s="40"/>
      <c r="H3007" s="41">
        <v>0.52947519552876843</v>
      </c>
      <c r="I3007" s="40">
        <v>2.6704470142608092</v>
      </c>
      <c r="J3007" s="41"/>
      <c r="K3007" s="9" t="s">
        <v>4213</v>
      </c>
    </row>
    <row r="3008" spans="1:11" x14ac:dyDescent="0.2">
      <c r="A3008" s="9" t="s">
        <v>47</v>
      </c>
      <c r="B3008" s="9" t="s">
        <v>4214</v>
      </c>
      <c r="C3008" s="9"/>
      <c r="D3008" s="9" t="s">
        <v>80</v>
      </c>
      <c r="E3008" s="38">
        <v>607</v>
      </c>
      <c r="F3008" s="39">
        <v>367524.73</v>
      </c>
      <c r="G3008" s="40">
        <v>605.47731466227344</v>
      </c>
      <c r="H3008" s="41"/>
      <c r="I3008" s="40">
        <v>97.09812652388797</v>
      </c>
      <c r="J3008" s="41">
        <v>0.16036625018403519</v>
      </c>
      <c r="K3008" s="9" t="s">
        <v>4215</v>
      </c>
    </row>
    <row r="3009" spans="1:11" x14ac:dyDescent="0.2">
      <c r="A3009" s="9" t="s">
        <v>47</v>
      </c>
      <c r="B3009" s="9" t="s">
        <v>4216</v>
      </c>
      <c r="C3009" s="9"/>
      <c r="D3009" s="9" t="s">
        <v>78</v>
      </c>
      <c r="E3009" s="38">
        <v>668</v>
      </c>
      <c r="F3009" s="39">
        <v>74471.929999999978</v>
      </c>
      <c r="G3009" s="40">
        <v>111.4849251497006</v>
      </c>
      <c r="H3009" s="41"/>
      <c r="I3009" s="40">
        <v>136.28784431137731</v>
      </c>
      <c r="J3009" s="41">
        <v>1.2224777845827281E-2</v>
      </c>
      <c r="K3009" s="9" t="s">
        <v>4217</v>
      </c>
    </row>
    <row r="3010" spans="1:11" x14ac:dyDescent="0.2">
      <c r="A3010" s="9" t="s">
        <v>47</v>
      </c>
      <c r="B3010" s="9" t="s">
        <v>191</v>
      </c>
      <c r="C3010" s="9"/>
      <c r="D3010" s="9" t="s">
        <v>76</v>
      </c>
      <c r="E3010" s="38">
        <v>4961</v>
      </c>
      <c r="F3010" s="39">
        <v>3010262.03</v>
      </c>
      <c r="G3010" s="40">
        <v>606.78533158637379</v>
      </c>
      <c r="H3010" s="41">
        <v>0.54739382334158915</v>
      </c>
      <c r="I3010" s="40">
        <v>55.373789961701277</v>
      </c>
      <c r="J3010" s="41">
        <v>9.1257627828498375E-2</v>
      </c>
      <c r="K3010" s="9" t="s">
        <v>4218</v>
      </c>
    </row>
    <row r="3011" spans="1:11" x14ac:dyDescent="0.2">
      <c r="A3011" s="9" t="s">
        <v>47</v>
      </c>
      <c r="B3011" s="9" t="s">
        <v>4219</v>
      </c>
      <c r="C3011" s="9"/>
      <c r="D3011" s="9" t="s">
        <v>76</v>
      </c>
      <c r="E3011" s="38">
        <v>1473</v>
      </c>
      <c r="F3011" s="39">
        <v>227462.89</v>
      </c>
      <c r="G3011" s="40">
        <v>154.42151391717579</v>
      </c>
      <c r="H3011" s="41">
        <v>0.23576542625024061</v>
      </c>
      <c r="I3011" s="40">
        <v>49.176734826883923</v>
      </c>
      <c r="J3011" s="41">
        <v>0.31845779502757582</v>
      </c>
      <c r="K3011" s="9" t="s">
        <v>4220</v>
      </c>
    </row>
    <row r="3012" spans="1:11" x14ac:dyDescent="0.2">
      <c r="A3012" s="9" t="s">
        <v>47</v>
      </c>
      <c r="B3012" s="9" t="s">
        <v>202</v>
      </c>
      <c r="C3012" s="9"/>
      <c r="D3012" s="9" t="s">
        <v>81</v>
      </c>
      <c r="E3012" s="38">
        <v>527</v>
      </c>
      <c r="F3012" s="39">
        <v>1253102.42</v>
      </c>
      <c r="G3012" s="40">
        <v>2377.8034535104362</v>
      </c>
      <c r="H3012" s="41">
        <v>0.64270768688427504</v>
      </c>
      <c r="I3012" s="40">
        <v>305.1847149905123</v>
      </c>
      <c r="J3012" s="41">
        <v>0.12834732599111889</v>
      </c>
      <c r="K3012" s="9" t="s">
        <v>4221</v>
      </c>
    </row>
    <row r="3013" spans="1:11" x14ac:dyDescent="0.2">
      <c r="A3013" s="9" t="s">
        <v>47</v>
      </c>
      <c r="B3013" s="9" t="s">
        <v>4222</v>
      </c>
      <c r="C3013" s="9"/>
      <c r="D3013" s="9" t="s">
        <v>79</v>
      </c>
      <c r="E3013" s="38">
        <v>2330</v>
      </c>
      <c r="F3013" s="39">
        <v>390914.81</v>
      </c>
      <c r="G3013" s="40">
        <v>167.7745965665236</v>
      </c>
      <c r="H3013" s="41">
        <v>0.84179777517305454</v>
      </c>
      <c r="I3013" s="40">
        <v>30.901287553648071</v>
      </c>
      <c r="J3013" s="41">
        <v>0.18418335186635679</v>
      </c>
      <c r="K3013" s="9" t="s">
        <v>4223</v>
      </c>
    </row>
    <row r="3014" spans="1:11" x14ac:dyDescent="0.2">
      <c r="A3014" s="9" t="s">
        <v>47</v>
      </c>
      <c r="B3014" s="9" t="s">
        <v>432</v>
      </c>
      <c r="C3014" s="9"/>
      <c r="D3014" s="9" t="s">
        <v>81</v>
      </c>
      <c r="E3014" s="38">
        <v>1609</v>
      </c>
      <c r="F3014" s="39">
        <v>3002438.21</v>
      </c>
      <c r="G3014" s="40">
        <v>1866.0274766935991</v>
      </c>
      <c r="H3014" s="41">
        <v>-0.14195208843146301</v>
      </c>
      <c r="I3014" s="40">
        <v>149.98659266625239</v>
      </c>
      <c r="J3014" s="41">
        <v>8.0377483472007918E-2</v>
      </c>
      <c r="K3014" s="9" t="s">
        <v>4224</v>
      </c>
    </row>
    <row r="3015" spans="1:11" x14ac:dyDescent="0.2">
      <c r="A3015" s="9" t="s">
        <v>47</v>
      </c>
      <c r="B3015" s="9" t="s">
        <v>208</v>
      </c>
      <c r="C3015" s="9"/>
      <c r="D3015" s="9" t="s">
        <v>78</v>
      </c>
      <c r="E3015" s="38">
        <v>1049</v>
      </c>
      <c r="F3015" s="39">
        <v>518460.56</v>
      </c>
      <c r="G3015" s="40">
        <v>494.24266920877028</v>
      </c>
      <c r="H3015" s="41">
        <v>0.43007410892389841</v>
      </c>
      <c r="I3015" s="40">
        <v>74.1364012392755</v>
      </c>
      <c r="J3015" s="41">
        <v>0.1500000017359083</v>
      </c>
      <c r="K3015" s="9" t="s">
        <v>4225</v>
      </c>
    </row>
    <row r="3016" spans="1:11" x14ac:dyDescent="0.2">
      <c r="A3016" s="9" t="s">
        <v>47</v>
      </c>
      <c r="B3016" s="9" t="s">
        <v>2157</v>
      </c>
      <c r="C3016" s="9"/>
      <c r="D3016" s="9" t="s">
        <v>78</v>
      </c>
      <c r="E3016" s="38">
        <v>372</v>
      </c>
      <c r="F3016" s="39">
        <v>197089.17</v>
      </c>
      <c r="G3016" s="40">
        <v>529.80959677419355</v>
      </c>
      <c r="H3016" s="41">
        <v>0.64113123307142594</v>
      </c>
      <c r="I3016" s="40">
        <v>108.705125</v>
      </c>
      <c r="J3016" s="41">
        <v>0.20517771981078409</v>
      </c>
      <c r="K3016" s="9" t="s">
        <v>4226</v>
      </c>
    </row>
    <row r="3017" spans="1:11" x14ac:dyDescent="0.2">
      <c r="A3017" s="9" t="s">
        <v>47</v>
      </c>
      <c r="B3017" s="9" t="s">
        <v>897</v>
      </c>
      <c r="C3017" s="9"/>
      <c r="D3017" s="9" t="s">
        <v>77</v>
      </c>
      <c r="E3017" s="38">
        <v>4008</v>
      </c>
      <c r="F3017" s="39">
        <v>1171386.75</v>
      </c>
      <c r="G3017" s="40">
        <v>292.26216317365271</v>
      </c>
      <c r="H3017" s="41">
        <v>0.44828602228065723</v>
      </c>
      <c r="I3017" s="40">
        <v>27.06213143712575</v>
      </c>
      <c r="J3017" s="41">
        <v>9.2595398402790546E-2</v>
      </c>
      <c r="K3017" s="9" t="s">
        <v>4227</v>
      </c>
    </row>
    <row r="3018" spans="1:11" x14ac:dyDescent="0.2">
      <c r="A3018" s="9" t="s">
        <v>47</v>
      </c>
      <c r="B3018" s="9" t="s">
        <v>235</v>
      </c>
      <c r="C3018" s="9"/>
      <c r="D3018" s="9" t="s">
        <v>77</v>
      </c>
      <c r="E3018" s="38">
        <v>3131</v>
      </c>
      <c r="F3018" s="39">
        <v>1664301.35</v>
      </c>
      <c r="G3018" s="40">
        <v>531.55584477802608</v>
      </c>
      <c r="H3018" s="41">
        <v>0.47037110270116661</v>
      </c>
      <c r="I3018" s="40">
        <v>63.78670137336313</v>
      </c>
      <c r="J3018" s="41">
        <v>0.12</v>
      </c>
      <c r="K3018" s="9" t="s">
        <v>4228</v>
      </c>
    </row>
    <row r="3019" spans="1:11" x14ac:dyDescent="0.2">
      <c r="A3019" s="9" t="s">
        <v>47</v>
      </c>
      <c r="B3019" s="9" t="s">
        <v>456</v>
      </c>
      <c r="C3019" s="9"/>
      <c r="D3019" s="9" t="s">
        <v>76</v>
      </c>
      <c r="E3019" s="38">
        <v>1205</v>
      </c>
      <c r="F3019" s="39">
        <v>506939.52</v>
      </c>
      <c r="G3019" s="40">
        <v>420.6966970954357</v>
      </c>
      <c r="H3019" s="41">
        <v>0.24750786241610331</v>
      </c>
      <c r="I3019" s="40">
        <v>43.150000331950203</v>
      </c>
      <c r="J3019" s="41">
        <v>0.10256795603546549</v>
      </c>
      <c r="K3019" s="9" t="s">
        <v>4229</v>
      </c>
    </row>
    <row r="3020" spans="1:11" x14ac:dyDescent="0.2">
      <c r="A3020" s="9" t="s">
        <v>47</v>
      </c>
      <c r="B3020" s="9" t="s">
        <v>242</v>
      </c>
      <c r="C3020" s="9"/>
      <c r="D3020" s="9" t="s">
        <v>82</v>
      </c>
      <c r="E3020" s="38">
        <v>4726</v>
      </c>
      <c r="F3020" s="39">
        <v>666734.27</v>
      </c>
      <c r="G3020" s="40">
        <v>141.07792424883621</v>
      </c>
      <c r="H3020" s="41">
        <v>0.27933646181034222</v>
      </c>
      <c r="I3020" s="40">
        <v>11.29</v>
      </c>
      <c r="J3020" s="41">
        <v>8.002669489300436E-2</v>
      </c>
      <c r="K3020" s="9" t="s">
        <v>4230</v>
      </c>
    </row>
    <row r="3021" spans="1:11" x14ac:dyDescent="0.2">
      <c r="A3021" s="9" t="s">
        <v>47</v>
      </c>
      <c r="B3021" s="9" t="s">
        <v>243</v>
      </c>
      <c r="C3021" s="9"/>
      <c r="D3021" s="9" t="s">
        <v>82</v>
      </c>
      <c r="E3021" s="38">
        <v>1177</v>
      </c>
      <c r="F3021" s="39">
        <v>892536.00999999989</v>
      </c>
      <c r="G3021" s="40">
        <v>758.31436703483428</v>
      </c>
      <c r="H3021" s="41">
        <v>0.57038831089376485</v>
      </c>
      <c r="I3021" s="40">
        <v>85.208552931180975</v>
      </c>
      <c r="J3021" s="41">
        <v>0.1123657372658836</v>
      </c>
      <c r="K3021" s="9" t="s">
        <v>4231</v>
      </c>
    </row>
    <row r="3022" spans="1:11" x14ac:dyDescent="0.2">
      <c r="A3022" s="9" t="s">
        <v>47</v>
      </c>
      <c r="B3022" s="9" t="s">
        <v>245</v>
      </c>
      <c r="C3022" s="9"/>
      <c r="D3022" s="9" t="s">
        <v>79</v>
      </c>
      <c r="E3022" s="38">
        <v>979</v>
      </c>
      <c r="F3022" s="39">
        <v>318907.68000000011</v>
      </c>
      <c r="G3022" s="40">
        <v>325.74839632277838</v>
      </c>
      <c r="H3022" s="41">
        <v>0.48491171656914173</v>
      </c>
      <c r="I3022" s="40">
        <v>45.759999591419813</v>
      </c>
      <c r="J3022" s="41">
        <v>0.14047651533509631</v>
      </c>
      <c r="K3022" s="9" t="s">
        <v>4232</v>
      </c>
    </row>
    <row r="3023" spans="1:11" x14ac:dyDescent="0.2">
      <c r="A3023" s="9" t="s">
        <v>47</v>
      </c>
      <c r="B3023" s="9" t="s">
        <v>4233</v>
      </c>
      <c r="C3023" s="9"/>
      <c r="D3023" s="9" t="s">
        <v>79</v>
      </c>
      <c r="E3023" s="38">
        <v>751</v>
      </c>
      <c r="F3023" s="39">
        <v>206325</v>
      </c>
      <c r="G3023" s="40">
        <v>274.73368841544612</v>
      </c>
      <c r="H3023" s="41"/>
      <c r="I3023" s="40">
        <v>82.290279627163784</v>
      </c>
      <c r="J3023" s="41">
        <v>0.29952744456561248</v>
      </c>
      <c r="K3023" s="9" t="s">
        <v>4234</v>
      </c>
    </row>
    <row r="3024" spans="1:11" x14ac:dyDescent="0.2">
      <c r="A3024" s="9" t="s">
        <v>47</v>
      </c>
      <c r="B3024" s="9" t="s">
        <v>140</v>
      </c>
      <c r="C3024" s="9"/>
      <c r="D3024" s="9" t="s">
        <v>83</v>
      </c>
      <c r="E3024" s="38">
        <v>6970</v>
      </c>
      <c r="F3024" s="39">
        <v>2592724.25</v>
      </c>
      <c r="G3024" s="40">
        <v>371.98339311334291</v>
      </c>
      <c r="H3024" s="41">
        <v>0.54512474890654361</v>
      </c>
      <c r="I3024" s="40">
        <v>51.051863443328557</v>
      </c>
      <c r="J3024" s="41">
        <v>0.1372423188466726</v>
      </c>
      <c r="K3024" s="9" t="s">
        <v>4235</v>
      </c>
    </row>
    <row r="3025" spans="1:11" x14ac:dyDescent="0.2">
      <c r="A3025" s="9" t="s">
        <v>47</v>
      </c>
      <c r="B3025" s="9" t="s">
        <v>4236</v>
      </c>
      <c r="C3025" s="9"/>
      <c r="D3025" s="9" t="s">
        <v>82</v>
      </c>
      <c r="E3025" s="38">
        <v>1833</v>
      </c>
      <c r="F3025" s="39">
        <v>164353.72</v>
      </c>
      <c r="G3025" s="40">
        <v>89.663786142935095</v>
      </c>
      <c r="H3025" s="41">
        <v>0.23966925235523839</v>
      </c>
      <c r="I3025" s="40">
        <v>24.4668209492635</v>
      </c>
      <c r="J3025" s="41">
        <v>0.27287294014397723</v>
      </c>
      <c r="K3025" s="9" t="s">
        <v>4237</v>
      </c>
    </row>
    <row r="3026" spans="1:11" x14ac:dyDescent="0.2">
      <c r="A3026" s="9" t="s">
        <v>47</v>
      </c>
      <c r="B3026" s="9" t="s">
        <v>473</v>
      </c>
      <c r="C3026" s="9"/>
      <c r="D3026" s="9" t="s">
        <v>86</v>
      </c>
      <c r="E3026" s="38">
        <v>68154</v>
      </c>
      <c r="F3026" s="39">
        <v>0</v>
      </c>
      <c r="G3026" s="40"/>
      <c r="H3026" s="41">
        <v>0.26685105865645359</v>
      </c>
      <c r="I3026" s="40">
        <v>1.5772661854036449</v>
      </c>
      <c r="J3026" s="41"/>
      <c r="K3026" s="9" t="s">
        <v>4238</v>
      </c>
    </row>
    <row r="3027" spans="1:11" x14ac:dyDescent="0.2">
      <c r="A3027" s="9" t="s">
        <v>47</v>
      </c>
      <c r="B3027" s="9" t="s">
        <v>479</v>
      </c>
      <c r="C3027" s="9"/>
      <c r="D3027" s="9" t="s">
        <v>77</v>
      </c>
      <c r="E3027" s="38">
        <v>4400</v>
      </c>
      <c r="F3027" s="39">
        <v>3307863.92</v>
      </c>
      <c r="G3027" s="40">
        <v>751.78725454545452</v>
      </c>
      <c r="H3027" s="41">
        <v>0.63464937324893789</v>
      </c>
      <c r="I3027" s="40">
        <v>92.569097999999997</v>
      </c>
      <c r="J3027" s="41">
        <v>0.12313203960337039</v>
      </c>
      <c r="K3027" s="9" t="s">
        <v>4239</v>
      </c>
    </row>
    <row r="3028" spans="1:11" x14ac:dyDescent="0.2">
      <c r="A3028" s="9" t="s">
        <v>47</v>
      </c>
      <c r="B3028" s="9" t="s">
        <v>4240</v>
      </c>
      <c r="C3028" s="9"/>
      <c r="D3028" s="9" t="s">
        <v>78</v>
      </c>
      <c r="E3028" s="38">
        <v>160</v>
      </c>
      <c r="F3028" s="39">
        <v>712896.37999999989</v>
      </c>
      <c r="G3028" s="40">
        <v>4455.6023749999986</v>
      </c>
      <c r="H3028" s="41">
        <v>0.36008904782329532</v>
      </c>
      <c r="I3028" s="40">
        <v>530.45000249999998</v>
      </c>
      <c r="J3028" s="41">
        <v>0.1190523655064709</v>
      </c>
      <c r="K3028" s="9" t="s">
        <v>4241</v>
      </c>
    </row>
    <row r="3029" spans="1:11" x14ac:dyDescent="0.2">
      <c r="A3029" s="9" t="s">
        <v>47</v>
      </c>
      <c r="B3029" s="9" t="s">
        <v>267</v>
      </c>
      <c r="C3029" s="9"/>
      <c r="D3029" s="9" t="s">
        <v>77</v>
      </c>
      <c r="E3029" s="38">
        <v>1583</v>
      </c>
      <c r="F3029" s="39">
        <v>1235292.94</v>
      </c>
      <c r="G3029" s="40">
        <v>780.34929879974732</v>
      </c>
      <c r="H3029" s="41">
        <v>0.48026763025245872</v>
      </c>
      <c r="I3029" s="40">
        <v>117.8171469361971</v>
      </c>
      <c r="J3029" s="41">
        <v>0.1509800125628501</v>
      </c>
      <c r="K3029" s="9" t="s">
        <v>4242</v>
      </c>
    </row>
    <row r="3030" spans="1:11" x14ac:dyDescent="0.2">
      <c r="A3030" s="9" t="s">
        <v>47</v>
      </c>
      <c r="B3030" s="9" t="s">
        <v>271</v>
      </c>
      <c r="C3030" s="9"/>
      <c r="D3030" s="9" t="s">
        <v>78</v>
      </c>
      <c r="E3030" s="38">
        <v>1980</v>
      </c>
      <c r="F3030" s="39">
        <v>4385068.43</v>
      </c>
      <c r="G3030" s="40">
        <v>2214.6810252525252</v>
      </c>
      <c r="H3030" s="41">
        <v>0.36373897501910152</v>
      </c>
      <c r="I3030" s="40">
        <v>235.57319696969699</v>
      </c>
      <c r="J3030" s="41">
        <v>0.1063689056273177</v>
      </c>
      <c r="K3030" s="9" t="s">
        <v>4243</v>
      </c>
    </row>
    <row r="3031" spans="1:11" x14ac:dyDescent="0.2">
      <c r="A3031" s="9" t="s">
        <v>47</v>
      </c>
      <c r="B3031" s="9" t="s">
        <v>1913</v>
      </c>
      <c r="C3031" s="9"/>
      <c r="D3031" s="9" t="s">
        <v>76</v>
      </c>
      <c r="E3031" s="38">
        <v>3991</v>
      </c>
      <c r="F3031" s="39">
        <v>583378.72</v>
      </c>
      <c r="G3031" s="40">
        <v>146.1735705337008</v>
      </c>
      <c r="H3031" s="41">
        <v>0.74080908456088068</v>
      </c>
      <c r="I3031" s="40">
        <v>30</v>
      </c>
      <c r="J3031" s="41">
        <v>0.20523546007986029</v>
      </c>
      <c r="K3031" s="9" t="s">
        <v>4244</v>
      </c>
    </row>
    <row r="3032" spans="1:11" x14ac:dyDescent="0.2">
      <c r="A3032" s="9" t="s">
        <v>47</v>
      </c>
      <c r="B3032" s="9" t="s">
        <v>277</v>
      </c>
      <c r="C3032" s="9"/>
      <c r="D3032" s="9" t="s">
        <v>76</v>
      </c>
      <c r="E3032" s="38">
        <v>629</v>
      </c>
      <c r="F3032" s="39">
        <v>550389.25</v>
      </c>
      <c r="G3032" s="40">
        <v>875.02265500794908</v>
      </c>
      <c r="H3032" s="41">
        <v>0.61731610478371235</v>
      </c>
      <c r="I3032" s="40">
        <v>105.00268616852151</v>
      </c>
      <c r="J3032" s="41">
        <v>0.1199999629353226</v>
      </c>
      <c r="K3032" s="9" t="s">
        <v>4245</v>
      </c>
    </row>
    <row r="3033" spans="1:11" x14ac:dyDescent="0.2">
      <c r="A3033" s="9" t="s">
        <v>47</v>
      </c>
      <c r="B3033" s="9" t="s">
        <v>502</v>
      </c>
      <c r="C3033" s="9"/>
      <c r="D3033" s="9" t="s">
        <v>86</v>
      </c>
      <c r="E3033" s="38">
        <v>85348</v>
      </c>
      <c r="F3033" s="39">
        <v>0</v>
      </c>
      <c r="G3033" s="40"/>
      <c r="H3033" s="41"/>
      <c r="I3033" s="40">
        <v>1.260028120166846</v>
      </c>
      <c r="J3033" s="41"/>
      <c r="K3033" s="9" t="s">
        <v>4246</v>
      </c>
    </row>
    <row r="3034" spans="1:11" x14ac:dyDescent="0.2">
      <c r="A3034" s="9" t="s">
        <v>47</v>
      </c>
      <c r="B3034" s="9" t="s">
        <v>295</v>
      </c>
      <c r="C3034" s="9"/>
      <c r="D3034" s="9" t="s">
        <v>76</v>
      </c>
      <c r="E3034" s="38">
        <v>6038</v>
      </c>
      <c r="F3034" s="39">
        <v>1019780.22</v>
      </c>
      <c r="G3034" s="40">
        <v>168.89370983769459</v>
      </c>
      <c r="H3034" s="41">
        <v>0.34607482413466678</v>
      </c>
      <c r="I3034" s="40">
        <v>37.339467108314011</v>
      </c>
      <c r="J3034" s="41">
        <v>0.22108263915924939</v>
      </c>
      <c r="K3034" s="9" t="s">
        <v>4247</v>
      </c>
    </row>
    <row r="3035" spans="1:11" x14ac:dyDescent="0.2">
      <c r="A3035" s="9" t="s">
        <v>47</v>
      </c>
      <c r="B3035" s="9" t="s">
        <v>301</v>
      </c>
      <c r="C3035" s="9"/>
      <c r="D3035" s="9" t="s">
        <v>82</v>
      </c>
      <c r="E3035" s="38">
        <v>3856</v>
      </c>
      <c r="F3035" s="39">
        <v>718376.84</v>
      </c>
      <c r="G3035" s="40">
        <v>186.30104771784229</v>
      </c>
      <c r="H3035" s="41"/>
      <c r="I3035" s="40">
        <v>31.96461815352697</v>
      </c>
      <c r="J3035" s="41">
        <v>0.17157508529924209</v>
      </c>
      <c r="K3035" s="9" t="s">
        <v>4248</v>
      </c>
    </row>
    <row r="3036" spans="1:11" x14ac:dyDescent="0.2">
      <c r="A3036" s="9" t="s">
        <v>47</v>
      </c>
      <c r="B3036" s="9" t="s">
        <v>1511</v>
      </c>
      <c r="C3036" s="9"/>
      <c r="D3036" s="9" t="s">
        <v>84</v>
      </c>
      <c r="E3036" s="38">
        <v>150</v>
      </c>
      <c r="F3036" s="39">
        <v>213096.62</v>
      </c>
      <c r="G3036" s="40">
        <v>1420.644133333333</v>
      </c>
      <c r="H3036" s="41">
        <v>0.22611975406910029</v>
      </c>
      <c r="I3036" s="40">
        <v>530.45000000000005</v>
      </c>
      <c r="J3036" s="41">
        <v>0.37338696409168759</v>
      </c>
      <c r="K3036" s="9" t="s">
        <v>4249</v>
      </c>
    </row>
    <row r="3037" spans="1:11" x14ac:dyDescent="0.2">
      <c r="A3037" s="9" t="s">
        <v>47</v>
      </c>
      <c r="B3037" s="9" t="s">
        <v>4250</v>
      </c>
      <c r="C3037" s="9"/>
      <c r="D3037" s="9" t="s">
        <v>82</v>
      </c>
      <c r="E3037" s="38">
        <v>7052</v>
      </c>
      <c r="F3037" s="39">
        <v>0</v>
      </c>
      <c r="G3037" s="40"/>
      <c r="H3037" s="41">
        <v>0.50425772315154183</v>
      </c>
      <c r="I3037" s="40">
        <v>9.7107047646057847</v>
      </c>
      <c r="J3037" s="41"/>
      <c r="K3037" s="9" t="s">
        <v>4251</v>
      </c>
    </row>
    <row r="3038" spans="1:11" x14ac:dyDescent="0.2">
      <c r="A3038" s="9" t="s">
        <v>47</v>
      </c>
      <c r="B3038" s="9" t="s">
        <v>4252</v>
      </c>
      <c r="C3038" s="9"/>
      <c r="D3038" s="9" t="s">
        <v>78</v>
      </c>
      <c r="E3038" s="38">
        <v>897</v>
      </c>
      <c r="F3038" s="39">
        <v>384441.4</v>
      </c>
      <c r="G3038" s="40">
        <v>428.58573021181718</v>
      </c>
      <c r="H3038" s="41"/>
      <c r="I3038" s="40">
        <v>84.901739130434777</v>
      </c>
      <c r="J3038" s="41">
        <v>0.19809744736128829</v>
      </c>
      <c r="K3038" s="9" t="s">
        <v>4253</v>
      </c>
    </row>
    <row r="3039" spans="1:11" x14ac:dyDescent="0.2">
      <c r="A3039" s="9" t="s">
        <v>47</v>
      </c>
      <c r="B3039" s="9" t="s">
        <v>321</v>
      </c>
      <c r="C3039" s="9"/>
      <c r="D3039" s="9" t="s">
        <v>78</v>
      </c>
      <c r="E3039" s="38">
        <v>1210</v>
      </c>
      <c r="F3039" s="39">
        <v>2056711.21</v>
      </c>
      <c r="G3039" s="40">
        <v>1699.7613305785119</v>
      </c>
      <c r="H3039" s="41"/>
      <c r="I3039" s="40">
        <v>121.23788033057851</v>
      </c>
      <c r="J3039" s="41">
        <v>7.1326413979140996E-2</v>
      </c>
      <c r="K3039" s="9" t="s">
        <v>4254</v>
      </c>
    </row>
    <row r="3040" spans="1:11" x14ac:dyDescent="0.2">
      <c r="A3040" s="9" t="s">
        <v>47</v>
      </c>
      <c r="B3040" s="9" t="s">
        <v>4255</v>
      </c>
      <c r="C3040" s="9"/>
      <c r="D3040" s="9" t="s">
        <v>81</v>
      </c>
      <c r="E3040" s="38">
        <v>646</v>
      </c>
      <c r="F3040" s="39">
        <v>1575964.09</v>
      </c>
      <c r="G3040" s="40">
        <v>2439.572894736842</v>
      </c>
      <c r="H3040" s="41">
        <v>0.52032509825817586</v>
      </c>
      <c r="I3040" s="40">
        <v>255.4490349845201</v>
      </c>
      <c r="J3040" s="41">
        <v>0.104710556317308</v>
      </c>
      <c r="K3040" s="9" t="s">
        <v>4256</v>
      </c>
    </row>
    <row r="3041" spans="1:11" x14ac:dyDescent="0.2">
      <c r="A3041" s="9" t="s">
        <v>47</v>
      </c>
      <c r="B3041" s="9" t="s">
        <v>4257</v>
      </c>
      <c r="C3041" s="9"/>
      <c r="D3041" s="9" t="s">
        <v>79</v>
      </c>
      <c r="E3041" s="38">
        <v>725</v>
      </c>
      <c r="F3041" s="39">
        <v>488852.24</v>
      </c>
      <c r="G3041" s="40">
        <v>674.27895172413787</v>
      </c>
      <c r="H3041" s="41">
        <v>0.58938008505170469</v>
      </c>
      <c r="I3041" s="40">
        <v>101.226752</v>
      </c>
      <c r="J3041" s="41">
        <v>0.15012592598532429</v>
      </c>
      <c r="K3041" s="9" t="s">
        <v>4258</v>
      </c>
    </row>
    <row r="3042" spans="1:11" x14ac:dyDescent="0.2">
      <c r="A3042" s="9" t="s">
        <v>47</v>
      </c>
      <c r="B3042" s="9" t="s">
        <v>4259</v>
      </c>
      <c r="C3042" s="9"/>
      <c r="D3042" s="9" t="s">
        <v>84</v>
      </c>
      <c r="E3042" s="38">
        <v>150</v>
      </c>
      <c r="F3042" s="39">
        <v>143851.53</v>
      </c>
      <c r="G3042" s="40">
        <v>959.01019999999994</v>
      </c>
      <c r="H3042" s="41">
        <v>1.0834596832169941E-2</v>
      </c>
      <c r="I3042" s="40">
        <v>655.63619999999992</v>
      </c>
      <c r="J3042" s="41">
        <v>0.68365925617892276</v>
      </c>
      <c r="K3042" s="9" t="s">
        <v>4260</v>
      </c>
    </row>
    <row r="3043" spans="1:11" x14ac:dyDescent="0.2">
      <c r="A3043" s="9" t="s">
        <v>47</v>
      </c>
      <c r="B3043" s="9" t="s">
        <v>4261</v>
      </c>
      <c r="C3043" s="9"/>
      <c r="D3043" s="9" t="s">
        <v>81</v>
      </c>
      <c r="E3043" s="38">
        <v>652</v>
      </c>
      <c r="F3043" s="39">
        <v>462915.99</v>
      </c>
      <c r="G3043" s="40">
        <v>709.9938496932516</v>
      </c>
      <c r="H3043" s="41">
        <v>0.58469186289718611</v>
      </c>
      <c r="I3043" s="40">
        <v>108.5827104294479</v>
      </c>
      <c r="J3043" s="41">
        <v>0.1529347197533617</v>
      </c>
      <c r="K3043" s="9" t="s">
        <v>4262</v>
      </c>
    </row>
    <row r="3044" spans="1:11" x14ac:dyDescent="0.2">
      <c r="A3044" s="9" t="s">
        <v>47</v>
      </c>
      <c r="B3044" s="9" t="s">
        <v>331</v>
      </c>
      <c r="C3044" s="9"/>
      <c r="D3044" s="9" t="s">
        <v>81</v>
      </c>
      <c r="E3044" s="38">
        <v>756</v>
      </c>
      <c r="F3044" s="39">
        <v>543988.12</v>
      </c>
      <c r="G3044" s="40">
        <v>719.56100529100524</v>
      </c>
      <c r="H3044" s="41"/>
      <c r="I3044" s="40">
        <v>197.12706349206351</v>
      </c>
      <c r="J3044" s="41">
        <v>0.27395462239138613</v>
      </c>
      <c r="K3044" s="9" t="s">
        <v>4263</v>
      </c>
    </row>
    <row r="3045" spans="1:11" x14ac:dyDescent="0.2">
      <c r="A3045" s="9" t="s">
        <v>47</v>
      </c>
      <c r="B3045" s="9" t="s">
        <v>520</v>
      </c>
      <c r="C3045" s="9"/>
      <c r="D3045" s="9" t="s">
        <v>77</v>
      </c>
      <c r="E3045" s="38">
        <v>7343</v>
      </c>
      <c r="F3045" s="39">
        <v>3939303.86</v>
      </c>
      <c r="G3045" s="40">
        <v>536.47063325616227</v>
      </c>
      <c r="H3045" s="41">
        <v>0.45355079368219542</v>
      </c>
      <c r="I3045" s="40">
        <v>96.691548930954639</v>
      </c>
      <c r="J3045" s="41">
        <v>0.18023642476769991</v>
      </c>
      <c r="K3045" s="9" t="s">
        <v>4264</v>
      </c>
    </row>
    <row r="3046" spans="1:11" x14ac:dyDescent="0.2">
      <c r="A3046" s="9" t="s">
        <v>47</v>
      </c>
      <c r="B3046" s="9" t="s">
        <v>946</v>
      </c>
      <c r="C3046" s="9"/>
      <c r="D3046" s="9" t="s">
        <v>78</v>
      </c>
      <c r="E3046" s="38">
        <v>2169</v>
      </c>
      <c r="F3046" s="39">
        <v>1835740.66</v>
      </c>
      <c r="G3046" s="40">
        <v>846.35346242508081</v>
      </c>
      <c r="H3046" s="41">
        <v>0.59012119742410662</v>
      </c>
      <c r="I3046" s="40">
        <v>50.781208022130023</v>
      </c>
      <c r="J3046" s="41">
        <v>6.0000000326843557E-2</v>
      </c>
      <c r="K3046" s="9" t="s">
        <v>4265</v>
      </c>
    </row>
    <row r="3047" spans="1:11" x14ac:dyDescent="0.2">
      <c r="A3047" s="9" t="s">
        <v>47</v>
      </c>
      <c r="B3047" s="9" t="s">
        <v>4266</v>
      </c>
      <c r="C3047" s="9"/>
      <c r="D3047" s="9" t="s">
        <v>79</v>
      </c>
      <c r="E3047" s="38">
        <v>573</v>
      </c>
      <c r="F3047" s="39">
        <v>0</v>
      </c>
      <c r="G3047" s="40"/>
      <c r="H3047" s="41"/>
      <c r="I3047" s="40">
        <v>113.44</v>
      </c>
      <c r="J3047" s="41"/>
      <c r="K3047" s="9" t="s">
        <v>4267</v>
      </c>
    </row>
    <row r="3048" spans="1:11" x14ac:dyDescent="0.2">
      <c r="A3048" s="9" t="s">
        <v>47</v>
      </c>
      <c r="B3048" s="9" t="s">
        <v>4268</v>
      </c>
      <c r="C3048" s="9"/>
      <c r="D3048" s="9" t="s">
        <v>83</v>
      </c>
      <c r="E3048" s="38">
        <v>145209</v>
      </c>
      <c r="F3048" s="39">
        <v>0</v>
      </c>
      <c r="G3048" s="40"/>
      <c r="H3048" s="41"/>
      <c r="I3048" s="40">
        <v>0.44343697704687729</v>
      </c>
      <c r="J3048" s="41"/>
      <c r="K3048" s="9" t="s">
        <v>4269</v>
      </c>
    </row>
    <row r="3049" spans="1:11" x14ac:dyDescent="0.2">
      <c r="A3049" s="9" t="s">
        <v>47</v>
      </c>
      <c r="B3049" s="9" t="s">
        <v>1536</v>
      </c>
      <c r="C3049" s="9"/>
      <c r="D3049" s="9" t="s">
        <v>77</v>
      </c>
      <c r="E3049" s="38">
        <v>7063</v>
      </c>
      <c r="F3049" s="39">
        <v>2793138.38</v>
      </c>
      <c r="G3049" s="40">
        <v>395.46062296474582</v>
      </c>
      <c r="H3049" s="41">
        <v>0.87837591420226935</v>
      </c>
      <c r="I3049" s="40">
        <v>38.186048647883339</v>
      </c>
      <c r="J3049" s="41">
        <v>9.6560937879490244E-2</v>
      </c>
      <c r="K3049" s="9" t="s">
        <v>4270</v>
      </c>
    </row>
    <row r="3050" spans="1:11" x14ac:dyDescent="0.2">
      <c r="A3050" s="9" t="s">
        <v>47</v>
      </c>
      <c r="B3050" s="9" t="s">
        <v>355</v>
      </c>
      <c r="C3050" s="9"/>
      <c r="D3050" s="9" t="s">
        <v>82</v>
      </c>
      <c r="E3050" s="38">
        <v>2513</v>
      </c>
      <c r="F3050" s="39">
        <v>1446507.1</v>
      </c>
      <c r="G3050" s="40">
        <v>575.60966971746916</v>
      </c>
      <c r="H3050" s="41">
        <v>0.44920433967610102</v>
      </c>
      <c r="I3050" s="40">
        <v>79.122328292877043</v>
      </c>
      <c r="J3050" s="41">
        <v>0.1374583028316971</v>
      </c>
      <c r="K3050" s="9" t="s">
        <v>4271</v>
      </c>
    </row>
    <row r="3051" spans="1:11" x14ac:dyDescent="0.2">
      <c r="A3051" s="9" t="s">
        <v>47</v>
      </c>
      <c r="B3051" s="9" t="s">
        <v>357</v>
      </c>
      <c r="C3051" s="9"/>
      <c r="D3051" s="9" t="s">
        <v>76</v>
      </c>
      <c r="E3051" s="38">
        <v>1050</v>
      </c>
      <c r="F3051" s="39">
        <v>1062701.94</v>
      </c>
      <c r="G3051" s="40">
        <v>1012.097085714286</v>
      </c>
      <c r="H3051" s="41">
        <v>0.68934638324928244</v>
      </c>
      <c r="I3051" s="40">
        <v>132.91859314285719</v>
      </c>
      <c r="J3051" s="41">
        <v>0.1313298842759241</v>
      </c>
      <c r="K3051" s="9" t="s">
        <v>4272</v>
      </c>
    </row>
    <row r="3052" spans="1:11" x14ac:dyDescent="0.2">
      <c r="A3052" s="9" t="s">
        <v>47</v>
      </c>
      <c r="B3052" s="9" t="s">
        <v>4273</v>
      </c>
      <c r="C3052" s="9"/>
      <c r="D3052" s="9" t="s">
        <v>80</v>
      </c>
      <c r="E3052" s="38">
        <v>1111</v>
      </c>
      <c r="F3052" s="39">
        <v>210297.69</v>
      </c>
      <c r="G3052" s="40">
        <v>189.2868496849685</v>
      </c>
      <c r="H3052" s="41"/>
      <c r="I3052" s="40">
        <v>58.547452385238529</v>
      </c>
      <c r="J3052" s="41">
        <v>0.3093054403022687</v>
      </c>
      <c r="K3052" s="9" t="s">
        <v>4274</v>
      </c>
    </row>
    <row r="3053" spans="1:11" x14ac:dyDescent="0.2">
      <c r="A3053" s="9" t="s">
        <v>47</v>
      </c>
      <c r="B3053" s="9" t="s">
        <v>1551</v>
      </c>
      <c r="C3053" s="9"/>
      <c r="D3053" s="9" t="s">
        <v>81</v>
      </c>
      <c r="E3053" s="38">
        <v>1</v>
      </c>
      <c r="F3053" s="39">
        <v>0</v>
      </c>
      <c r="G3053" s="40"/>
      <c r="H3053" s="41"/>
      <c r="I3053" s="40">
        <v>32266.850399999999</v>
      </c>
      <c r="J3053" s="41"/>
      <c r="K3053" s="9" t="s">
        <v>4275</v>
      </c>
    </row>
    <row r="3054" spans="1:11" x14ac:dyDescent="0.2">
      <c r="A3054" s="9" t="s">
        <v>47</v>
      </c>
      <c r="B3054" s="9" t="s">
        <v>4276</v>
      </c>
      <c r="C3054" s="9"/>
      <c r="D3054" s="9" t="s">
        <v>79</v>
      </c>
      <c r="E3054" s="38">
        <v>3000</v>
      </c>
      <c r="F3054" s="39">
        <v>905194.44</v>
      </c>
      <c r="G3054" s="40">
        <v>301.73147999999998</v>
      </c>
      <c r="H3054" s="41">
        <v>0.76533095569122889</v>
      </c>
      <c r="I3054" s="40">
        <v>32</v>
      </c>
      <c r="J3054" s="41">
        <v>0.1060545621557287</v>
      </c>
      <c r="K3054" s="9" t="s">
        <v>4277</v>
      </c>
    </row>
    <row r="3055" spans="1:11" x14ac:dyDescent="0.2">
      <c r="A3055" s="9" t="s">
        <v>47</v>
      </c>
      <c r="B3055" s="9" t="s">
        <v>371</v>
      </c>
      <c r="C3055" s="9"/>
      <c r="D3055" s="9" t="s">
        <v>76</v>
      </c>
      <c r="E3055" s="38">
        <v>3040</v>
      </c>
      <c r="F3055" s="39">
        <v>486964.08</v>
      </c>
      <c r="G3055" s="40">
        <v>160.18555263157899</v>
      </c>
      <c r="H3055" s="41">
        <v>0.15042351201828061</v>
      </c>
      <c r="I3055" s="40">
        <v>36.099999868421051</v>
      </c>
      <c r="J3055" s="41">
        <v>0.22536364407001019</v>
      </c>
      <c r="K3055" s="9" t="s">
        <v>4278</v>
      </c>
    </row>
    <row r="3056" spans="1:11" x14ac:dyDescent="0.2">
      <c r="A3056" s="9" t="s">
        <v>47</v>
      </c>
      <c r="B3056" s="9" t="s">
        <v>4279</v>
      </c>
      <c r="C3056" s="9"/>
      <c r="D3056" s="9" t="s">
        <v>78</v>
      </c>
      <c r="E3056" s="38">
        <v>1250</v>
      </c>
      <c r="F3056" s="39">
        <v>0</v>
      </c>
      <c r="G3056" s="40"/>
      <c r="H3056" s="41"/>
      <c r="I3056" s="40">
        <v>80.7</v>
      </c>
      <c r="J3056" s="41"/>
      <c r="K3056" s="9" t="s">
        <v>4280</v>
      </c>
    </row>
    <row r="3057" spans="1:11" x14ac:dyDescent="0.2">
      <c r="A3057" s="9" t="s">
        <v>47</v>
      </c>
      <c r="B3057" s="9" t="s">
        <v>4281</v>
      </c>
      <c r="C3057" s="9"/>
      <c r="D3057" s="9" t="s">
        <v>76</v>
      </c>
      <c r="E3057" s="38">
        <v>1279</v>
      </c>
      <c r="F3057" s="39">
        <v>0</v>
      </c>
      <c r="G3057" s="40"/>
      <c r="H3057" s="41"/>
      <c r="I3057" s="40">
        <v>62.63</v>
      </c>
      <c r="J3057" s="41"/>
      <c r="K3057" s="9" t="s">
        <v>4282</v>
      </c>
    </row>
    <row r="3058" spans="1:11" x14ac:dyDescent="0.2">
      <c r="A3058" s="9" t="s">
        <v>47</v>
      </c>
      <c r="B3058" s="9" t="s">
        <v>4283</v>
      </c>
      <c r="C3058" s="9"/>
      <c r="D3058" s="9" t="s">
        <v>79</v>
      </c>
      <c r="E3058" s="38">
        <v>737</v>
      </c>
      <c r="F3058" s="39">
        <v>66000</v>
      </c>
      <c r="G3058" s="40">
        <v>89.552238805970148</v>
      </c>
      <c r="H3058" s="41"/>
      <c r="I3058" s="40">
        <v>50.612938941655358</v>
      </c>
      <c r="J3058" s="41">
        <v>0.56517781818181823</v>
      </c>
      <c r="K3058" s="9" t="s">
        <v>4284</v>
      </c>
    </row>
    <row r="3059" spans="1:11" x14ac:dyDescent="0.2">
      <c r="A3059" s="9" t="s">
        <v>47</v>
      </c>
      <c r="B3059" s="9" t="s">
        <v>388</v>
      </c>
      <c r="C3059" s="9"/>
      <c r="D3059" s="9" t="s">
        <v>76</v>
      </c>
      <c r="E3059" s="38">
        <v>9000</v>
      </c>
      <c r="F3059" s="39">
        <v>4132258.78</v>
      </c>
      <c r="G3059" s="40">
        <v>459.13986444444453</v>
      </c>
      <c r="H3059" s="41">
        <v>0.54940240159552789</v>
      </c>
      <c r="I3059" s="40">
        <v>57.41</v>
      </c>
      <c r="J3059" s="41">
        <v>0.1250381516522544</v>
      </c>
      <c r="K3059" s="9" t="s">
        <v>4285</v>
      </c>
    </row>
    <row r="3060" spans="1:11" x14ac:dyDescent="0.2">
      <c r="A3060" s="9" t="s">
        <v>47</v>
      </c>
      <c r="B3060" s="9" t="s">
        <v>392</v>
      </c>
      <c r="C3060" s="9"/>
      <c r="D3060" s="9" t="s">
        <v>76</v>
      </c>
      <c r="E3060" s="38">
        <v>3535</v>
      </c>
      <c r="F3060" s="39">
        <v>1161839.01</v>
      </c>
      <c r="G3060" s="40">
        <v>328.66732956152748</v>
      </c>
      <c r="H3060" s="41"/>
      <c r="I3060" s="40">
        <v>38.019341329561527</v>
      </c>
      <c r="J3060" s="41">
        <v>0.11567727580433031</v>
      </c>
      <c r="K3060" s="9" t="s">
        <v>4286</v>
      </c>
    </row>
    <row r="3061" spans="1:11" x14ac:dyDescent="0.2">
      <c r="A3061" s="9" t="s">
        <v>47</v>
      </c>
      <c r="B3061" s="9" t="s">
        <v>574</v>
      </c>
      <c r="C3061" s="9"/>
      <c r="D3061" s="9" t="s">
        <v>82</v>
      </c>
      <c r="E3061" s="38">
        <v>1207</v>
      </c>
      <c r="F3061" s="39">
        <v>370012</v>
      </c>
      <c r="G3061" s="40">
        <v>306.55509527754771</v>
      </c>
      <c r="H3061" s="41">
        <v>-7.0919652379115516E-2</v>
      </c>
      <c r="I3061" s="40">
        <v>76.218185915492953</v>
      </c>
      <c r="J3061" s="41">
        <v>0.2486280185507497</v>
      </c>
      <c r="K3061" s="9" t="s">
        <v>4287</v>
      </c>
    </row>
    <row r="3062" spans="1:11" x14ac:dyDescent="0.2">
      <c r="A3062" s="9" t="s">
        <v>47</v>
      </c>
      <c r="B3062" s="9" t="s">
        <v>396</v>
      </c>
      <c r="C3062" s="9"/>
      <c r="D3062" s="9" t="s">
        <v>78</v>
      </c>
      <c r="E3062" s="38">
        <v>1502</v>
      </c>
      <c r="F3062" s="39">
        <v>2013493.2</v>
      </c>
      <c r="G3062" s="40">
        <v>1340.5414114513981</v>
      </c>
      <c r="H3062" s="41">
        <v>0.16385841775432169</v>
      </c>
      <c r="I3062" s="40">
        <v>192.8816508655126</v>
      </c>
      <c r="J3062" s="41">
        <v>0.14388339608000661</v>
      </c>
      <c r="K3062" s="9" t="s">
        <v>4288</v>
      </c>
    </row>
    <row r="3063" spans="1:11" x14ac:dyDescent="0.2">
      <c r="A3063" s="9" t="s">
        <v>47</v>
      </c>
      <c r="B3063" s="9" t="s">
        <v>398</v>
      </c>
      <c r="C3063" s="9"/>
      <c r="D3063" s="9" t="s">
        <v>76</v>
      </c>
      <c r="E3063" s="38">
        <v>2536</v>
      </c>
      <c r="F3063" s="39">
        <v>865589.6100000001</v>
      </c>
      <c r="G3063" s="40">
        <v>341.32082413249208</v>
      </c>
      <c r="H3063" s="41">
        <v>0.65431826146720373</v>
      </c>
      <c r="I3063" s="40">
        <v>48.33</v>
      </c>
      <c r="J3063" s="41">
        <v>0.14159698612833391</v>
      </c>
      <c r="K3063" s="9" t="s">
        <v>4289</v>
      </c>
    </row>
    <row r="3064" spans="1:11" x14ac:dyDescent="0.2">
      <c r="A3064" s="9" t="s">
        <v>62</v>
      </c>
      <c r="B3064" s="9" t="s">
        <v>1988</v>
      </c>
      <c r="C3064" s="9" t="s">
        <v>84</v>
      </c>
      <c r="D3064" s="9" t="s">
        <v>85</v>
      </c>
      <c r="E3064" s="38">
        <v>10302</v>
      </c>
      <c r="F3064" s="39">
        <v>1074205</v>
      </c>
      <c r="G3064" s="40">
        <v>104.2715006794797</v>
      </c>
      <c r="H3064" s="41">
        <v>-5.5285536745779428E-2</v>
      </c>
      <c r="I3064" s="40">
        <v>33.861262900407681</v>
      </c>
      <c r="J3064" s="41">
        <v>0.32474130207921198</v>
      </c>
      <c r="K3064" s="9" t="s">
        <v>4290</v>
      </c>
    </row>
    <row r="3065" spans="1:11" x14ac:dyDescent="0.2">
      <c r="A3065" s="9" t="s">
        <v>62</v>
      </c>
      <c r="B3065" s="9" t="s">
        <v>650</v>
      </c>
      <c r="C3065" s="9"/>
      <c r="D3065" s="9" t="s">
        <v>76</v>
      </c>
      <c r="E3065" s="38">
        <v>10147</v>
      </c>
      <c r="F3065" s="39">
        <v>3141738.77</v>
      </c>
      <c r="G3065" s="40">
        <v>309.62242731841923</v>
      </c>
      <c r="H3065" s="41">
        <v>-3.7722830787742363E-2</v>
      </c>
      <c r="I3065" s="40">
        <v>19.71026313196019</v>
      </c>
      <c r="J3065" s="41">
        <v>6.3659029168742762E-2</v>
      </c>
      <c r="K3065" s="9" t="s">
        <v>4291</v>
      </c>
    </row>
    <row r="3066" spans="1:11" x14ac:dyDescent="0.2">
      <c r="A3066" s="9" t="s">
        <v>62</v>
      </c>
      <c r="B3066" s="9" t="s">
        <v>4292</v>
      </c>
      <c r="C3066" s="9"/>
      <c r="D3066" s="9" t="s">
        <v>76</v>
      </c>
      <c r="E3066" s="38">
        <v>150</v>
      </c>
      <c r="F3066" s="39">
        <v>97350</v>
      </c>
      <c r="G3066" s="40">
        <v>649</v>
      </c>
      <c r="H3066" s="41">
        <v>0.90549563430919366</v>
      </c>
      <c r="I3066" s="40">
        <v>708.30599200000006</v>
      </c>
      <c r="J3066" s="41">
        <v>1.0913805731895231E-2</v>
      </c>
      <c r="K3066" s="9" t="s">
        <v>4293</v>
      </c>
    </row>
    <row r="3067" spans="1:11" x14ac:dyDescent="0.2">
      <c r="A3067" s="9" t="s">
        <v>62</v>
      </c>
      <c r="B3067" s="9" t="s">
        <v>4292</v>
      </c>
      <c r="C3067" s="9"/>
      <c r="D3067" s="9" t="s">
        <v>76</v>
      </c>
      <c r="E3067" s="38">
        <v>180</v>
      </c>
      <c r="F3067" s="39">
        <v>74750</v>
      </c>
      <c r="G3067" s="40">
        <v>415.27777777777783</v>
      </c>
      <c r="H3067" s="41">
        <v>0.79397993311036785</v>
      </c>
      <c r="I3067" s="40">
        <v>590.17226000000005</v>
      </c>
      <c r="J3067" s="41">
        <v>1.4211505926421409E-2</v>
      </c>
      <c r="K3067" s="9" t="s">
        <v>4293</v>
      </c>
    </row>
    <row r="3068" spans="1:11" x14ac:dyDescent="0.2">
      <c r="A3068" s="9" t="s">
        <v>62</v>
      </c>
      <c r="B3068" s="9" t="s">
        <v>4294</v>
      </c>
      <c r="C3068" s="9"/>
      <c r="D3068" s="9" t="s">
        <v>83</v>
      </c>
      <c r="E3068" s="38">
        <v>5456</v>
      </c>
      <c r="F3068" s="39"/>
      <c r="G3068" s="40"/>
      <c r="H3068" s="41"/>
      <c r="I3068" s="40">
        <v>23.28682170087977</v>
      </c>
      <c r="J3068" s="41"/>
      <c r="K3068" s="9" t="s">
        <v>4295</v>
      </c>
    </row>
    <row r="3069" spans="1:11" x14ac:dyDescent="0.2">
      <c r="A3069" s="9" t="s">
        <v>62</v>
      </c>
      <c r="B3069" s="9" t="s">
        <v>4296</v>
      </c>
      <c r="C3069" s="9"/>
      <c r="D3069" s="9" t="s">
        <v>76</v>
      </c>
      <c r="E3069" s="38">
        <v>5002</v>
      </c>
      <c r="F3069" s="39">
        <v>1534727.44</v>
      </c>
      <c r="G3069" s="40">
        <v>306.82275889644143</v>
      </c>
      <c r="H3069" s="41">
        <v>-0.17461580669985291</v>
      </c>
      <c r="I3069" s="40">
        <v>91.542220711715316</v>
      </c>
      <c r="J3069" s="41">
        <v>0.29835537963666048</v>
      </c>
      <c r="K3069" s="9" t="s">
        <v>4297</v>
      </c>
    </row>
    <row r="3070" spans="1:11" x14ac:dyDescent="0.2">
      <c r="A3070" s="9" t="s">
        <v>62</v>
      </c>
      <c r="B3070" s="9" t="s">
        <v>164</v>
      </c>
      <c r="C3070" s="9"/>
      <c r="D3070" s="9" t="s">
        <v>76</v>
      </c>
      <c r="E3070" s="38">
        <v>4099</v>
      </c>
      <c r="F3070" s="39">
        <v>1327706.9099999999</v>
      </c>
      <c r="G3070" s="40">
        <v>323.90995608685051</v>
      </c>
      <c r="H3070" s="41">
        <v>-0.22842035973135069</v>
      </c>
      <c r="I3070" s="40">
        <v>76.583391070992931</v>
      </c>
      <c r="J3070" s="41">
        <v>0.23643419917126141</v>
      </c>
      <c r="K3070" s="9" t="s">
        <v>4298</v>
      </c>
    </row>
    <row r="3071" spans="1:11" x14ac:dyDescent="0.2">
      <c r="A3071" s="9" t="s">
        <v>62</v>
      </c>
      <c r="B3071" s="9" t="s">
        <v>166</v>
      </c>
      <c r="C3071" s="9"/>
      <c r="D3071" s="9" t="s">
        <v>76</v>
      </c>
      <c r="E3071" s="38">
        <v>5649</v>
      </c>
      <c r="F3071" s="39">
        <v>2424118.46</v>
      </c>
      <c r="G3071" s="40">
        <v>429.12346610019472</v>
      </c>
      <c r="H3071" s="41">
        <v>6.4022197166057684E-2</v>
      </c>
      <c r="I3071" s="40">
        <v>64.436176314391929</v>
      </c>
      <c r="J3071" s="41">
        <v>0.1501576618495781</v>
      </c>
      <c r="K3071" s="9" t="s">
        <v>4299</v>
      </c>
    </row>
    <row r="3072" spans="1:11" x14ac:dyDescent="0.2">
      <c r="A3072" s="9" t="s">
        <v>62</v>
      </c>
      <c r="B3072" s="9" t="s">
        <v>2099</v>
      </c>
      <c r="C3072" s="9"/>
      <c r="D3072" s="9" t="s">
        <v>76</v>
      </c>
      <c r="E3072" s="38">
        <v>8264</v>
      </c>
      <c r="F3072" s="39">
        <v>1963681.26</v>
      </c>
      <c r="G3072" s="40">
        <v>237.61873910939011</v>
      </c>
      <c r="H3072" s="41">
        <v>0.1108455299919703</v>
      </c>
      <c r="I3072" s="40">
        <v>32.671829622458858</v>
      </c>
      <c r="J3072" s="41">
        <v>0.1374968562871553</v>
      </c>
      <c r="K3072" s="9" t="s">
        <v>4300</v>
      </c>
    </row>
    <row r="3073" spans="1:11" x14ac:dyDescent="0.2">
      <c r="A3073" s="9" t="s">
        <v>62</v>
      </c>
      <c r="B3073" s="9" t="s">
        <v>168</v>
      </c>
      <c r="C3073" s="9"/>
      <c r="D3073" s="9" t="s">
        <v>77</v>
      </c>
      <c r="E3073" s="38">
        <v>2615</v>
      </c>
      <c r="F3073" s="39">
        <v>987440.43</v>
      </c>
      <c r="G3073" s="40">
        <v>377.60628298279158</v>
      </c>
      <c r="H3073" s="41">
        <v>-0.1065645954966621</v>
      </c>
      <c r="I3073" s="40">
        <v>47.801162523900572</v>
      </c>
      <c r="J3073" s="41">
        <v>0.12658995540622131</v>
      </c>
      <c r="K3073" s="9" t="s">
        <v>4301</v>
      </c>
    </row>
    <row r="3074" spans="1:11" x14ac:dyDescent="0.2">
      <c r="A3074" s="9" t="s">
        <v>62</v>
      </c>
      <c r="B3074" s="9" t="s">
        <v>403</v>
      </c>
      <c r="C3074" s="9"/>
      <c r="D3074" s="9" t="s">
        <v>86</v>
      </c>
      <c r="E3074" s="38">
        <v>74270</v>
      </c>
      <c r="F3074" s="39">
        <v>11294875.07</v>
      </c>
      <c r="G3074" s="40">
        <v>152.07856563888521</v>
      </c>
      <c r="H3074" s="41">
        <v>4.1835787210703537E-2</v>
      </c>
      <c r="I3074" s="40">
        <v>66.409848391005795</v>
      </c>
      <c r="J3074" s="41">
        <v>0.43668118588583921</v>
      </c>
      <c r="K3074" s="9" t="s">
        <v>4302</v>
      </c>
    </row>
    <row r="3075" spans="1:11" x14ac:dyDescent="0.2">
      <c r="A3075" s="9" t="s">
        <v>62</v>
      </c>
      <c r="B3075" s="9" t="s">
        <v>169</v>
      </c>
      <c r="C3075" s="9"/>
      <c r="D3075" s="9" t="s">
        <v>76</v>
      </c>
      <c r="E3075" s="38">
        <v>8868</v>
      </c>
      <c r="F3075" s="39">
        <v>3496900.21</v>
      </c>
      <c r="G3075" s="40">
        <v>394.32794429409108</v>
      </c>
      <c r="H3075" s="41">
        <v>-0.15138987051620781</v>
      </c>
      <c r="I3075" s="40">
        <v>95.298538565629229</v>
      </c>
      <c r="J3075" s="41">
        <v>0.24167330757202249</v>
      </c>
      <c r="K3075" s="9" t="s">
        <v>4303</v>
      </c>
    </row>
    <row r="3076" spans="1:11" x14ac:dyDescent="0.2">
      <c r="A3076" s="9" t="s">
        <v>62</v>
      </c>
      <c r="B3076" s="9" t="s">
        <v>411</v>
      </c>
      <c r="C3076" s="9"/>
      <c r="D3076" s="9" t="s">
        <v>76</v>
      </c>
      <c r="E3076" s="38">
        <v>15641</v>
      </c>
      <c r="F3076" s="39">
        <v>1478398.71</v>
      </c>
      <c r="G3076" s="40">
        <v>94.520728214308548</v>
      </c>
      <c r="H3076" s="41">
        <v>8.6673059935232125E-2</v>
      </c>
      <c r="I3076" s="40">
        <v>14.923224857745669</v>
      </c>
      <c r="J3076" s="41">
        <v>0.1578830923087047</v>
      </c>
      <c r="K3076" s="9" t="s">
        <v>4304</v>
      </c>
    </row>
    <row r="3077" spans="1:11" x14ac:dyDescent="0.2">
      <c r="A3077" s="9" t="s">
        <v>62</v>
      </c>
      <c r="B3077" s="9" t="s">
        <v>173</v>
      </c>
      <c r="C3077" s="9"/>
      <c r="D3077" s="9" t="s">
        <v>80</v>
      </c>
      <c r="E3077" s="38">
        <v>240</v>
      </c>
      <c r="F3077" s="39">
        <v>615558</v>
      </c>
      <c r="G3077" s="40">
        <v>2564.8249999999998</v>
      </c>
      <c r="H3077" s="41">
        <v>-4.8823993839735652E-2</v>
      </c>
      <c r="I3077" s="40">
        <v>527.38426500000003</v>
      </c>
      <c r="J3077" s="41">
        <v>0.20562192937139959</v>
      </c>
      <c r="K3077" s="9" t="s">
        <v>4305</v>
      </c>
    </row>
    <row r="3078" spans="1:11" x14ac:dyDescent="0.2">
      <c r="A3078" s="9" t="s">
        <v>62</v>
      </c>
      <c r="B3078" s="9" t="s">
        <v>4306</v>
      </c>
      <c r="C3078" s="9"/>
      <c r="D3078" s="9" t="s">
        <v>81</v>
      </c>
      <c r="E3078" s="38">
        <v>45756</v>
      </c>
      <c r="F3078" s="39">
        <v>2057421.43</v>
      </c>
      <c r="G3078" s="40">
        <v>44.965063161115481</v>
      </c>
      <c r="H3078" s="41">
        <v>-3.9930020559764523E-2</v>
      </c>
      <c r="I3078" s="40">
        <v>13.86881195908733</v>
      </c>
      <c r="J3078" s="41">
        <v>0.3084352825079692</v>
      </c>
      <c r="K3078" s="9" t="s">
        <v>4307</v>
      </c>
    </row>
    <row r="3079" spans="1:11" x14ac:dyDescent="0.2">
      <c r="A3079" s="9" t="s">
        <v>62</v>
      </c>
      <c r="B3079" s="9" t="s">
        <v>4308</v>
      </c>
      <c r="C3079" s="9"/>
      <c r="D3079" s="9" t="s">
        <v>76</v>
      </c>
      <c r="E3079" s="38">
        <v>3147</v>
      </c>
      <c r="F3079" s="39">
        <v>981313.17</v>
      </c>
      <c r="G3079" s="40">
        <v>311.82496663489042</v>
      </c>
      <c r="H3079" s="41">
        <v>3.518907221025091E-3</v>
      </c>
      <c r="I3079" s="40">
        <v>52.500282554814113</v>
      </c>
      <c r="J3079" s="41">
        <v>0.1683645896650913</v>
      </c>
      <c r="K3079" s="9" t="s">
        <v>4309</v>
      </c>
    </row>
    <row r="3080" spans="1:11" x14ac:dyDescent="0.2">
      <c r="A3080" s="9" t="s">
        <v>62</v>
      </c>
      <c r="B3080" s="9" t="s">
        <v>177</v>
      </c>
      <c r="C3080" s="9"/>
      <c r="D3080" s="9" t="s">
        <v>85</v>
      </c>
      <c r="E3080" s="38">
        <v>32000</v>
      </c>
      <c r="F3080" s="39">
        <v>3761523.53</v>
      </c>
      <c r="G3080" s="40">
        <v>117.5476103125</v>
      </c>
      <c r="H3080" s="41">
        <v>0.1001392619229475</v>
      </c>
      <c r="I3080" s="40">
        <v>5.625</v>
      </c>
      <c r="J3080" s="41">
        <v>4.7852950689903043E-2</v>
      </c>
      <c r="K3080" s="9" t="s">
        <v>4310</v>
      </c>
    </row>
    <row r="3081" spans="1:11" x14ac:dyDescent="0.2">
      <c r="A3081" s="9" t="s">
        <v>62</v>
      </c>
      <c r="B3081" s="9" t="s">
        <v>179</v>
      </c>
      <c r="C3081" s="9"/>
      <c r="D3081" s="9" t="s">
        <v>79</v>
      </c>
      <c r="E3081" s="38">
        <v>4645</v>
      </c>
      <c r="F3081" s="39">
        <v>2713397.78</v>
      </c>
      <c r="G3081" s="40">
        <v>584.15452744886966</v>
      </c>
      <c r="H3081" s="41">
        <v>-0.1050764551005125</v>
      </c>
      <c r="I3081" s="40">
        <v>76.145812960172222</v>
      </c>
      <c r="J3081" s="41">
        <v>0.13035217460817711</v>
      </c>
      <c r="K3081" s="9" t="s">
        <v>4311</v>
      </c>
    </row>
    <row r="3082" spans="1:11" x14ac:dyDescent="0.2">
      <c r="A3082" s="9" t="s">
        <v>62</v>
      </c>
      <c r="B3082" s="9" t="s">
        <v>755</v>
      </c>
      <c r="C3082" s="9"/>
      <c r="D3082" s="9" t="s">
        <v>86</v>
      </c>
      <c r="E3082" s="38">
        <v>51554</v>
      </c>
      <c r="F3082" s="39">
        <v>0</v>
      </c>
      <c r="G3082" s="40"/>
      <c r="H3082" s="41"/>
      <c r="I3082" s="40">
        <v>13.288057570702559</v>
      </c>
      <c r="J3082" s="41"/>
      <c r="K3082" s="9" t="s">
        <v>4312</v>
      </c>
    </row>
    <row r="3083" spans="1:11" x14ac:dyDescent="0.2">
      <c r="A3083" s="9" t="s">
        <v>62</v>
      </c>
      <c r="B3083" s="9" t="s">
        <v>2001</v>
      </c>
      <c r="C3083" s="9"/>
      <c r="D3083" s="9" t="s">
        <v>85</v>
      </c>
      <c r="E3083" s="38">
        <v>26849</v>
      </c>
      <c r="F3083" s="39">
        <v>2308745.59</v>
      </c>
      <c r="G3083" s="40">
        <v>85.990002979626794</v>
      </c>
      <c r="H3083" s="41">
        <v>-4.9589651842063792E-2</v>
      </c>
      <c r="I3083" s="40">
        <v>27.93400126634139</v>
      </c>
      <c r="J3083" s="41">
        <v>0.32485173041521648</v>
      </c>
      <c r="K3083" s="9" t="s">
        <v>4313</v>
      </c>
    </row>
    <row r="3084" spans="1:11" x14ac:dyDescent="0.2">
      <c r="A3084" s="9" t="s">
        <v>62</v>
      </c>
      <c r="B3084" s="9" t="s">
        <v>4314</v>
      </c>
      <c r="C3084" s="9"/>
      <c r="D3084" s="9" t="s">
        <v>86</v>
      </c>
      <c r="E3084" s="38">
        <v>118076</v>
      </c>
      <c r="F3084" s="39">
        <v>0</v>
      </c>
      <c r="G3084" s="40"/>
      <c r="H3084" s="41"/>
      <c r="I3084" s="40">
        <v>21.389568948812631</v>
      </c>
      <c r="J3084" s="41"/>
      <c r="K3084" s="9" t="s">
        <v>4315</v>
      </c>
    </row>
    <row r="3085" spans="1:11" x14ac:dyDescent="0.2">
      <c r="A3085" s="9" t="s">
        <v>62</v>
      </c>
      <c r="B3085" s="9" t="s">
        <v>187</v>
      </c>
      <c r="C3085" s="9"/>
      <c r="D3085" s="9" t="s">
        <v>76</v>
      </c>
      <c r="E3085" s="38">
        <v>1606</v>
      </c>
      <c r="F3085" s="39">
        <v>437564.15</v>
      </c>
      <c r="G3085" s="40">
        <v>272.45588418430879</v>
      </c>
      <c r="H3085" s="41">
        <v>5.34991269280174E-2</v>
      </c>
      <c r="I3085" s="40">
        <v>34.246550435865501</v>
      </c>
      <c r="J3085" s="41">
        <v>0.12569576369544899</v>
      </c>
      <c r="K3085" s="9" t="s">
        <v>4316</v>
      </c>
    </row>
    <row r="3086" spans="1:11" x14ac:dyDescent="0.2">
      <c r="A3086" s="9" t="s">
        <v>62</v>
      </c>
      <c r="B3086" s="9" t="s">
        <v>4317</v>
      </c>
      <c r="C3086" s="9"/>
      <c r="D3086" s="9" t="s">
        <v>83</v>
      </c>
      <c r="E3086" s="38">
        <v>7601</v>
      </c>
      <c r="F3086" s="39">
        <v>3143.06</v>
      </c>
      <c r="G3086" s="40">
        <v>0.41350611761610312</v>
      </c>
      <c r="H3086" s="41">
        <v>1</v>
      </c>
      <c r="I3086" s="40">
        <v>20.595221576108401</v>
      </c>
      <c r="J3086" s="41">
        <v>0.49806328609698819</v>
      </c>
      <c r="K3086" s="9" t="s">
        <v>4318</v>
      </c>
    </row>
    <row r="3087" spans="1:11" x14ac:dyDescent="0.2">
      <c r="A3087" s="9" t="s">
        <v>62</v>
      </c>
      <c r="B3087" s="9" t="s">
        <v>4319</v>
      </c>
      <c r="C3087" s="9"/>
      <c r="D3087" s="9" t="s">
        <v>83</v>
      </c>
      <c r="E3087" s="38">
        <v>1560</v>
      </c>
      <c r="F3087" s="39"/>
      <c r="G3087" s="40"/>
      <c r="H3087" s="41"/>
      <c r="I3087" s="40">
        <v>15.38461538461539</v>
      </c>
      <c r="J3087" s="41"/>
      <c r="K3087" s="9" t="s">
        <v>4320</v>
      </c>
    </row>
    <row r="3088" spans="1:11" x14ac:dyDescent="0.2">
      <c r="A3088" s="9" t="s">
        <v>62</v>
      </c>
      <c r="B3088" s="9" t="s">
        <v>4321</v>
      </c>
      <c r="C3088" s="9"/>
      <c r="D3088" s="9" t="s">
        <v>76</v>
      </c>
      <c r="E3088" s="38">
        <v>2520</v>
      </c>
      <c r="F3088" s="39">
        <v>897649.57</v>
      </c>
      <c r="G3088" s="40">
        <v>356.21014682539681</v>
      </c>
      <c r="H3088" s="41">
        <v>-0.10616249724266021</v>
      </c>
      <c r="I3088" s="40">
        <v>74.181073504761898</v>
      </c>
      <c r="J3088" s="41">
        <v>0.20825087147537991</v>
      </c>
      <c r="K3088" s="9" t="s">
        <v>4322</v>
      </c>
    </row>
    <row r="3089" spans="1:11" x14ac:dyDescent="0.2">
      <c r="A3089" s="9" t="s">
        <v>62</v>
      </c>
      <c r="B3089" s="9" t="s">
        <v>4323</v>
      </c>
      <c r="C3089" s="9"/>
      <c r="D3089" s="9" t="s">
        <v>81</v>
      </c>
      <c r="E3089" s="38">
        <v>6443</v>
      </c>
      <c r="F3089" s="39">
        <v>1258606</v>
      </c>
      <c r="G3089" s="40">
        <v>195.34471519478501</v>
      </c>
      <c r="H3089" s="41">
        <v>-0.56412476978498438</v>
      </c>
      <c r="I3089" s="40">
        <v>36.928865559521959</v>
      </c>
      <c r="J3089" s="41">
        <v>0.18904461030695871</v>
      </c>
      <c r="K3089" s="9" t="s">
        <v>4324</v>
      </c>
    </row>
    <row r="3090" spans="1:11" x14ac:dyDescent="0.2">
      <c r="A3090" s="9" t="s">
        <v>62</v>
      </c>
      <c r="B3090" s="9" t="s">
        <v>193</v>
      </c>
      <c r="C3090" s="9"/>
      <c r="D3090" s="9" t="s">
        <v>82</v>
      </c>
      <c r="E3090" s="38">
        <v>2349</v>
      </c>
      <c r="F3090" s="39">
        <v>773822.71</v>
      </c>
      <c r="G3090" s="40">
        <v>329.42644103873988</v>
      </c>
      <c r="H3090" s="41">
        <v>-5.0818100182146463E-2</v>
      </c>
      <c r="I3090" s="40">
        <v>37.055785440613029</v>
      </c>
      <c r="J3090" s="41">
        <v>0.11248576563487001</v>
      </c>
      <c r="K3090" s="9" t="s">
        <v>4325</v>
      </c>
    </row>
    <row r="3091" spans="1:11" x14ac:dyDescent="0.2">
      <c r="A3091" s="9" t="s">
        <v>62</v>
      </c>
      <c r="B3091" s="9" t="s">
        <v>2124</v>
      </c>
      <c r="C3091" s="9"/>
      <c r="D3091" s="9" t="s">
        <v>81</v>
      </c>
      <c r="E3091" s="38">
        <v>1055</v>
      </c>
      <c r="F3091" s="39">
        <v>911610.59</v>
      </c>
      <c r="G3091" s="40">
        <v>864.08586729857814</v>
      </c>
      <c r="H3091" s="41">
        <v>1</v>
      </c>
      <c r="I3091" s="40">
        <v>139.62395601895739</v>
      </c>
      <c r="J3091" s="41">
        <v>0.1615857419997721</v>
      </c>
      <c r="K3091" s="9" t="s">
        <v>4326</v>
      </c>
    </row>
    <row r="3092" spans="1:11" x14ac:dyDescent="0.2">
      <c r="A3092" s="9" t="s">
        <v>62</v>
      </c>
      <c r="B3092" s="9" t="s">
        <v>2126</v>
      </c>
      <c r="C3092" s="9"/>
      <c r="D3092" s="9" t="s">
        <v>86</v>
      </c>
      <c r="E3092" s="38">
        <v>54609</v>
      </c>
      <c r="F3092" s="39">
        <v>0</v>
      </c>
      <c r="G3092" s="40"/>
      <c r="H3092" s="41"/>
      <c r="I3092" s="40">
        <v>17.009998351920011</v>
      </c>
      <c r="J3092" s="41"/>
      <c r="K3092" s="9" t="s">
        <v>4327</v>
      </c>
    </row>
    <row r="3093" spans="1:11" x14ac:dyDescent="0.2">
      <c r="A3093" s="9" t="s">
        <v>62</v>
      </c>
      <c r="B3093" s="9" t="s">
        <v>4328</v>
      </c>
      <c r="C3093" s="9"/>
      <c r="D3093" s="9" t="s">
        <v>83</v>
      </c>
      <c r="E3093" s="38">
        <v>1205</v>
      </c>
      <c r="F3093" s="39"/>
      <c r="G3093" s="40"/>
      <c r="H3093" s="41"/>
      <c r="I3093" s="40">
        <v>58.107385892116177</v>
      </c>
      <c r="J3093" s="41"/>
      <c r="K3093" s="9" t="s">
        <v>4329</v>
      </c>
    </row>
    <row r="3094" spans="1:11" x14ac:dyDescent="0.2">
      <c r="A3094" s="9" t="s">
        <v>62</v>
      </c>
      <c r="B3094" s="9" t="s">
        <v>4330</v>
      </c>
      <c r="C3094" s="9"/>
      <c r="D3094" s="9" t="s">
        <v>81</v>
      </c>
      <c r="E3094" s="38">
        <v>7146</v>
      </c>
      <c r="F3094" s="39">
        <v>2096144.16</v>
      </c>
      <c r="G3094" s="40">
        <v>293.33111670864821</v>
      </c>
      <c r="H3094" s="41">
        <v>1</v>
      </c>
      <c r="I3094" s="40">
        <v>35.035163727959699</v>
      </c>
      <c r="J3094" s="41">
        <v>0.119438960724915</v>
      </c>
      <c r="K3094" s="9" t="s">
        <v>4331</v>
      </c>
    </row>
    <row r="3095" spans="1:11" x14ac:dyDescent="0.2">
      <c r="A3095" s="9" t="s">
        <v>62</v>
      </c>
      <c r="B3095" s="9" t="s">
        <v>197</v>
      </c>
      <c r="C3095" s="9"/>
      <c r="D3095" s="9" t="s">
        <v>76</v>
      </c>
      <c r="E3095" s="38">
        <v>2800</v>
      </c>
      <c r="F3095" s="39">
        <v>710867.86</v>
      </c>
      <c r="G3095" s="40">
        <v>253.8813785714286</v>
      </c>
      <c r="H3095" s="41">
        <v>-6.4662101898937965E-2</v>
      </c>
      <c r="I3095" s="40">
        <v>24.999985714285721</v>
      </c>
      <c r="J3095" s="41">
        <v>9.8471127953372387E-2</v>
      </c>
      <c r="K3095" s="9" t="s">
        <v>4332</v>
      </c>
    </row>
    <row r="3096" spans="1:11" x14ac:dyDescent="0.2">
      <c r="A3096" s="9" t="s">
        <v>62</v>
      </c>
      <c r="B3096" s="9" t="s">
        <v>200</v>
      </c>
      <c r="C3096" s="9"/>
      <c r="D3096" s="9" t="s">
        <v>77</v>
      </c>
      <c r="E3096" s="38">
        <v>8366</v>
      </c>
      <c r="F3096" s="39">
        <v>3192250.26</v>
      </c>
      <c r="G3096" s="40">
        <v>381.57426010040638</v>
      </c>
      <c r="H3096" s="41">
        <v>0.16493120749248519</v>
      </c>
      <c r="I3096" s="40">
        <v>80.137636480994502</v>
      </c>
      <c r="J3096" s="41">
        <v>0.21001845475611311</v>
      </c>
      <c r="K3096" s="9" t="s">
        <v>4333</v>
      </c>
    </row>
    <row r="3097" spans="1:11" x14ac:dyDescent="0.2">
      <c r="A3097" s="9" t="s">
        <v>62</v>
      </c>
      <c r="B3097" s="9" t="s">
        <v>202</v>
      </c>
      <c r="C3097" s="9"/>
      <c r="D3097" s="9" t="s">
        <v>81</v>
      </c>
      <c r="E3097" s="38">
        <v>743</v>
      </c>
      <c r="F3097" s="39">
        <v>1250127.42</v>
      </c>
      <c r="G3097" s="40">
        <v>1682.5402691790041</v>
      </c>
      <c r="H3097" s="41">
        <v>7.6670472518713229E-2</v>
      </c>
      <c r="I3097" s="40">
        <v>344.94936904441448</v>
      </c>
      <c r="J3097" s="41">
        <v>0.2050170063464411</v>
      </c>
      <c r="K3097" s="9" t="s">
        <v>4334</v>
      </c>
    </row>
    <row r="3098" spans="1:11" x14ac:dyDescent="0.2">
      <c r="A3098" s="9" t="s">
        <v>62</v>
      </c>
      <c r="B3098" s="9" t="s">
        <v>877</v>
      </c>
      <c r="C3098" s="9"/>
      <c r="D3098" s="9" t="s">
        <v>76</v>
      </c>
      <c r="E3098" s="38">
        <v>7060</v>
      </c>
      <c r="F3098" s="39">
        <v>1348873.8</v>
      </c>
      <c r="G3098" s="40">
        <v>191.05861189801701</v>
      </c>
      <c r="H3098" s="41">
        <v>0.1108033012428592</v>
      </c>
      <c r="I3098" s="40">
        <v>0</v>
      </c>
      <c r="J3098" s="41">
        <v>0</v>
      </c>
      <c r="K3098" s="9" t="s">
        <v>4335</v>
      </c>
    </row>
    <row r="3099" spans="1:11" x14ac:dyDescent="0.2">
      <c r="A3099" s="9" t="s">
        <v>62</v>
      </c>
      <c r="B3099" s="9" t="s">
        <v>1091</v>
      </c>
      <c r="C3099" s="9"/>
      <c r="D3099" s="9" t="s">
        <v>81</v>
      </c>
      <c r="E3099" s="38">
        <v>12174</v>
      </c>
      <c r="F3099" s="39">
        <v>9202558.8499999996</v>
      </c>
      <c r="G3099" s="40">
        <v>755.91907754230328</v>
      </c>
      <c r="H3099" s="41">
        <v>-7.6594967931121324E-3</v>
      </c>
      <c r="I3099" s="40">
        <v>66.619197634302608</v>
      </c>
      <c r="J3099" s="41">
        <v>8.8130065258968701E-2</v>
      </c>
      <c r="K3099" s="9" t="s">
        <v>4336</v>
      </c>
    </row>
    <row r="3100" spans="1:11" x14ac:dyDescent="0.2">
      <c r="A3100" s="9" t="s">
        <v>62</v>
      </c>
      <c r="B3100" s="9" t="s">
        <v>4337</v>
      </c>
      <c r="C3100" s="9"/>
      <c r="D3100" s="9" t="s">
        <v>81</v>
      </c>
      <c r="E3100" s="38">
        <v>7350</v>
      </c>
      <c r="F3100" s="39">
        <v>4728149.75</v>
      </c>
      <c r="G3100" s="40">
        <v>643.28568027210883</v>
      </c>
      <c r="H3100" s="41">
        <v>0.1943188770617936</v>
      </c>
      <c r="I3100" s="40">
        <v>43.517828571428574</v>
      </c>
      <c r="J3100" s="41">
        <v>6.7649304043299399E-2</v>
      </c>
      <c r="K3100" s="9" t="s">
        <v>4338</v>
      </c>
    </row>
    <row r="3101" spans="1:11" x14ac:dyDescent="0.2">
      <c r="A3101" s="9" t="s">
        <v>62</v>
      </c>
      <c r="B3101" s="9" t="s">
        <v>4339</v>
      </c>
      <c r="C3101" s="9"/>
      <c r="D3101" s="9" t="s">
        <v>80</v>
      </c>
      <c r="E3101" s="38">
        <v>1024</v>
      </c>
      <c r="F3101" s="39">
        <v>154582.56</v>
      </c>
      <c r="G3101" s="40">
        <v>150.95953125</v>
      </c>
      <c r="H3101" s="41">
        <v>1</v>
      </c>
      <c r="I3101" s="40">
        <v>47.621250000000003</v>
      </c>
      <c r="J3101" s="41">
        <v>0.31545706061537598</v>
      </c>
      <c r="K3101" s="9" t="s">
        <v>4340</v>
      </c>
    </row>
    <row r="3102" spans="1:11" x14ac:dyDescent="0.2">
      <c r="A3102" s="9" t="s">
        <v>62</v>
      </c>
      <c r="B3102" s="9" t="s">
        <v>204</v>
      </c>
      <c r="C3102" s="9"/>
      <c r="D3102" s="9" t="s">
        <v>81</v>
      </c>
      <c r="E3102" s="38">
        <v>1448</v>
      </c>
      <c r="F3102" s="39">
        <v>2032855.41</v>
      </c>
      <c r="G3102" s="40">
        <v>1403.9056698895031</v>
      </c>
      <c r="H3102" s="41">
        <v>-0.13315558926052701</v>
      </c>
      <c r="I3102" s="40">
        <v>120.58679419889501</v>
      </c>
      <c r="J3102" s="41">
        <v>8.5893800976233711E-2</v>
      </c>
      <c r="K3102" s="9" t="s">
        <v>4341</v>
      </c>
    </row>
    <row r="3103" spans="1:11" x14ac:dyDescent="0.2">
      <c r="A3103" s="9" t="s">
        <v>62</v>
      </c>
      <c r="B3103" s="9" t="s">
        <v>206</v>
      </c>
      <c r="C3103" s="9"/>
      <c r="D3103" s="9" t="s">
        <v>80</v>
      </c>
      <c r="E3103" s="38">
        <v>300</v>
      </c>
      <c r="F3103" s="39">
        <v>361003</v>
      </c>
      <c r="G3103" s="40">
        <v>1203.343333333333</v>
      </c>
      <c r="H3103" s="41">
        <v>-0.16629501693891741</v>
      </c>
      <c r="I3103" s="40">
        <v>339.69792400000011</v>
      </c>
      <c r="J3103" s="41">
        <v>0.28229509782467188</v>
      </c>
      <c r="K3103" s="9" t="s">
        <v>4342</v>
      </c>
    </row>
    <row r="3104" spans="1:11" x14ac:dyDescent="0.2">
      <c r="A3104" s="9" t="s">
        <v>62</v>
      </c>
      <c r="B3104" s="9" t="s">
        <v>208</v>
      </c>
      <c r="C3104" s="9"/>
      <c r="D3104" s="9" t="s">
        <v>78</v>
      </c>
      <c r="E3104" s="38">
        <v>2200</v>
      </c>
      <c r="F3104" s="39">
        <v>618430.11</v>
      </c>
      <c r="G3104" s="40">
        <v>281.10459545454552</v>
      </c>
      <c r="H3104" s="41">
        <v>-0.3054393971858842</v>
      </c>
      <c r="I3104" s="40">
        <v>29.13818181818182</v>
      </c>
      <c r="J3104" s="41">
        <v>0.1036560137733268</v>
      </c>
      <c r="K3104" s="9" t="s">
        <v>4343</v>
      </c>
    </row>
    <row r="3105" spans="1:11" x14ac:dyDescent="0.2">
      <c r="A3105" s="9" t="s">
        <v>62</v>
      </c>
      <c r="B3105" s="9" t="s">
        <v>4344</v>
      </c>
      <c r="C3105" s="9"/>
      <c r="D3105" s="9" t="s">
        <v>82</v>
      </c>
      <c r="E3105" s="38">
        <v>4379</v>
      </c>
      <c r="F3105" s="39">
        <v>378617.53</v>
      </c>
      <c r="G3105" s="40">
        <v>86.46209865266043</v>
      </c>
      <c r="H3105" s="41">
        <v>-9.2115518264566321E-2</v>
      </c>
      <c r="I3105" s="40">
        <v>50.282755697647858</v>
      </c>
      <c r="J3105" s="41">
        <v>0.58155835309580095</v>
      </c>
      <c r="K3105" s="9" t="s">
        <v>4345</v>
      </c>
    </row>
    <row r="3106" spans="1:11" x14ac:dyDescent="0.2">
      <c r="A3106" s="9" t="s">
        <v>62</v>
      </c>
      <c r="B3106" s="9" t="s">
        <v>1225</v>
      </c>
      <c r="C3106" s="9"/>
      <c r="D3106" s="9" t="s">
        <v>83</v>
      </c>
      <c r="E3106" s="38">
        <v>1080</v>
      </c>
      <c r="F3106" s="39">
        <v>486084.29</v>
      </c>
      <c r="G3106" s="40">
        <v>450.07804629629629</v>
      </c>
      <c r="H3106" s="41">
        <v>-9.1404394081528645E-2</v>
      </c>
      <c r="I3106" s="40">
        <v>145.02866666666671</v>
      </c>
      <c r="J3106" s="41">
        <v>0.32223003956782892</v>
      </c>
      <c r="K3106" s="9" t="s">
        <v>4346</v>
      </c>
    </row>
    <row r="3107" spans="1:11" x14ac:dyDescent="0.2">
      <c r="A3107" s="9" t="s">
        <v>62</v>
      </c>
      <c r="B3107" s="9" t="s">
        <v>676</v>
      </c>
      <c r="C3107" s="9"/>
      <c r="D3107" s="9" t="s">
        <v>77</v>
      </c>
      <c r="E3107" s="38">
        <v>2263</v>
      </c>
      <c r="F3107" s="39">
        <v>1961017.21</v>
      </c>
      <c r="G3107" s="40">
        <v>866.55643393725143</v>
      </c>
      <c r="H3107" s="41">
        <v>-0.32952973931320068</v>
      </c>
      <c r="I3107" s="40">
        <v>104.5042000883783</v>
      </c>
      <c r="J3107" s="41">
        <v>0.12059710827321091</v>
      </c>
      <c r="K3107" s="9" t="s">
        <v>4347</v>
      </c>
    </row>
    <row r="3108" spans="1:11" x14ac:dyDescent="0.2">
      <c r="A3108" s="9" t="s">
        <v>62</v>
      </c>
      <c r="B3108" s="9" t="s">
        <v>220</v>
      </c>
      <c r="C3108" s="9"/>
      <c r="D3108" s="9" t="s">
        <v>85</v>
      </c>
      <c r="E3108" s="38">
        <v>48406</v>
      </c>
      <c r="F3108" s="39">
        <v>10078373.369999999</v>
      </c>
      <c r="G3108" s="40">
        <v>208.20504420939551</v>
      </c>
      <c r="H3108" s="41">
        <v>-9.7837647386147766E-2</v>
      </c>
      <c r="I3108" s="40">
        <v>20.086933396686359</v>
      </c>
      <c r="J3108" s="41">
        <v>9.6476689471963875E-2</v>
      </c>
      <c r="K3108" s="9" t="s">
        <v>4348</v>
      </c>
    </row>
    <row r="3109" spans="1:11" x14ac:dyDescent="0.2">
      <c r="A3109" s="9" t="s">
        <v>62</v>
      </c>
      <c r="B3109" s="9" t="s">
        <v>766</v>
      </c>
      <c r="C3109" s="9"/>
      <c r="D3109" s="9" t="s">
        <v>86</v>
      </c>
      <c r="E3109" s="38">
        <v>94745</v>
      </c>
      <c r="F3109" s="39">
        <v>15483421.970000001</v>
      </c>
      <c r="G3109" s="40">
        <v>163.4220483402818</v>
      </c>
      <c r="H3109" s="41">
        <v>2.4703256214362632E-2</v>
      </c>
      <c r="I3109" s="40">
        <v>8.6250809520291316</v>
      </c>
      <c r="J3109" s="41">
        <v>5.2777951565444549E-2</v>
      </c>
      <c r="K3109" s="9" t="s">
        <v>4349</v>
      </c>
    </row>
    <row r="3110" spans="1:11" x14ac:dyDescent="0.2">
      <c r="A3110" s="9" t="s">
        <v>62</v>
      </c>
      <c r="B3110" s="9" t="s">
        <v>4350</v>
      </c>
      <c r="C3110" s="9"/>
      <c r="D3110" s="9" t="s">
        <v>80</v>
      </c>
      <c r="E3110" s="38">
        <v>250</v>
      </c>
      <c r="F3110" s="39">
        <v>191339.77</v>
      </c>
      <c r="G3110" s="40">
        <v>765.35907999999995</v>
      </c>
      <c r="H3110" s="41">
        <v>-0.2271358432175393</v>
      </c>
      <c r="I3110" s="40">
        <v>318.40982880000001</v>
      </c>
      <c r="J3110" s="41">
        <v>0.41602672147039788</v>
      </c>
      <c r="K3110" s="9" t="s">
        <v>4351</v>
      </c>
    </row>
    <row r="3111" spans="1:11" x14ac:dyDescent="0.2">
      <c r="A3111" s="9" t="s">
        <v>62</v>
      </c>
      <c r="B3111" s="9" t="s">
        <v>768</v>
      </c>
      <c r="C3111" s="9"/>
      <c r="D3111" s="9" t="s">
        <v>77</v>
      </c>
      <c r="E3111" s="38">
        <v>23276</v>
      </c>
      <c r="F3111" s="39">
        <v>5070037.8</v>
      </c>
      <c r="G3111" s="40">
        <v>217.82255542189381</v>
      </c>
      <c r="H3111" s="41">
        <v>-0.16912770354493231</v>
      </c>
      <c r="I3111" s="40">
        <v>22.480001718508341</v>
      </c>
      <c r="J3111" s="41">
        <v>0.103203277892721</v>
      </c>
      <c r="K3111" s="9" t="s">
        <v>4352</v>
      </c>
    </row>
    <row r="3112" spans="1:11" x14ac:dyDescent="0.2">
      <c r="A3112" s="9" t="s">
        <v>62</v>
      </c>
      <c r="B3112" s="9" t="s">
        <v>2020</v>
      </c>
      <c r="C3112" s="9"/>
      <c r="D3112" s="9" t="s">
        <v>80</v>
      </c>
      <c r="E3112" s="38">
        <v>500</v>
      </c>
      <c r="F3112" s="39">
        <v>1137531.8700000001</v>
      </c>
      <c r="G3112" s="40">
        <v>2275.0637400000001</v>
      </c>
      <c r="H3112" s="41">
        <v>3.3176784752413258E-2</v>
      </c>
      <c r="I3112" s="40">
        <v>214.99873919999999</v>
      </c>
      <c r="J3112" s="41">
        <v>9.4502292581921235E-2</v>
      </c>
      <c r="K3112" s="9" t="s">
        <v>4353</v>
      </c>
    </row>
    <row r="3113" spans="1:11" x14ac:dyDescent="0.2">
      <c r="A3113" s="9" t="s">
        <v>62</v>
      </c>
      <c r="B3113" s="9" t="s">
        <v>231</v>
      </c>
      <c r="C3113" s="9"/>
      <c r="D3113" s="9" t="s">
        <v>76</v>
      </c>
      <c r="E3113" s="38">
        <v>9581</v>
      </c>
      <c r="F3113" s="39">
        <v>1940972.42</v>
      </c>
      <c r="G3113" s="40">
        <v>202.5855777058762</v>
      </c>
      <c r="H3113" s="41">
        <v>-3.5244565711036728E-2</v>
      </c>
      <c r="I3113" s="40">
        <v>0</v>
      </c>
      <c r="J3113" s="41">
        <v>0</v>
      </c>
      <c r="K3113" s="9" t="s">
        <v>4354</v>
      </c>
    </row>
    <row r="3114" spans="1:11" x14ac:dyDescent="0.2">
      <c r="A3114" s="9" t="s">
        <v>62</v>
      </c>
      <c r="B3114" s="9" t="s">
        <v>233</v>
      </c>
      <c r="C3114" s="9"/>
      <c r="D3114" s="9" t="s">
        <v>77</v>
      </c>
      <c r="E3114" s="38">
        <v>4297</v>
      </c>
      <c r="F3114" s="39">
        <v>1237126.3700000001</v>
      </c>
      <c r="G3114" s="40">
        <v>287.90467070048868</v>
      </c>
      <c r="H3114" s="41">
        <v>3.2294316060856532E-2</v>
      </c>
      <c r="I3114" s="40">
        <v>34.714433325575982</v>
      </c>
      <c r="J3114" s="41">
        <v>0.1205761380706807</v>
      </c>
      <c r="K3114" s="9" t="s">
        <v>4355</v>
      </c>
    </row>
    <row r="3115" spans="1:11" x14ac:dyDescent="0.2">
      <c r="A3115" s="9" t="s">
        <v>62</v>
      </c>
      <c r="B3115" s="9" t="s">
        <v>895</v>
      </c>
      <c r="C3115" s="9"/>
      <c r="D3115" s="9" t="s">
        <v>77</v>
      </c>
      <c r="E3115" s="38">
        <v>5984</v>
      </c>
      <c r="F3115" s="39">
        <v>2436377.0299999998</v>
      </c>
      <c r="G3115" s="40">
        <v>407.14856784759348</v>
      </c>
      <c r="H3115" s="41">
        <v>1.254564856901467E-2</v>
      </c>
      <c r="I3115" s="40">
        <v>66.992647058823536</v>
      </c>
      <c r="J3115" s="41">
        <v>0.16454103575258219</v>
      </c>
      <c r="K3115" s="9" t="s">
        <v>4356</v>
      </c>
    </row>
    <row r="3116" spans="1:11" x14ac:dyDescent="0.2">
      <c r="A3116" s="9" t="s">
        <v>62</v>
      </c>
      <c r="B3116" s="9" t="s">
        <v>1477</v>
      </c>
      <c r="C3116" s="9"/>
      <c r="D3116" s="9" t="s">
        <v>85</v>
      </c>
      <c r="E3116" s="38">
        <v>8489</v>
      </c>
      <c r="F3116" s="39">
        <v>2866666.82</v>
      </c>
      <c r="G3116" s="40">
        <v>337.69193308988099</v>
      </c>
      <c r="H3116" s="41">
        <v>0.1200137935806576</v>
      </c>
      <c r="I3116" s="40">
        <v>39.418876192719978</v>
      </c>
      <c r="J3116" s="41">
        <v>0.11673028677954279</v>
      </c>
      <c r="K3116" s="9" t="s">
        <v>4357</v>
      </c>
    </row>
    <row r="3117" spans="1:11" x14ac:dyDescent="0.2">
      <c r="A3117" s="9" t="s">
        <v>62</v>
      </c>
      <c r="B3117" s="9" t="s">
        <v>235</v>
      </c>
      <c r="C3117" s="9"/>
      <c r="D3117" s="9" t="s">
        <v>77</v>
      </c>
      <c r="E3117" s="38">
        <v>9004</v>
      </c>
      <c r="F3117" s="39">
        <v>8322309.8099999996</v>
      </c>
      <c r="G3117" s="40">
        <v>924.29029431363836</v>
      </c>
      <c r="H3117" s="41">
        <v>-1.4399056600369589E-2</v>
      </c>
      <c r="I3117" s="40">
        <v>104.50466015104401</v>
      </c>
      <c r="J3117" s="41">
        <v>0.1130647598421958</v>
      </c>
      <c r="K3117" s="9" t="s">
        <v>4358</v>
      </c>
    </row>
    <row r="3118" spans="1:11" x14ac:dyDescent="0.2">
      <c r="A3118" s="9" t="s">
        <v>62</v>
      </c>
      <c r="B3118" s="9" t="s">
        <v>4359</v>
      </c>
      <c r="C3118" s="9"/>
      <c r="D3118" s="9" t="s">
        <v>80</v>
      </c>
      <c r="E3118" s="38">
        <v>1253</v>
      </c>
      <c r="F3118" s="39">
        <v>462933.42</v>
      </c>
      <c r="G3118" s="40">
        <v>369.46003192338378</v>
      </c>
      <c r="H3118" s="41">
        <v>0.22403122245959251</v>
      </c>
      <c r="I3118" s="40">
        <v>108.8121969672785</v>
      </c>
      <c r="J3118" s="41">
        <v>0.29451682879149232</v>
      </c>
      <c r="K3118" s="9" t="s">
        <v>4360</v>
      </c>
    </row>
    <row r="3119" spans="1:11" x14ac:dyDescent="0.2">
      <c r="A3119" s="9" t="s">
        <v>62</v>
      </c>
      <c r="B3119" s="9" t="s">
        <v>242</v>
      </c>
      <c r="C3119" s="9"/>
      <c r="D3119" s="9" t="s">
        <v>82</v>
      </c>
      <c r="E3119" s="38">
        <v>3728</v>
      </c>
      <c r="F3119" s="39">
        <v>312002.19</v>
      </c>
      <c r="G3119" s="40">
        <v>83.691574570815447</v>
      </c>
      <c r="H3119" s="41">
        <v>0.61154384845824328</v>
      </c>
      <c r="I3119" s="40">
        <v>22.103015343347639</v>
      </c>
      <c r="J3119" s="41">
        <v>0.26410084236908732</v>
      </c>
      <c r="K3119" s="9" t="s">
        <v>4361</v>
      </c>
    </row>
    <row r="3120" spans="1:11" x14ac:dyDescent="0.2">
      <c r="A3120" s="9" t="s">
        <v>62</v>
      </c>
      <c r="B3120" s="9" t="s">
        <v>243</v>
      </c>
      <c r="C3120" s="9"/>
      <c r="D3120" s="9" t="s">
        <v>82</v>
      </c>
      <c r="E3120" s="38">
        <v>1100</v>
      </c>
      <c r="F3120" s="39">
        <v>978387.06</v>
      </c>
      <c r="G3120" s="40">
        <v>889.44278181818186</v>
      </c>
      <c r="H3120" s="41">
        <v>0.11999824486640299</v>
      </c>
      <c r="I3120" s="40">
        <v>150</v>
      </c>
      <c r="J3120" s="41">
        <v>0.16864491237241011</v>
      </c>
      <c r="K3120" s="9" t="s">
        <v>4362</v>
      </c>
    </row>
    <row r="3121" spans="1:11" x14ac:dyDescent="0.2">
      <c r="A3121" s="9" t="s">
        <v>62</v>
      </c>
      <c r="B3121" s="9" t="s">
        <v>1788</v>
      </c>
      <c r="C3121" s="9"/>
      <c r="D3121" s="9" t="s">
        <v>76</v>
      </c>
      <c r="E3121" s="38">
        <v>12240</v>
      </c>
      <c r="F3121" s="39">
        <v>2116852.83</v>
      </c>
      <c r="G3121" s="40">
        <v>172.94549264705881</v>
      </c>
      <c r="H3121" s="41">
        <v>2.725531939790202E-3</v>
      </c>
      <c r="I3121" s="40">
        <v>40.676107843137252</v>
      </c>
      <c r="J3121" s="41">
        <v>0.2351961142239633</v>
      </c>
      <c r="K3121" s="9" t="s">
        <v>4363</v>
      </c>
    </row>
    <row r="3122" spans="1:11" x14ac:dyDescent="0.2">
      <c r="A3122" s="9" t="s">
        <v>62</v>
      </c>
      <c r="B3122" s="9" t="s">
        <v>461</v>
      </c>
      <c r="C3122" s="9"/>
      <c r="D3122" s="9" t="s">
        <v>76</v>
      </c>
      <c r="E3122" s="38">
        <v>3500</v>
      </c>
      <c r="F3122" s="39">
        <v>2614607.67</v>
      </c>
      <c r="G3122" s="40">
        <v>747.0307628571428</v>
      </c>
      <c r="H3122" s="41">
        <v>4.8036560682161458E-2</v>
      </c>
      <c r="I3122" s="40">
        <v>49.999988571428567</v>
      </c>
      <c r="J3122" s="41">
        <v>6.6931632614693579E-2</v>
      </c>
      <c r="K3122" s="9" t="s">
        <v>4364</v>
      </c>
    </row>
    <row r="3123" spans="1:11" x14ac:dyDescent="0.2">
      <c r="A3123" s="9" t="s">
        <v>62</v>
      </c>
      <c r="B3123" s="9" t="s">
        <v>4365</v>
      </c>
      <c r="C3123" s="9"/>
      <c r="D3123" s="9" t="s">
        <v>82</v>
      </c>
      <c r="E3123" s="38">
        <v>861</v>
      </c>
      <c r="F3123" s="39">
        <v>517347</v>
      </c>
      <c r="G3123" s="40">
        <v>600.86759581881529</v>
      </c>
      <c r="H3123" s="41">
        <v>-5.8854115322984381E-2</v>
      </c>
      <c r="I3123" s="40">
        <v>116.1439721254356</v>
      </c>
      <c r="J3123" s="41">
        <v>0.19329378540901951</v>
      </c>
      <c r="K3123" s="9" t="s">
        <v>4366</v>
      </c>
    </row>
    <row r="3124" spans="1:11" x14ac:dyDescent="0.2">
      <c r="A3124" s="9" t="s">
        <v>62</v>
      </c>
      <c r="B3124" s="9" t="s">
        <v>245</v>
      </c>
      <c r="C3124" s="9"/>
      <c r="D3124" s="9" t="s">
        <v>79</v>
      </c>
      <c r="E3124" s="38">
        <v>1397</v>
      </c>
      <c r="F3124" s="39">
        <v>321312.40000000002</v>
      </c>
      <c r="G3124" s="40">
        <v>230.0017179670723</v>
      </c>
      <c r="H3124" s="41">
        <v>-9.309124079867441E-2</v>
      </c>
      <c r="I3124" s="40">
        <v>70.124875017895477</v>
      </c>
      <c r="J3124" s="41">
        <v>0.30488848360660831</v>
      </c>
      <c r="K3124" s="9" t="s">
        <v>4367</v>
      </c>
    </row>
    <row r="3125" spans="1:11" x14ac:dyDescent="0.2">
      <c r="A3125" s="9" t="s">
        <v>62</v>
      </c>
      <c r="B3125" s="9" t="s">
        <v>4368</v>
      </c>
      <c r="C3125" s="9"/>
      <c r="D3125" s="9" t="s">
        <v>78</v>
      </c>
      <c r="E3125" s="38">
        <v>150</v>
      </c>
      <c r="F3125" s="39">
        <v>318580.57</v>
      </c>
      <c r="G3125" s="40">
        <v>2123.8704666666672</v>
      </c>
      <c r="H3125" s="41">
        <v>-0.13806802467582999</v>
      </c>
      <c r="I3125" s="40">
        <v>725.99840799999993</v>
      </c>
      <c r="J3125" s="41">
        <v>0.34182800664836532</v>
      </c>
      <c r="K3125" s="9" t="s">
        <v>4369</v>
      </c>
    </row>
    <row r="3126" spans="1:11" x14ac:dyDescent="0.2">
      <c r="A3126" s="9" t="s">
        <v>62</v>
      </c>
      <c r="B3126" s="9" t="s">
        <v>4370</v>
      </c>
      <c r="C3126" s="9"/>
      <c r="D3126" s="9" t="s">
        <v>82</v>
      </c>
      <c r="E3126" s="38">
        <v>20869</v>
      </c>
      <c r="F3126" s="39">
        <v>442179.48</v>
      </c>
      <c r="G3126" s="40">
        <v>21.188340600891269</v>
      </c>
      <c r="H3126" s="41">
        <v>-0.17657486050686941</v>
      </c>
      <c r="I3126" s="40">
        <v>29.380727145526851</v>
      </c>
      <c r="J3126" s="41">
        <v>1.386645971902631E-2</v>
      </c>
      <c r="K3126" s="9" t="s">
        <v>4371</v>
      </c>
    </row>
    <row r="3127" spans="1:11" x14ac:dyDescent="0.2">
      <c r="A3127" s="9" t="s">
        <v>62</v>
      </c>
      <c r="B3127" s="9" t="s">
        <v>1246</v>
      </c>
      <c r="C3127" s="9"/>
      <c r="D3127" s="9" t="s">
        <v>80</v>
      </c>
      <c r="E3127" s="38">
        <v>1052</v>
      </c>
      <c r="F3127" s="39">
        <v>425849</v>
      </c>
      <c r="G3127" s="40">
        <v>404.79942965779469</v>
      </c>
      <c r="H3127" s="41">
        <v>3.4648431721103018E-2</v>
      </c>
      <c r="I3127" s="40">
        <v>105.6363376425856</v>
      </c>
      <c r="J3127" s="41">
        <v>0.26095969979969419</v>
      </c>
      <c r="K3127" s="9" t="s">
        <v>4372</v>
      </c>
    </row>
    <row r="3128" spans="1:11" x14ac:dyDescent="0.2">
      <c r="A3128" s="9" t="s">
        <v>62</v>
      </c>
      <c r="B3128" s="9" t="s">
        <v>908</v>
      </c>
      <c r="C3128" s="9"/>
      <c r="D3128" s="9" t="s">
        <v>80</v>
      </c>
      <c r="E3128" s="38">
        <v>724</v>
      </c>
      <c r="F3128" s="39">
        <v>368187.45</v>
      </c>
      <c r="G3128" s="40">
        <v>508.5462016574586</v>
      </c>
      <c r="H3128" s="41">
        <v>-9.6515103923286799E-2</v>
      </c>
      <c r="I3128" s="40">
        <v>132.16462707182319</v>
      </c>
      <c r="J3128" s="41">
        <v>0.25988715802236062</v>
      </c>
      <c r="K3128" s="9" t="s">
        <v>4373</v>
      </c>
    </row>
    <row r="3129" spans="1:11" x14ac:dyDescent="0.2">
      <c r="A3129" s="9" t="s">
        <v>62</v>
      </c>
      <c r="B3129" s="9" t="s">
        <v>4374</v>
      </c>
      <c r="C3129" s="9"/>
      <c r="D3129" s="9" t="s">
        <v>81</v>
      </c>
      <c r="E3129" s="38">
        <v>6603</v>
      </c>
      <c r="F3129" s="39">
        <v>4507263.87</v>
      </c>
      <c r="G3129" s="40">
        <v>682.60849159472968</v>
      </c>
      <c r="H3129" s="41">
        <v>0.54332046683568136</v>
      </c>
      <c r="I3129" s="40">
        <v>49.046996819627452</v>
      </c>
      <c r="J3129" s="41">
        <v>7.1852309813847215E-2</v>
      </c>
      <c r="K3129" s="9" t="s">
        <v>4375</v>
      </c>
    </row>
    <row r="3130" spans="1:11" x14ac:dyDescent="0.2">
      <c r="A3130" s="9" t="s">
        <v>62</v>
      </c>
      <c r="B3130" s="9" t="s">
        <v>247</v>
      </c>
      <c r="C3130" s="9"/>
      <c r="D3130" s="9" t="s">
        <v>76</v>
      </c>
      <c r="E3130" s="38">
        <v>21000</v>
      </c>
      <c r="F3130" s="39">
        <v>4375935.42</v>
      </c>
      <c r="G3130" s="40">
        <v>208.3778771428571</v>
      </c>
      <c r="H3130" s="41">
        <v>5.7791056249180142E-2</v>
      </c>
      <c r="I3130" s="40">
        <v>23.761978285714289</v>
      </c>
      <c r="J3130" s="41">
        <v>0.1140331143186752</v>
      </c>
      <c r="K3130" s="9" t="s">
        <v>4376</v>
      </c>
    </row>
    <row r="3131" spans="1:11" x14ac:dyDescent="0.2">
      <c r="A3131" s="9" t="s">
        <v>62</v>
      </c>
      <c r="B3131" s="9" t="s">
        <v>464</v>
      </c>
      <c r="C3131" s="9"/>
      <c r="D3131" s="9" t="s">
        <v>80</v>
      </c>
      <c r="E3131" s="38">
        <v>250</v>
      </c>
      <c r="F3131" s="39">
        <v>427181.8</v>
      </c>
      <c r="G3131" s="40">
        <v>1708.7272</v>
      </c>
      <c r="H3131" s="41">
        <v>-1.874897291972652E-2</v>
      </c>
      <c r="I3131" s="40">
        <v>447.69103200000012</v>
      </c>
      <c r="J3131" s="41">
        <v>0.26200263681645619</v>
      </c>
      <c r="K3131" s="9" t="s">
        <v>4377</v>
      </c>
    </row>
    <row r="3132" spans="1:11" x14ac:dyDescent="0.2">
      <c r="A3132" s="9" t="s">
        <v>62</v>
      </c>
      <c r="B3132" s="9" t="s">
        <v>140</v>
      </c>
      <c r="C3132" s="9"/>
      <c r="D3132" s="9" t="s">
        <v>83</v>
      </c>
      <c r="E3132" s="38">
        <v>6780</v>
      </c>
      <c r="F3132" s="39">
        <v>4147318.42</v>
      </c>
      <c r="G3132" s="40">
        <v>611.69888200589969</v>
      </c>
      <c r="H3132" s="41">
        <v>0.15065477658693979</v>
      </c>
      <c r="I3132" s="40">
        <v>73.393699115044228</v>
      </c>
      <c r="J3132" s="41">
        <v>0.1199833795255103</v>
      </c>
      <c r="K3132" s="9" t="s">
        <v>4378</v>
      </c>
    </row>
    <row r="3133" spans="1:11" x14ac:dyDescent="0.2">
      <c r="A3133" s="9" t="s">
        <v>62</v>
      </c>
      <c r="B3133" s="9" t="s">
        <v>4379</v>
      </c>
      <c r="C3133" s="9"/>
      <c r="D3133" s="9" t="s">
        <v>86</v>
      </c>
      <c r="E3133" s="38">
        <v>132800</v>
      </c>
      <c r="F3133" s="39">
        <v>0</v>
      </c>
      <c r="G3133" s="40"/>
      <c r="H3133" s="41"/>
      <c r="I3133" s="40">
        <v>12.380441566265061</v>
      </c>
      <c r="J3133" s="41"/>
      <c r="K3133" s="9" t="s">
        <v>4380</v>
      </c>
    </row>
    <row r="3134" spans="1:11" x14ac:dyDescent="0.2">
      <c r="A3134" s="9" t="s">
        <v>62</v>
      </c>
      <c r="B3134" s="9" t="s">
        <v>256</v>
      </c>
      <c r="C3134" s="9"/>
      <c r="D3134" s="9" t="s">
        <v>76</v>
      </c>
      <c r="E3134" s="38">
        <v>1501</v>
      </c>
      <c r="F3134" s="39">
        <v>822614.76</v>
      </c>
      <c r="G3134" s="40">
        <v>548.04447701532308</v>
      </c>
      <c r="H3134" s="41">
        <v>-3.4845350939240799E-3</v>
      </c>
      <c r="I3134" s="40">
        <v>76.615562958027979</v>
      </c>
      <c r="J3134" s="41">
        <v>0.1397980751038311</v>
      </c>
      <c r="K3134" s="9" t="s">
        <v>4381</v>
      </c>
    </row>
    <row r="3135" spans="1:11" x14ac:dyDescent="0.2">
      <c r="A3135" s="9" t="s">
        <v>62</v>
      </c>
      <c r="B3135" s="9" t="s">
        <v>4382</v>
      </c>
      <c r="C3135" s="9"/>
      <c r="D3135" s="9" t="s">
        <v>82</v>
      </c>
      <c r="E3135" s="38">
        <v>3282</v>
      </c>
      <c r="F3135" s="39">
        <v>406585.95</v>
      </c>
      <c r="G3135" s="40">
        <v>123.883592321755</v>
      </c>
      <c r="H3135" s="41">
        <v>0.74151733477263548</v>
      </c>
      <c r="I3135" s="40">
        <v>67.05747239488116</v>
      </c>
      <c r="J3135" s="41">
        <v>0.54129421934033861</v>
      </c>
      <c r="K3135" s="9" t="s">
        <v>4383</v>
      </c>
    </row>
    <row r="3136" spans="1:11" x14ac:dyDescent="0.2">
      <c r="A3136" s="9" t="s">
        <v>62</v>
      </c>
      <c r="B3136" s="9" t="s">
        <v>1119</v>
      </c>
      <c r="C3136" s="9"/>
      <c r="D3136" s="9" t="s">
        <v>80</v>
      </c>
      <c r="E3136" s="38">
        <v>1785</v>
      </c>
      <c r="F3136" s="39">
        <v>631982.68000000005</v>
      </c>
      <c r="G3136" s="40">
        <v>354.05192156862751</v>
      </c>
      <c r="H3136" s="41">
        <v>-9.1513409829522371E-2</v>
      </c>
      <c r="I3136" s="40">
        <v>106.3180322689076</v>
      </c>
      <c r="J3136" s="41">
        <v>0.30028938071530697</v>
      </c>
      <c r="K3136" s="9" t="s">
        <v>4384</v>
      </c>
    </row>
    <row r="3137" spans="1:11" x14ac:dyDescent="0.2">
      <c r="A3137" s="9" t="s">
        <v>62</v>
      </c>
      <c r="B3137" s="9" t="s">
        <v>2193</v>
      </c>
      <c r="C3137" s="9"/>
      <c r="D3137" s="9" t="s">
        <v>81</v>
      </c>
      <c r="E3137" s="38">
        <v>1950</v>
      </c>
      <c r="F3137" s="39">
        <v>955814.49</v>
      </c>
      <c r="G3137" s="40">
        <v>490.16127692307691</v>
      </c>
      <c r="H3137" s="41">
        <v>-2.2272439079679639E-2</v>
      </c>
      <c r="I3137" s="40">
        <v>132.87732461538459</v>
      </c>
      <c r="J3137" s="41">
        <v>0.27108898819895477</v>
      </c>
      <c r="K3137" s="9" t="s">
        <v>4385</v>
      </c>
    </row>
    <row r="3138" spans="1:11" x14ac:dyDescent="0.2">
      <c r="A3138" s="9" t="s">
        <v>62</v>
      </c>
      <c r="B3138" s="9" t="s">
        <v>1384</v>
      </c>
      <c r="C3138" s="9"/>
      <c r="D3138" s="9" t="s">
        <v>78</v>
      </c>
      <c r="E3138" s="38">
        <v>1804</v>
      </c>
      <c r="F3138" s="39">
        <v>395751.62</v>
      </c>
      <c r="G3138" s="40">
        <v>219.37451219512201</v>
      </c>
      <c r="H3138" s="41">
        <v>-0.22415989099425551</v>
      </c>
      <c r="I3138" s="40">
        <v>83.540924833702888</v>
      </c>
      <c r="J3138" s="41">
        <v>0.38081417935825512</v>
      </c>
      <c r="K3138" s="9" t="s">
        <v>4386</v>
      </c>
    </row>
    <row r="3139" spans="1:11" x14ac:dyDescent="0.2">
      <c r="A3139" s="9" t="s">
        <v>62</v>
      </c>
      <c r="B3139" s="9" t="s">
        <v>267</v>
      </c>
      <c r="C3139" s="9"/>
      <c r="D3139" s="9" t="s">
        <v>77</v>
      </c>
      <c r="E3139" s="38">
        <v>3772</v>
      </c>
      <c r="F3139" s="39">
        <v>1780336.42</v>
      </c>
      <c r="G3139" s="40">
        <v>471.98738600212079</v>
      </c>
      <c r="H3139" s="41">
        <v>0.13755611987087249</v>
      </c>
      <c r="I3139" s="40">
        <v>115.0824480381761</v>
      </c>
      <c r="J3139" s="41">
        <v>0.24382526196930809</v>
      </c>
      <c r="K3139" s="9" t="s">
        <v>4387</v>
      </c>
    </row>
    <row r="3140" spans="1:11" x14ac:dyDescent="0.2">
      <c r="A3140" s="9" t="s">
        <v>62</v>
      </c>
      <c r="B3140" s="9" t="s">
        <v>4388</v>
      </c>
      <c r="C3140" s="9"/>
      <c r="D3140" s="9" t="s">
        <v>81</v>
      </c>
      <c r="E3140" s="38">
        <v>944</v>
      </c>
      <c r="F3140" s="39">
        <v>751266</v>
      </c>
      <c r="G3140" s="40">
        <v>795.83262711864404</v>
      </c>
      <c r="H3140" s="41">
        <v>1</v>
      </c>
      <c r="I3140" s="40">
        <v>169.5641282415254</v>
      </c>
      <c r="J3140" s="41">
        <v>0.2130650622549137</v>
      </c>
      <c r="K3140" s="9" t="s">
        <v>4389</v>
      </c>
    </row>
    <row r="3141" spans="1:11" x14ac:dyDescent="0.2">
      <c r="A3141" s="9" t="s">
        <v>62</v>
      </c>
      <c r="B3141" s="9" t="s">
        <v>4390</v>
      </c>
      <c r="C3141" s="9"/>
      <c r="D3141" s="9" t="s">
        <v>80</v>
      </c>
      <c r="E3141" s="38">
        <v>1000</v>
      </c>
      <c r="F3141" s="39">
        <v>467810.31</v>
      </c>
      <c r="G3141" s="40">
        <v>467.81031000000002</v>
      </c>
      <c r="H3141" s="41">
        <v>-5.5282941498232457E-2</v>
      </c>
      <c r="I3141" s="40">
        <v>151.56904080000001</v>
      </c>
      <c r="J3141" s="41">
        <v>0.32399679434170658</v>
      </c>
      <c r="K3141" s="9" t="s">
        <v>4391</v>
      </c>
    </row>
    <row r="3142" spans="1:11" x14ac:dyDescent="0.2">
      <c r="A3142" s="9" t="s">
        <v>62</v>
      </c>
      <c r="B3142" s="9" t="s">
        <v>489</v>
      </c>
      <c r="C3142" s="9"/>
      <c r="D3142" s="9" t="s">
        <v>82</v>
      </c>
      <c r="E3142" s="38">
        <v>2391</v>
      </c>
      <c r="F3142" s="39">
        <v>2661825.63</v>
      </c>
      <c r="G3142" s="40">
        <v>1113.268770388959</v>
      </c>
      <c r="H3142" s="41">
        <v>0.11337164110182529</v>
      </c>
      <c r="I3142" s="40">
        <v>46.004193224592207</v>
      </c>
      <c r="J3142" s="41">
        <v>4.1323528017873951E-2</v>
      </c>
      <c r="K3142" s="9" t="s">
        <v>4392</v>
      </c>
    </row>
    <row r="3143" spans="1:11" x14ac:dyDescent="0.2">
      <c r="A3143" s="9" t="s">
        <v>62</v>
      </c>
      <c r="B3143" s="9" t="s">
        <v>275</v>
      </c>
      <c r="C3143" s="9"/>
      <c r="D3143" s="9" t="s">
        <v>83</v>
      </c>
      <c r="E3143" s="38">
        <v>3228</v>
      </c>
      <c r="F3143" s="39">
        <v>2905206.21</v>
      </c>
      <c r="G3143" s="40">
        <v>900.00192379182158</v>
      </c>
      <c r="H3143" s="41">
        <v>2.1165282446508251E-2</v>
      </c>
      <c r="I3143" s="40">
        <v>106.5507063197026</v>
      </c>
      <c r="J3143" s="41">
        <v>0.1183894206256705</v>
      </c>
      <c r="K3143" s="9" t="s">
        <v>4393</v>
      </c>
    </row>
    <row r="3144" spans="1:11" x14ac:dyDescent="0.2">
      <c r="A3144" s="9" t="s">
        <v>62</v>
      </c>
      <c r="B3144" s="9" t="s">
        <v>4394</v>
      </c>
      <c r="C3144" s="9"/>
      <c r="D3144" s="9" t="s">
        <v>85</v>
      </c>
      <c r="E3144" s="38">
        <v>14553</v>
      </c>
      <c r="F3144" s="39">
        <v>3187674.72</v>
      </c>
      <c r="G3144" s="40">
        <v>219.0390105132962</v>
      </c>
      <c r="H3144" s="41">
        <v>-0.14026327629815369</v>
      </c>
      <c r="I3144" s="40">
        <v>16.49144506287363</v>
      </c>
      <c r="J3144" s="41">
        <v>7.528999069265134E-2</v>
      </c>
      <c r="K3144" s="9" t="s">
        <v>4395</v>
      </c>
    </row>
    <row r="3145" spans="1:11" x14ac:dyDescent="0.2">
      <c r="A3145" s="9" t="s">
        <v>62</v>
      </c>
      <c r="B3145" s="9" t="s">
        <v>277</v>
      </c>
      <c r="C3145" s="9"/>
      <c r="D3145" s="9" t="s">
        <v>76</v>
      </c>
      <c r="E3145" s="38">
        <v>1080</v>
      </c>
      <c r="F3145" s="39">
        <v>1004176.27</v>
      </c>
      <c r="G3145" s="40">
        <v>929.79284259259259</v>
      </c>
      <c r="H3145" s="41">
        <v>-4.1656750163992597E-2</v>
      </c>
      <c r="I3145" s="40">
        <v>182.30863952222219</v>
      </c>
      <c r="J3145" s="41">
        <v>0.19607447075402409</v>
      </c>
      <c r="K3145" s="9" t="s">
        <v>4396</v>
      </c>
    </row>
    <row r="3146" spans="1:11" x14ac:dyDescent="0.2">
      <c r="A3146" s="9" t="s">
        <v>62</v>
      </c>
      <c r="B3146" s="9" t="s">
        <v>4397</v>
      </c>
      <c r="C3146" s="9"/>
      <c r="D3146" s="9" t="s">
        <v>81</v>
      </c>
      <c r="E3146" s="38">
        <v>8696</v>
      </c>
      <c r="F3146" s="39">
        <v>2072881</v>
      </c>
      <c r="G3146" s="40">
        <v>238.37178012879491</v>
      </c>
      <c r="H3146" s="41">
        <v>1</v>
      </c>
      <c r="I3146" s="40">
        <v>36.425961361545532</v>
      </c>
      <c r="J3146" s="41">
        <v>0.15281155068718369</v>
      </c>
      <c r="K3146" s="9" t="s">
        <v>4398</v>
      </c>
    </row>
    <row r="3147" spans="1:11" x14ac:dyDescent="0.2">
      <c r="A3147" s="9" t="s">
        <v>62</v>
      </c>
      <c r="B3147" s="9" t="s">
        <v>4399</v>
      </c>
      <c r="C3147" s="9"/>
      <c r="D3147" s="9" t="s">
        <v>81</v>
      </c>
      <c r="E3147" s="38">
        <v>743</v>
      </c>
      <c r="F3147" s="39">
        <v>587989</v>
      </c>
      <c r="G3147" s="40">
        <v>791.37146702557197</v>
      </c>
      <c r="H3147" s="41">
        <v>-0.19107840452797589</v>
      </c>
      <c r="I3147" s="40">
        <v>395.02441776581418</v>
      </c>
      <c r="J3147" s="41">
        <v>0.49916434219007488</v>
      </c>
      <c r="K3147" s="9" t="s">
        <v>4400</v>
      </c>
    </row>
    <row r="3148" spans="1:11" x14ac:dyDescent="0.2">
      <c r="A3148" s="9" t="s">
        <v>62</v>
      </c>
      <c r="B3148" s="9" t="s">
        <v>4401</v>
      </c>
      <c r="C3148" s="9"/>
      <c r="D3148" s="9" t="s">
        <v>86</v>
      </c>
      <c r="E3148" s="38">
        <v>119847</v>
      </c>
      <c r="F3148" s="39"/>
      <c r="G3148" s="40"/>
      <c r="H3148" s="41"/>
      <c r="I3148" s="40">
        <v>0.40051065108012718</v>
      </c>
      <c r="J3148" s="41"/>
      <c r="K3148" s="9" t="s">
        <v>4402</v>
      </c>
    </row>
    <row r="3149" spans="1:11" x14ac:dyDescent="0.2">
      <c r="A3149" s="9" t="s">
        <v>62</v>
      </c>
      <c r="B3149" s="9" t="s">
        <v>283</v>
      </c>
      <c r="C3149" s="9"/>
      <c r="D3149" s="9" t="s">
        <v>78</v>
      </c>
      <c r="E3149" s="38">
        <v>800</v>
      </c>
      <c r="F3149" s="39">
        <v>374209.25</v>
      </c>
      <c r="G3149" s="40">
        <v>467.76156250000003</v>
      </c>
      <c r="H3149" s="41">
        <v>0.16856141316656389</v>
      </c>
      <c r="I3149" s="40">
        <v>127.2220185</v>
      </c>
      <c r="J3149" s="41">
        <v>0.27198048899111932</v>
      </c>
      <c r="K3149" s="9" t="s">
        <v>4403</v>
      </c>
    </row>
    <row r="3150" spans="1:11" x14ac:dyDescent="0.2">
      <c r="A3150" s="9" t="s">
        <v>62</v>
      </c>
      <c r="B3150" s="9" t="s">
        <v>502</v>
      </c>
      <c r="C3150" s="9"/>
      <c r="D3150" s="9" t="s">
        <v>86</v>
      </c>
      <c r="E3150" s="38">
        <v>201000</v>
      </c>
      <c r="F3150" s="39">
        <v>0</v>
      </c>
      <c r="G3150" s="40"/>
      <c r="H3150" s="41"/>
      <c r="I3150" s="40">
        <v>0.49004238805970152</v>
      </c>
      <c r="J3150" s="41"/>
      <c r="K3150" s="9" t="s">
        <v>4404</v>
      </c>
    </row>
    <row r="3151" spans="1:11" x14ac:dyDescent="0.2">
      <c r="A3151" s="9" t="s">
        <v>62</v>
      </c>
      <c r="B3151" s="9" t="s">
        <v>4405</v>
      </c>
      <c r="C3151" s="9"/>
      <c r="D3151" s="9" t="s">
        <v>80</v>
      </c>
      <c r="E3151" s="38">
        <v>1024</v>
      </c>
      <c r="F3151" s="39">
        <v>1604672.88</v>
      </c>
      <c r="G3151" s="40">
        <v>1567.0633593749999</v>
      </c>
      <c r="H3151" s="41">
        <v>1.4824180240398881E-2</v>
      </c>
      <c r="I3151" s="40">
        <v>204.96997734375</v>
      </c>
      <c r="J3151" s="41">
        <v>0.13079878111980059</v>
      </c>
      <c r="K3151" s="9" t="s">
        <v>4406</v>
      </c>
    </row>
    <row r="3152" spans="1:11" x14ac:dyDescent="0.2">
      <c r="A3152" s="9" t="s">
        <v>62</v>
      </c>
      <c r="B3152" s="9" t="s">
        <v>3469</v>
      </c>
      <c r="C3152" s="9"/>
      <c r="D3152" s="9" t="s">
        <v>84</v>
      </c>
      <c r="E3152" s="38">
        <v>200</v>
      </c>
      <c r="F3152" s="39"/>
      <c r="G3152" s="40"/>
      <c r="H3152" s="41"/>
      <c r="I3152" s="40">
        <v>252.3912</v>
      </c>
      <c r="J3152" s="41"/>
      <c r="K3152" s="9" t="s">
        <v>4407</v>
      </c>
    </row>
    <row r="3153" spans="1:11" x14ac:dyDescent="0.2">
      <c r="A3153" s="9" t="s">
        <v>62</v>
      </c>
      <c r="B3153" s="9" t="s">
        <v>301</v>
      </c>
      <c r="C3153" s="9"/>
      <c r="D3153" s="9" t="s">
        <v>82</v>
      </c>
      <c r="E3153" s="38">
        <v>4516</v>
      </c>
      <c r="F3153" s="39">
        <v>521933.88</v>
      </c>
      <c r="G3153" s="40">
        <v>115.5743755535872</v>
      </c>
      <c r="H3153" s="41">
        <v>5.288016558725793E-2</v>
      </c>
      <c r="I3153" s="40">
        <v>0</v>
      </c>
      <c r="J3153" s="41">
        <v>0</v>
      </c>
      <c r="K3153" s="9" t="s">
        <v>4408</v>
      </c>
    </row>
    <row r="3154" spans="1:11" x14ac:dyDescent="0.2">
      <c r="A3154" s="9" t="s">
        <v>62</v>
      </c>
      <c r="B3154" s="9" t="s">
        <v>4409</v>
      </c>
      <c r="C3154" s="9"/>
      <c r="D3154" s="9" t="s">
        <v>84</v>
      </c>
      <c r="E3154" s="38">
        <v>180</v>
      </c>
      <c r="F3154" s="39">
        <v>106900</v>
      </c>
      <c r="G3154" s="40">
        <v>593.88888888888891</v>
      </c>
      <c r="H3154" s="41">
        <v>0.6922357343311506</v>
      </c>
      <c r="I3154" s="40">
        <v>590.23689999999999</v>
      </c>
      <c r="J3154" s="41">
        <v>0.99385072029934507</v>
      </c>
      <c r="K3154" s="9" t="s">
        <v>4410</v>
      </c>
    </row>
    <row r="3155" spans="1:11" x14ac:dyDescent="0.2">
      <c r="A3155" s="9" t="s">
        <v>62</v>
      </c>
      <c r="B3155" s="9" t="s">
        <v>3589</v>
      </c>
      <c r="C3155" s="9"/>
      <c r="D3155" s="9" t="s">
        <v>79</v>
      </c>
      <c r="E3155" s="38">
        <v>1500</v>
      </c>
      <c r="F3155" s="39">
        <v>252000</v>
      </c>
      <c r="G3155" s="40">
        <v>168</v>
      </c>
      <c r="H3155" s="41">
        <v>-1.5873015873015869E-2</v>
      </c>
      <c r="I3155" s="40">
        <v>99.813707999999991</v>
      </c>
      <c r="J3155" s="41">
        <v>0.59412921428571419</v>
      </c>
      <c r="K3155" s="9" t="s">
        <v>4411</v>
      </c>
    </row>
    <row r="3156" spans="1:11" x14ac:dyDescent="0.2">
      <c r="A3156" s="9" t="s">
        <v>62</v>
      </c>
      <c r="B3156" s="9" t="s">
        <v>1272</v>
      </c>
      <c r="C3156" s="9"/>
      <c r="D3156" s="9" t="s">
        <v>81</v>
      </c>
      <c r="E3156" s="38">
        <v>744</v>
      </c>
      <c r="F3156" s="39">
        <v>555027</v>
      </c>
      <c r="G3156" s="40">
        <v>746.00403225806451</v>
      </c>
      <c r="H3156" s="41">
        <v>0.74886446965643116</v>
      </c>
      <c r="I3156" s="40">
        <v>267.35690322580638</v>
      </c>
      <c r="J3156" s="41">
        <v>0.35838533260544081</v>
      </c>
      <c r="K3156" s="9" t="s">
        <v>4412</v>
      </c>
    </row>
    <row r="3157" spans="1:11" x14ac:dyDescent="0.2">
      <c r="A3157" s="9" t="s">
        <v>62</v>
      </c>
      <c r="B3157" s="9" t="s">
        <v>4413</v>
      </c>
      <c r="C3157" s="9"/>
      <c r="D3157" s="9" t="s">
        <v>85</v>
      </c>
      <c r="E3157" s="38">
        <v>10335</v>
      </c>
      <c r="F3157" s="39">
        <v>1148940.98</v>
      </c>
      <c r="G3157" s="40">
        <v>111.1699061441703</v>
      </c>
      <c r="H3157" s="41">
        <v>0.11874890214117</v>
      </c>
      <c r="I3157" s="40">
        <v>0</v>
      </c>
      <c r="J3157" s="41">
        <v>0</v>
      </c>
      <c r="K3157" s="9" t="s">
        <v>4414</v>
      </c>
    </row>
    <row r="3158" spans="1:11" x14ac:dyDescent="0.2">
      <c r="A3158" s="9" t="s">
        <v>62</v>
      </c>
      <c r="B3158" s="9" t="s">
        <v>2059</v>
      </c>
      <c r="C3158" s="9"/>
      <c r="D3158" s="9" t="s">
        <v>82</v>
      </c>
      <c r="E3158" s="38">
        <v>5492</v>
      </c>
      <c r="F3158" s="39">
        <v>2950050.3</v>
      </c>
      <c r="G3158" s="40">
        <v>537.15409686817191</v>
      </c>
      <c r="H3158" s="41">
        <v>0.12569225345072921</v>
      </c>
      <c r="I3158" s="40">
        <v>43.699927166788058</v>
      </c>
      <c r="J3158" s="41">
        <v>8.1354545039452386E-2</v>
      </c>
      <c r="K3158" s="9" t="s">
        <v>4415</v>
      </c>
    </row>
    <row r="3159" spans="1:11" x14ac:dyDescent="0.2">
      <c r="A3159" s="9" t="s">
        <v>62</v>
      </c>
      <c r="B3159" s="9" t="s">
        <v>1816</v>
      </c>
      <c r="C3159" s="9"/>
      <c r="D3159" s="9" t="s">
        <v>76</v>
      </c>
      <c r="E3159" s="38">
        <v>3130</v>
      </c>
      <c r="F3159" s="39">
        <v>883524.11</v>
      </c>
      <c r="G3159" s="40">
        <v>282.2760734824281</v>
      </c>
      <c r="H3159" s="41">
        <v>-5.1301690001419459E-2</v>
      </c>
      <c r="I3159" s="40">
        <v>64.648025559105434</v>
      </c>
      <c r="J3159" s="41">
        <v>0.22902410665397691</v>
      </c>
      <c r="K3159" s="9" t="s">
        <v>4416</v>
      </c>
    </row>
    <row r="3160" spans="1:11" x14ac:dyDescent="0.2">
      <c r="A3160" s="9" t="s">
        <v>62</v>
      </c>
      <c r="B3160" s="9" t="s">
        <v>1149</v>
      </c>
      <c r="C3160" s="9"/>
      <c r="D3160" s="9" t="s">
        <v>76</v>
      </c>
      <c r="E3160" s="38">
        <v>26790</v>
      </c>
      <c r="F3160" s="39">
        <v>6153562.0899999999</v>
      </c>
      <c r="G3160" s="40">
        <v>229.696233296006</v>
      </c>
      <c r="H3160" s="41">
        <v>5.6585111989988874E-3</v>
      </c>
      <c r="I3160" s="40">
        <v>44.184886898096309</v>
      </c>
      <c r="J3160" s="41">
        <v>0.19236226151412739</v>
      </c>
      <c r="K3160" s="9" t="s">
        <v>4417</v>
      </c>
    </row>
    <row r="3161" spans="1:11" x14ac:dyDescent="0.2">
      <c r="A3161" s="9" t="s">
        <v>62</v>
      </c>
      <c r="B3161" s="9" t="s">
        <v>4418</v>
      </c>
      <c r="C3161" s="9"/>
      <c r="D3161" s="9" t="s">
        <v>83</v>
      </c>
      <c r="E3161" s="38">
        <v>5300</v>
      </c>
      <c r="F3161" s="39"/>
      <c r="G3161" s="40"/>
      <c r="H3161" s="41"/>
      <c r="I3161" s="40">
        <v>17.358498113207549</v>
      </c>
      <c r="J3161" s="41"/>
      <c r="K3161" s="9" t="s">
        <v>4419</v>
      </c>
    </row>
    <row r="3162" spans="1:11" x14ac:dyDescent="0.2">
      <c r="A3162" s="9" t="s">
        <v>62</v>
      </c>
      <c r="B3162" s="9" t="s">
        <v>4420</v>
      </c>
      <c r="C3162" s="9"/>
      <c r="D3162" s="9" t="s">
        <v>80</v>
      </c>
      <c r="E3162" s="38">
        <v>743</v>
      </c>
      <c r="F3162" s="39">
        <v>515619.07</v>
      </c>
      <c r="G3162" s="40">
        <v>693.96913862718714</v>
      </c>
      <c r="H3162" s="41">
        <v>-6.188836266276964E-2</v>
      </c>
      <c r="I3162" s="40">
        <v>347.19763122476451</v>
      </c>
      <c r="J3162" s="41">
        <v>0.50030701928848365</v>
      </c>
      <c r="K3162" s="9" t="s">
        <v>4421</v>
      </c>
    </row>
    <row r="3163" spans="1:11" x14ac:dyDescent="0.2">
      <c r="A3163" s="9" t="s">
        <v>62</v>
      </c>
      <c r="B3163" s="9" t="s">
        <v>317</v>
      </c>
      <c r="C3163" s="9"/>
      <c r="D3163" s="9" t="s">
        <v>76</v>
      </c>
      <c r="E3163" s="38">
        <v>4000</v>
      </c>
      <c r="F3163" s="39">
        <v>2065518.72</v>
      </c>
      <c r="G3163" s="40">
        <v>516.37968000000001</v>
      </c>
      <c r="H3163" s="41">
        <v>0.22662472892039431</v>
      </c>
      <c r="I3163" s="40">
        <v>49.233750000000001</v>
      </c>
      <c r="J3163" s="41">
        <v>9.5344088675216654E-2</v>
      </c>
      <c r="K3163" s="9" t="s">
        <v>4422</v>
      </c>
    </row>
    <row r="3164" spans="1:11" x14ac:dyDescent="0.2">
      <c r="A3164" s="9" t="s">
        <v>62</v>
      </c>
      <c r="B3164" s="9" t="s">
        <v>4423</v>
      </c>
      <c r="C3164" s="9"/>
      <c r="D3164" s="9" t="s">
        <v>83</v>
      </c>
      <c r="E3164" s="38">
        <v>1002</v>
      </c>
      <c r="F3164" s="39">
        <v>492830.27</v>
      </c>
      <c r="G3164" s="40">
        <v>491.84657684630741</v>
      </c>
      <c r="H3164" s="41">
        <v>-0.26199592001522148</v>
      </c>
      <c r="I3164" s="40">
        <v>49.900239520958088</v>
      </c>
      <c r="J3164" s="41">
        <v>0.1014548883127654</v>
      </c>
      <c r="K3164" s="9" t="s">
        <v>4424</v>
      </c>
    </row>
    <row r="3165" spans="1:11" x14ac:dyDescent="0.2">
      <c r="A3165" s="9" t="s">
        <v>62</v>
      </c>
      <c r="B3165" s="9" t="s">
        <v>4425</v>
      </c>
      <c r="C3165" s="9"/>
      <c r="D3165" s="9" t="s">
        <v>83</v>
      </c>
      <c r="E3165" s="38">
        <v>1498</v>
      </c>
      <c r="F3165" s="39"/>
      <c r="G3165" s="40"/>
      <c r="H3165" s="41"/>
      <c r="I3165" s="40">
        <v>52.070066755674233</v>
      </c>
      <c r="J3165" s="41"/>
      <c r="K3165" s="9" t="s">
        <v>4426</v>
      </c>
    </row>
    <row r="3166" spans="1:11" x14ac:dyDescent="0.2">
      <c r="A3166" s="9" t="s">
        <v>62</v>
      </c>
      <c r="B3166" s="9" t="s">
        <v>321</v>
      </c>
      <c r="C3166" s="9"/>
      <c r="D3166" s="9" t="s">
        <v>78</v>
      </c>
      <c r="E3166" s="38">
        <v>1000</v>
      </c>
      <c r="F3166" s="39">
        <v>1974858.7</v>
      </c>
      <c r="G3166" s="40">
        <v>1974.8587</v>
      </c>
      <c r="H3166" s="41">
        <v>7.750665908401444E-2</v>
      </c>
      <c r="I3166" s="40">
        <v>180.802254</v>
      </c>
      <c r="J3166" s="41">
        <v>9.1551995087040899E-2</v>
      </c>
      <c r="K3166" s="9" t="s">
        <v>4427</v>
      </c>
    </row>
    <row r="3167" spans="1:11" x14ac:dyDescent="0.2">
      <c r="A3167" s="9" t="s">
        <v>62</v>
      </c>
      <c r="B3167" s="9" t="s">
        <v>4428</v>
      </c>
      <c r="C3167" s="9"/>
      <c r="D3167" s="9" t="s">
        <v>79</v>
      </c>
      <c r="E3167" s="38">
        <v>355</v>
      </c>
      <c r="F3167" s="39">
        <v>381639.25</v>
      </c>
      <c r="G3167" s="40">
        <v>1075.04014084507</v>
      </c>
      <c r="H3167" s="41">
        <v>2.7860734974193561E-2</v>
      </c>
      <c r="I3167" s="40">
        <v>167.8585757746479</v>
      </c>
      <c r="J3167" s="41">
        <v>0.1561416819679842</v>
      </c>
      <c r="K3167" s="9" t="s">
        <v>4429</v>
      </c>
    </row>
    <row r="3168" spans="1:11" x14ac:dyDescent="0.2">
      <c r="A3168" s="9" t="s">
        <v>62</v>
      </c>
      <c r="B3168" s="9" t="s">
        <v>4430</v>
      </c>
      <c r="C3168" s="9"/>
      <c r="D3168" s="9" t="s">
        <v>79</v>
      </c>
      <c r="E3168" s="38">
        <v>1000</v>
      </c>
      <c r="F3168" s="39">
        <v>202816.3</v>
      </c>
      <c r="G3168" s="40">
        <v>202.81630000000001</v>
      </c>
      <c r="H3168" s="41">
        <v>-3.8016964119747879E-2</v>
      </c>
      <c r="I3168" s="40">
        <v>60.836984399999999</v>
      </c>
      <c r="J3168" s="41">
        <v>0.29996102088441612</v>
      </c>
      <c r="K3168" s="9" t="s">
        <v>4431</v>
      </c>
    </row>
    <row r="3169" spans="1:11" x14ac:dyDescent="0.2">
      <c r="A3169" s="9" t="s">
        <v>62</v>
      </c>
      <c r="B3169" s="9" t="s">
        <v>4430</v>
      </c>
      <c r="C3169" s="9"/>
      <c r="D3169" s="9" t="s">
        <v>79</v>
      </c>
      <c r="E3169" s="38">
        <v>1263</v>
      </c>
      <c r="F3169" s="39">
        <v>220891.09</v>
      </c>
      <c r="G3169" s="40">
        <v>174.89397466349959</v>
      </c>
      <c r="H3169" s="41">
        <v>-5.5739006946817098E-2</v>
      </c>
      <c r="I3169" s="40">
        <v>46.140097862232778</v>
      </c>
      <c r="J3169" s="41">
        <v>0.26381753831718607</v>
      </c>
      <c r="K3169" s="9" t="s">
        <v>4431</v>
      </c>
    </row>
    <row r="3170" spans="1:11" x14ac:dyDescent="0.2">
      <c r="A3170" s="9" t="s">
        <v>62</v>
      </c>
      <c r="B3170" s="9" t="s">
        <v>4432</v>
      </c>
      <c r="C3170" s="9"/>
      <c r="D3170" s="9" t="s">
        <v>81</v>
      </c>
      <c r="E3170" s="38">
        <v>8800</v>
      </c>
      <c r="F3170" s="39">
        <v>1958250.38</v>
      </c>
      <c r="G3170" s="40">
        <v>222.52845227272729</v>
      </c>
      <c r="H3170" s="41">
        <v>-6.6975194459045734E-2</v>
      </c>
      <c r="I3170" s="40">
        <v>41.605180500000003</v>
      </c>
      <c r="J3170" s="41">
        <v>0.18696566697461839</v>
      </c>
      <c r="K3170" s="9" t="s">
        <v>4433</v>
      </c>
    </row>
    <row r="3171" spans="1:11" x14ac:dyDescent="0.2">
      <c r="A3171" s="9" t="s">
        <v>62</v>
      </c>
      <c r="B3171" s="9" t="s">
        <v>3596</v>
      </c>
      <c r="C3171" s="9"/>
      <c r="D3171" s="9" t="s">
        <v>78</v>
      </c>
      <c r="E3171" s="38">
        <v>192</v>
      </c>
      <c r="F3171" s="39">
        <v>894816.55</v>
      </c>
      <c r="G3171" s="40">
        <v>4660.5028645833336</v>
      </c>
      <c r="H3171" s="41">
        <v>-2.4685048572246421E-2</v>
      </c>
      <c r="I3171" s="40">
        <v>807.79312500000003</v>
      </c>
      <c r="J3171" s="41">
        <v>0.17332746024869569</v>
      </c>
      <c r="K3171" s="9" t="s">
        <v>4434</v>
      </c>
    </row>
    <row r="3172" spans="1:11" x14ac:dyDescent="0.2">
      <c r="A3172" s="9" t="s">
        <v>62</v>
      </c>
      <c r="B3172" s="9" t="s">
        <v>331</v>
      </c>
      <c r="C3172" s="9"/>
      <c r="D3172" s="9" t="s">
        <v>81</v>
      </c>
      <c r="E3172" s="38">
        <v>1024</v>
      </c>
      <c r="F3172" s="39">
        <v>1171921.83</v>
      </c>
      <c r="G3172" s="40">
        <v>1144.4549121093751</v>
      </c>
      <c r="H3172" s="41">
        <v>-0.10687502083650061</v>
      </c>
      <c r="I3172" s="40">
        <v>151.19625117187499</v>
      </c>
      <c r="J3172" s="41">
        <v>0.13211202081626899</v>
      </c>
      <c r="K3172" s="9" t="s">
        <v>4435</v>
      </c>
    </row>
    <row r="3173" spans="1:11" x14ac:dyDescent="0.2">
      <c r="A3173" s="9" t="s">
        <v>62</v>
      </c>
      <c r="B3173" s="9" t="s">
        <v>4436</v>
      </c>
      <c r="C3173" s="9"/>
      <c r="D3173" s="9" t="s">
        <v>81</v>
      </c>
      <c r="E3173" s="38">
        <v>6003</v>
      </c>
      <c r="F3173" s="39">
        <v>4257088.95</v>
      </c>
      <c r="G3173" s="40">
        <v>709.16024487756124</v>
      </c>
      <c r="H3173" s="41">
        <v>0.13787673381830559</v>
      </c>
      <c r="I3173" s="40">
        <v>56.907902848575709</v>
      </c>
      <c r="J3173" s="41">
        <v>8.0246888146417519E-2</v>
      </c>
      <c r="K3173" s="9" t="s">
        <v>4437</v>
      </c>
    </row>
    <row r="3174" spans="1:11" x14ac:dyDescent="0.2">
      <c r="A3174" s="9" t="s">
        <v>62</v>
      </c>
      <c r="B3174" s="9" t="s">
        <v>4438</v>
      </c>
      <c r="C3174" s="9"/>
      <c r="D3174" s="9" t="s">
        <v>83</v>
      </c>
      <c r="E3174" s="38">
        <v>1443</v>
      </c>
      <c r="F3174" s="39"/>
      <c r="G3174" s="40"/>
      <c r="H3174" s="41"/>
      <c r="I3174" s="40">
        <v>43.965397920997923</v>
      </c>
      <c r="J3174" s="41"/>
      <c r="K3174" s="9" t="s">
        <v>4439</v>
      </c>
    </row>
    <row r="3175" spans="1:11" x14ac:dyDescent="0.2">
      <c r="A3175" s="9" t="s">
        <v>62</v>
      </c>
      <c r="B3175" s="9" t="s">
        <v>1286</v>
      </c>
      <c r="C3175" s="9"/>
      <c r="D3175" s="9" t="s">
        <v>80</v>
      </c>
      <c r="E3175" s="38">
        <v>744</v>
      </c>
      <c r="F3175" s="39">
        <v>384127.27</v>
      </c>
      <c r="G3175" s="40">
        <v>516.30009408602155</v>
      </c>
      <c r="H3175" s="41">
        <v>-5.1346862200124403E-2</v>
      </c>
      <c r="I3175" s="40">
        <v>170.20088709677421</v>
      </c>
      <c r="J3175" s="41">
        <v>0.3296549604509984</v>
      </c>
      <c r="K3175" s="9" t="s">
        <v>4440</v>
      </c>
    </row>
    <row r="3176" spans="1:11" x14ac:dyDescent="0.2">
      <c r="A3176" s="9" t="s">
        <v>62</v>
      </c>
      <c r="B3176" s="9" t="s">
        <v>4441</v>
      </c>
      <c r="C3176" s="9"/>
      <c r="D3176" s="9" t="s">
        <v>81</v>
      </c>
      <c r="E3176" s="38">
        <v>1000</v>
      </c>
      <c r="F3176" s="39">
        <v>722253.38</v>
      </c>
      <c r="G3176" s="40">
        <v>722.25337999999999</v>
      </c>
      <c r="H3176" s="41">
        <v>-6.9045436658254258E-2</v>
      </c>
      <c r="I3176" s="40">
        <v>147.81607919999999</v>
      </c>
      <c r="J3176" s="41">
        <v>0.20465958802435791</v>
      </c>
      <c r="K3176" s="9" t="s">
        <v>4442</v>
      </c>
    </row>
    <row r="3177" spans="1:11" x14ac:dyDescent="0.2">
      <c r="A3177" s="9" t="s">
        <v>62</v>
      </c>
      <c r="B3177" s="9" t="s">
        <v>343</v>
      </c>
      <c r="C3177" s="9"/>
      <c r="D3177" s="9" t="s">
        <v>79</v>
      </c>
      <c r="E3177" s="38">
        <v>5111</v>
      </c>
      <c r="F3177" s="39">
        <v>7256914.7699999996</v>
      </c>
      <c r="G3177" s="40">
        <v>1419.862017217765</v>
      </c>
      <c r="H3177" s="41">
        <v>1.341767170844126E-3</v>
      </c>
      <c r="I3177" s="40">
        <v>85.722700371747209</v>
      </c>
      <c r="J3177" s="41">
        <v>6.0373965450334209E-2</v>
      </c>
      <c r="K3177" s="9" t="s">
        <v>4443</v>
      </c>
    </row>
    <row r="3178" spans="1:11" x14ac:dyDescent="0.2">
      <c r="A3178" s="9" t="s">
        <v>62</v>
      </c>
      <c r="B3178" s="9" t="s">
        <v>4444</v>
      </c>
      <c r="C3178" s="9"/>
      <c r="D3178" s="9" t="s">
        <v>81</v>
      </c>
      <c r="E3178" s="38">
        <v>1132</v>
      </c>
      <c r="F3178" s="39">
        <v>719915.77</v>
      </c>
      <c r="G3178" s="40">
        <v>635.96799469964662</v>
      </c>
      <c r="H3178" s="41">
        <v>-0.39604665140201051</v>
      </c>
      <c r="I3178" s="40">
        <v>105.5695060070671</v>
      </c>
      <c r="J3178" s="41">
        <v>0.16599814281051239</v>
      </c>
      <c r="K3178" s="9" t="s">
        <v>4445</v>
      </c>
    </row>
    <row r="3179" spans="1:11" x14ac:dyDescent="0.2">
      <c r="A3179" s="9" t="s">
        <v>62</v>
      </c>
      <c r="B3179" s="9" t="s">
        <v>1296</v>
      </c>
      <c r="C3179" s="9"/>
      <c r="D3179" s="9" t="s">
        <v>82</v>
      </c>
      <c r="E3179" s="38">
        <v>1190</v>
      </c>
      <c r="F3179" s="39">
        <v>281036.34999999998</v>
      </c>
      <c r="G3179" s="40">
        <v>236.16499999999999</v>
      </c>
      <c r="H3179" s="41">
        <v>0.12435668909021901</v>
      </c>
      <c r="I3179" s="40">
        <v>63.471056470588231</v>
      </c>
      <c r="J3179" s="41">
        <v>0.2687572522202199</v>
      </c>
      <c r="K3179" s="9" t="s">
        <v>4446</v>
      </c>
    </row>
    <row r="3180" spans="1:11" x14ac:dyDescent="0.2">
      <c r="A3180" s="9" t="s">
        <v>62</v>
      </c>
      <c r="B3180" s="9" t="s">
        <v>4447</v>
      </c>
      <c r="C3180" s="9"/>
      <c r="D3180" s="9" t="s">
        <v>81</v>
      </c>
      <c r="E3180" s="38">
        <v>6528</v>
      </c>
      <c r="F3180" s="39"/>
      <c r="G3180" s="40"/>
      <c r="H3180" s="41"/>
      <c r="I3180" s="40">
        <v>39.65</v>
      </c>
      <c r="J3180" s="41"/>
      <c r="K3180" s="9" t="s">
        <v>4448</v>
      </c>
    </row>
    <row r="3181" spans="1:11" x14ac:dyDescent="0.2">
      <c r="A3181" s="9" t="s">
        <v>62</v>
      </c>
      <c r="B3181" s="9" t="s">
        <v>4449</v>
      </c>
      <c r="C3181" s="9"/>
      <c r="D3181" s="9" t="s">
        <v>84</v>
      </c>
      <c r="E3181" s="38">
        <v>150</v>
      </c>
      <c r="F3181" s="39">
        <v>159992</v>
      </c>
      <c r="G3181" s="40">
        <v>1066.613333333333</v>
      </c>
      <c r="H3181" s="41">
        <v>0.1075553777688884</v>
      </c>
      <c r="I3181" s="40">
        <v>393.89440000000002</v>
      </c>
      <c r="J3181" s="41">
        <v>0.36929446472323618</v>
      </c>
      <c r="K3181" s="9" t="s">
        <v>4450</v>
      </c>
    </row>
    <row r="3182" spans="1:11" x14ac:dyDescent="0.2">
      <c r="A3182" s="9" t="s">
        <v>62</v>
      </c>
      <c r="B3182" s="9" t="s">
        <v>355</v>
      </c>
      <c r="C3182" s="9"/>
      <c r="D3182" s="9" t="s">
        <v>82</v>
      </c>
      <c r="E3182" s="38">
        <v>1844</v>
      </c>
      <c r="F3182" s="39">
        <v>755104.39</v>
      </c>
      <c r="G3182" s="40">
        <v>409.49261930585692</v>
      </c>
      <c r="H3182" s="41">
        <v>-6.3073398368138217E-2</v>
      </c>
      <c r="I3182" s="40">
        <v>57.939240780911057</v>
      </c>
      <c r="J3182" s="41">
        <v>0.1414903176499874</v>
      </c>
      <c r="K3182" s="9" t="s">
        <v>4451</v>
      </c>
    </row>
    <row r="3183" spans="1:11" x14ac:dyDescent="0.2">
      <c r="A3183" s="9" t="s">
        <v>62</v>
      </c>
      <c r="B3183" s="9" t="s">
        <v>538</v>
      </c>
      <c r="C3183" s="9"/>
      <c r="D3183" s="9" t="s">
        <v>80</v>
      </c>
      <c r="E3183" s="38">
        <v>1100</v>
      </c>
      <c r="F3183" s="39"/>
      <c r="G3183" s="40"/>
      <c r="H3183" s="41"/>
      <c r="I3183" s="40">
        <v>96.477742909090907</v>
      </c>
      <c r="J3183" s="41"/>
      <c r="K3183" s="9" t="s">
        <v>4452</v>
      </c>
    </row>
    <row r="3184" spans="1:11" x14ac:dyDescent="0.2">
      <c r="A3184" s="9" t="s">
        <v>62</v>
      </c>
      <c r="B3184" s="9" t="s">
        <v>4453</v>
      </c>
      <c r="C3184" s="9"/>
      <c r="D3184" s="9" t="s">
        <v>83</v>
      </c>
      <c r="E3184" s="38">
        <v>9467</v>
      </c>
      <c r="F3184" s="39"/>
      <c r="G3184" s="40"/>
      <c r="H3184" s="41"/>
      <c r="I3184" s="40">
        <v>15.210732016478291</v>
      </c>
      <c r="J3184" s="41"/>
      <c r="K3184" s="9" t="s">
        <v>4454</v>
      </c>
    </row>
    <row r="3185" spans="1:11" x14ac:dyDescent="0.2">
      <c r="A3185" s="9" t="s">
        <v>62</v>
      </c>
      <c r="B3185" s="9" t="s">
        <v>1419</v>
      </c>
      <c r="C3185" s="9"/>
      <c r="D3185" s="9" t="s">
        <v>80</v>
      </c>
      <c r="E3185" s="38">
        <v>743</v>
      </c>
      <c r="F3185" s="39">
        <v>650207.09</v>
      </c>
      <c r="G3185" s="40">
        <v>875.11048452220723</v>
      </c>
      <c r="H3185" s="41">
        <v>-0.17334328052313311</v>
      </c>
      <c r="I3185" s="40">
        <v>224.36568290713319</v>
      </c>
      <c r="J3185" s="41">
        <v>0.25638555002530039</v>
      </c>
      <c r="K3185" s="9" t="s">
        <v>4455</v>
      </c>
    </row>
    <row r="3186" spans="1:11" x14ac:dyDescent="0.2">
      <c r="A3186" s="9" t="s">
        <v>62</v>
      </c>
      <c r="B3186" s="9" t="s">
        <v>731</v>
      </c>
      <c r="C3186" s="9"/>
      <c r="D3186" s="9" t="s">
        <v>78</v>
      </c>
      <c r="E3186" s="38">
        <v>786</v>
      </c>
      <c r="F3186" s="39">
        <v>820132.79</v>
      </c>
      <c r="G3186" s="40">
        <v>1043.4259414758269</v>
      </c>
      <c r="H3186" s="41">
        <v>4.0390642105652262E-2</v>
      </c>
      <c r="I3186" s="40">
        <v>195.01557251908389</v>
      </c>
      <c r="J3186" s="41">
        <v>0.186899294686169</v>
      </c>
      <c r="K3186" s="9" t="s">
        <v>4456</v>
      </c>
    </row>
    <row r="3187" spans="1:11" x14ac:dyDescent="0.2">
      <c r="A3187" s="9" t="s">
        <v>62</v>
      </c>
      <c r="B3187" s="9" t="s">
        <v>733</v>
      </c>
      <c r="C3187" s="9"/>
      <c r="D3187" s="9" t="s">
        <v>80</v>
      </c>
      <c r="E3187" s="38">
        <v>743</v>
      </c>
      <c r="F3187" s="39">
        <v>903238.06</v>
      </c>
      <c r="G3187" s="40">
        <v>1215.6636069986539</v>
      </c>
      <c r="H3187" s="41">
        <v>8.4984062784068337E-2</v>
      </c>
      <c r="I3187" s="40">
        <v>217.59057335127861</v>
      </c>
      <c r="J3187" s="41">
        <v>0.17898913161387381</v>
      </c>
      <c r="K3187" s="9" t="s">
        <v>4457</v>
      </c>
    </row>
    <row r="3188" spans="1:11" x14ac:dyDescent="0.2">
      <c r="A3188" s="9" t="s">
        <v>62</v>
      </c>
      <c r="B3188" s="9" t="s">
        <v>1549</v>
      </c>
      <c r="C3188" s="9"/>
      <c r="D3188" s="9" t="s">
        <v>80</v>
      </c>
      <c r="E3188" s="38">
        <v>1812</v>
      </c>
      <c r="F3188" s="39">
        <v>530216.49</v>
      </c>
      <c r="G3188" s="40">
        <v>292.6139569536424</v>
      </c>
      <c r="H3188" s="41">
        <v>0.48089505854485959</v>
      </c>
      <c r="I3188" s="40">
        <v>70.9691761589404</v>
      </c>
      <c r="J3188" s="41">
        <v>0.2425351712467487</v>
      </c>
      <c r="K3188" s="9" t="s">
        <v>4458</v>
      </c>
    </row>
    <row r="3189" spans="1:11" x14ac:dyDescent="0.2">
      <c r="A3189" s="9" t="s">
        <v>62</v>
      </c>
      <c r="B3189" s="9" t="s">
        <v>830</v>
      </c>
      <c r="C3189" s="9"/>
      <c r="D3189" s="9" t="s">
        <v>86</v>
      </c>
      <c r="E3189" s="38">
        <v>130140</v>
      </c>
      <c r="F3189" s="39">
        <v>0</v>
      </c>
      <c r="G3189" s="40"/>
      <c r="H3189" s="41"/>
      <c r="I3189" s="40">
        <v>9.5828307976025826</v>
      </c>
      <c r="J3189" s="41"/>
      <c r="K3189" s="9" t="s">
        <v>4459</v>
      </c>
    </row>
    <row r="3190" spans="1:11" x14ac:dyDescent="0.2">
      <c r="A3190" s="9" t="s">
        <v>62</v>
      </c>
      <c r="B3190" s="9" t="s">
        <v>2288</v>
      </c>
      <c r="C3190" s="9"/>
      <c r="D3190" s="9" t="s">
        <v>78</v>
      </c>
      <c r="E3190" s="38">
        <v>1300</v>
      </c>
      <c r="F3190" s="39">
        <v>162360.17000000001</v>
      </c>
      <c r="G3190" s="40">
        <v>124.8924384615385</v>
      </c>
      <c r="H3190" s="41">
        <v>-0.41179607042786409</v>
      </c>
      <c r="I3190" s="40">
        <v>90.227460923076919</v>
      </c>
      <c r="J3190" s="41">
        <v>0.72244134260268378</v>
      </c>
      <c r="K3190" s="9" t="s">
        <v>4460</v>
      </c>
    </row>
    <row r="3191" spans="1:11" x14ac:dyDescent="0.2">
      <c r="A3191" s="9" t="s">
        <v>62</v>
      </c>
      <c r="B3191" s="9" t="s">
        <v>4461</v>
      </c>
      <c r="C3191" s="9"/>
      <c r="D3191" s="9" t="s">
        <v>79</v>
      </c>
      <c r="E3191" s="38">
        <v>2569</v>
      </c>
      <c r="F3191" s="39"/>
      <c r="G3191" s="40"/>
      <c r="H3191" s="41"/>
      <c r="I3191" s="40">
        <v>72.09998396263137</v>
      </c>
      <c r="J3191" s="41"/>
      <c r="K3191" s="9" t="s">
        <v>4462</v>
      </c>
    </row>
    <row r="3192" spans="1:11" x14ac:dyDescent="0.2">
      <c r="A3192" s="9" t="s">
        <v>62</v>
      </c>
      <c r="B3192" s="9" t="s">
        <v>4463</v>
      </c>
      <c r="C3192" s="9"/>
      <c r="D3192" s="9" t="s">
        <v>79</v>
      </c>
      <c r="E3192" s="38">
        <v>1500</v>
      </c>
      <c r="F3192" s="39">
        <v>120721.34</v>
      </c>
      <c r="G3192" s="40">
        <v>80.480893333333327</v>
      </c>
      <c r="H3192" s="41">
        <v>-2.5899314901574439E-3</v>
      </c>
      <c r="I3192" s="40">
        <v>74.090279999999993</v>
      </c>
      <c r="J3192" s="41">
        <v>0.92059465211370251</v>
      </c>
      <c r="K3192" s="9" t="s">
        <v>4464</v>
      </c>
    </row>
    <row r="3193" spans="1:11" x14ac:dyDescent="0.2">
      <c r="A3193" s="9" t="s">
        <v>62</v>
      </c>
      <c r="B3193" s="9" t="s">
        <v>4463</v>
      </c>
      <c r="C3193" s="9"/>
      <c r="D3193" s="9" t="s">
        <v>79</v>
      </c>
      <c r="E3193" s="38">
        <v>1427</v>
      </c>
      <c r="F3193" s="39">
        <v>200058</v>
      </c>
      <c r="G3193" s="40">
        <v>140.19481429572531</v>
      </c>
      <c r="H3193" s="41">
        <v>3.7879015085625169E-2</v>
      </c>
      <c r="I3193" s="40">
        <v>80.777418920812892</v>
      </c>
      <c r="J3193" s="41">
        <v>0.5761797918603605</v>
      </c>
      <c r="K3193" s="9" t="s">
        <v>4464</v>
      </c>
    </row>
    <row r="3194" spans="1:11" x14ac:dyDescent="0.2">
      <c r="A3194" s="9" t="s">
        <v>62</v>
      </c>
      <c r="B3194" s="9" t="s">
        <v>4463</v>
      </c>
      <c r="C3194" s="9"/>
      <c r="D3194" s="9" t="s">
        <v>79</v>
      </c>
      <c r="E3194" s="38">
        <v>120</v>
      </c>
      <c r="F3194" s="39">
        <v>153732</v>
      </c>
      <c r="G3194" s="40">
        <v>1281.0999999999999</v>
      </c>
      <c r="H3194" s="41">
        <v>-0.22699242838185929</v>
      </c>
      <c r="I3194" s="40">
        <v>932.45255999999995</v>
      </c>
      <c r="J3194" s="41">
        <v>0.72785306377331982</v>
      </c>
      <c r="K3194" s="9" t="s">
        <v>4464</v>
      </c>
    </row>
    <row r="3195" spans="1:11" x14ac:dyDescent="0.2">
      <c r="A3195" s="9" t="s">
        <v>62</v>
      </c>
      <c r="B3195" s="9" t="s">
        <v>4465</v>
      </c>
      <c r="C3195" s="9"/>
      <c r="D3195" s="9" t="s">
        <v>82</v>
      </c>
      <c r="E3195" s="38">
        <v>10978</v>
      </c>
      <c r="F3195" s="39">
        <v>1089252.92</v>
      </c>
      <c r="G3195" s="40">
        <v>99.221435598469654</v>
      </c>
      <c r="H3195" s="41">
        <v>0.15077056667426689</v>
      </c>
      <c r="I3195" s="40">
        <v>26.52249061759883</v>
      </c>
      <c r="J3195" s="41">
        <v>0.26730605597091261</v>
      </c>
      <c r="K3195" s="9" t="s">
        <v>4466</v>
      </c>
    </row>
    <row r="3196" spans="1:11" x14ac:dyDescent="0.2">
      <c r="A3196" s="9" t="s">
        <v>62</v>
      </c>
      <c r="B3196" s="9" t="s">
        <v>369</v>
      </c>
      <c r="C3196" s="9"/>
      <c r="D3196" s="9" t="s">
        <v>84</v>
      </c>
      <c r="E3196" s="38">
        <v>2300</v>
      </c>
      <c r="F3196" s="39">
        <v>0</v>
      </c>
      <c r="G3196" s="40"/>
      <c r="H3196" s="41"/>
      <c r="I3196" s="40">
        <v>186.8658260869565</v>
      </c>
      <c r="J3196" s="41"/>
      <c r="K3196" s="9" t="s">
        <v>4467</v>
      </c>
    </row>
    <row r="3197" spans="1:11" x14ac:dyDescent="0.2">
      <c r="A3197" s="9" t="s">
        <v>62</v>
      </c>
      <c r="B3197" s="9" t="s">
        <v>4468</v>
      </c>
      <c r="C3197" s="9"/>
      <c r="D3197" s="9" t="s">
        <v>83</v>
      </c>
      <c r="E3197" s="38">
        <v>3322</v>
      </c>
      <c r="F3197" s="39"/>
      <c r="G3197" s="40"/>
      <c r="H3197" s="41"/>
      <c r="I3197" s="40">
        <v>72.245635159542445</v>
      </c>
      <c r="J3197" s="41"/>
      <c r="K3197" s="9" t="s">
        <v>4469</v>
      </c>
    </row>
    <row r="3198" spans="1:11" x14ac:dyDescent="0.2">
      <c r="A3198" s="9" t="s">
        <v>62</v>
      </c>
      <c r="B3198" s="9" t="s">
        <v>388</v>
      </c>
      <c r="C3198" s="9"/>
      <c r="D3198" s="9" t="s">
        <v>76</v>
      </c>
      <c r="E3198" s="38">
        <v>13295</v>
      </c>
      <c r="F3198" s="39">
        <v>5497695.9299999997</v>
      </c>
      <c r="G3198" s="40">
        <v>413.51605340353512</v>
      </c>
      <c r="H3198" s="41">
        <v>-1.753718307225505E-3</v>
      </c>
      <c r="I3198" s="40">
        <v>61.543041323805937</v>
      </c>
      <c r="J3198" s="41">
        <v>0.14882866291952229</v>
      </c>
      <c r="K3198" s="9" t="s">
        <v>4470</v>
      </c>
    </row>
    <row r="3199" spans="1:11" x14ac:dyDescent="0.2">
      <c r="A3199" s="9" t="s">
        <v>62</v>
      </c>
      <c r="B3199" s="9" t="s">
        <v>4471</v>
      </c>
      <c r="C3199" s="9"/>
      <c r="D3199" s="9" t="s">
        <v>80</v>
      </c>
      <c r="E3199" s="38">
        <v>300</v>
      </c>
      <c r="F3199" s="39">
        <v>64400.68</v>
      </c>
      <c r="G3199" s="40">
        <v>214.66893333333331</v>
      </c>
      <c r="H3199" s="41">
        <v>1</v>
      </c>
      <c r="I3199" s="40">
        <v>414.66680000000002</v>
      </c>
      <c r="J3199" s="41">
        <v>1.931657243370722E-2</v>
      </c>
      <c r="K3199" s="9" t="s">
        <v>4472</v>
      </c>
    </row>
    <row r="3200" spans="1:11" x14ac:dyDescent="0.2">
      <c r="A3200" s="9" t="s">
        <v>62</v>
      </c>
      <c r="B3200" s="9" t="s">
        <v>2088</v>
      </c>
      <c r="C3200" s="9"/>
      <c r="D3200" s="9" t="s">
        <v>81</v>
      </c>
      <c r="E3200" s="38">
        <v>1064</v>
      </c>
      <c r="F3200" s="39">
        <v>2013565</v>
      </c>
      <c r="G3200" s="40">
        <v>1892.448308270677</v>
      </c>
      <c r="H3200" s="41">
        <v>-6.8615614594016092E-2</v>
      </c>
      <c r="I3200" s="40">
        <v>238.2680537593985</v>
      </c>
      <c r="J3200" s="41">
        <v>0.1259046562688565</v>
      </c>
      <c r="K3200" s="9" t="s">
        <v>4473</v>
      </c>
    </row>
    <row r="3201" spans="1:11" x14ac:dyDescent="0.2">
      <c r="A3201" s="9" t="s">
        <v>62</v>
      </c>
      <c r="B3201" s="9" t="s">
        <v>741</v>
      </c>
      <c r="C3201" s="9"/>
      <c r="D3201" s="9" t="s">
        <v>80</v>
      </c>
      <c r="E3201" s="38">
        <v>180</v>
      </c>
      <c r="F3201" s="39">
        <v>437212.45</v>
      </c>
      <c r="G3201" s="40">
        <v>2428.9580555555558</v>
      </c>
      <c r="H3201" s="41">
        <v>-0.1018128829588453</v>
      </c>
      <c r="I3201" s="40">
        <v>736.62646300000006</v>
      </c>
      <c r="J3201" s="41">
        <v>0.30326849873556888</v>
      </c>
      <c r="K3201" s="9" t="s">
        <v>4474</v>
      </c>
    </row>
    <row r="3202" spans="1:11" x14ac:dyDescent="0.2">
      <c r="A3202" s="9" t="s">
        <v>62</v>
      </c>
      <c r="B3202" s="9" t="s">
        <v>741</v>
      </c>
      <c r="C3202" s="9"/>
      <c r="D3202" s="9" t="s">
        <v>80</v>
      </c>
      <c r="E3202" s="38">
        <v>100</v>
      </c>
      <c r="F3202" s="39">
        <v>193362.4</v>
      </c>
      <c r="G3202" s="40">
        <v>1933.624</v>
      </c>
      <c r="H3202" s="41">
        <v>-0.1378374492662483</v>
      </c>
      <c r="I3202" s="40">
        <v>456.67854</v>
      </c>
      <c r="J3202" s="41">
        <v>0.2361775298610278</v>
      </c>
      <c r="K3202" s="9" t="s">
        <v>4474</v>
      </c>
    </row>
    <row r="3203" spans="1:11" x14ac:dyDescent="0.2">
      <c r="A3203" s="9" t="s">
        <v>62</v>
      </c>
      <c r="B3203" s="9" t="s">
        <v>741</v>
      </c>
      <c r="C3203" s="9"/>
      <c r="D3203" s="9" t="s">
        <v>80</v>
      </c>
      <c r="E3203" s="38">
        <v>200</v>
      </c>
      <c r="F3203" s="39">
        <v>463632.54</v>
      </c>
      <c r="G3203" s="40">
        <v>2318.1626999999999</v>
      </c>
      <c r="H3203" s="41">
        <v>-6.9008465195303181E-2</v>
      </c>
      <c r="I3203" s="40">
        <v>667.52504399999987</v>
      </c>
      <c r="J3203" s="41">
        <v>0.28795435454120633</v>
      </c>
      <c r="K3203" s="9" t="s">
        <v>4474</v>
      </c>
    </row>
    <row r="3204" spans="1:11" x14ac:dyDescent="0.2">
      <c r="A3204" s="9" t="s">
        <v>62</v>
      </c>
      <c r="B3204" s="9" t="s">
        <v>392</v>
      </c>
      <c r="C3204" s="9"/>
      <c r="D3204" s="9" t="s">
        <v>76</v>
      </c>
      <c r="E3204" s="38">
        <v>4253</v>
      </c>
      <c r="F3204" s="39">
        <v>1709325.22</v>
      </c>
      <c r="G3204" s="40">
        <v>401.9104679050082</v>
      </c>
      <c r="H3204" s="41">
        <v>0.15757644411284111</v>
      </c>
      <c r="I3204" s="40">
        <v>51.590093298847883</v>
      </c>
      <c r="J3204" s="41">
        <v>0.12836215380944299</v>
      </c>
      <c r="K3204" s="9" t="s">
        <v>4475</v>
      </c>
    </row>
    <row r="3205" spans="1:11" x14ac:dyDescent="0.2">
      <c r="A3205" s="9" t="s">
        <v>62</v>
      </c>
      <c r="B3205" s="9" t="s">
        <v>2622</v>
      </c>
      <c r="C3205" s="9"/>
      <c r="D3205" s="9" t="s">
        <v>81</v>
      </c>
      <c r="E3205" s="38">
        <v>11700</v>
      </c>
      <c r="F3205" s="39">
        <v>7702767.0199999996</v>
      </c>
      <c r="G3205" s="40">
        <v>658.35615555555546</v>
      </c>
      <c r="H3205" s="41">
        <v>-4.2146958249816438E-3</v>
      </c>
      <c r="I3205" s="40">
        <v>68.306267487179483</v>
      </c>
      <c r="J3205" s="41">
        <v>0.1037527589144193</v>
      </c>
      <c r="K3205" s="9" t="s">
        <v>4476</v>
      </c>
    </row>
    <row r="3206" spans="1:11" x14ac:dyDescent="0.2">
      <c r="A3206" s="9" t="s">
        <v>62</v>
      </c>
      <c r="B3206" s="9" t="s">
        <v>396</v>
      </c>
      <c r="C3206" s="9"/>
      <c r="D3206" s="9" t="s">
        <v>78</v>
      </c>
      <c r="E3206" s="38">
        <v>1809</v>
      </c>
      <c r="F3206" s="39">
        <v>2437973.9500000002</v>
      </c>
      <c r="G3206" s="40">
        <v>1347.691514648978</v>
      </c>
      <c r="H3206" s="41">
        <v>6.0478464095155893E-2</v>
      </c>
      <c r="I3206" s="40">
        <v>190.58043117744609</v>
      </c>
      <c r="J3206" s="41">
        <v>0.14141250360776009</v>
      </c>
      <c r="K3206" s="9" t="s">
        <v>4477</v>
      </c>
    </row>
    <row r="3207" spans="1:11" x14ac:dyDescent="0.2">
      <c r="A3207" s="9" t="s">
        <v>62</v>
      </c>
      <c r="B3207" s="9" t="s">
        <v>579</v>
      </c>
      <c r="C3207" s="9"/>
      <c r="D3207" s="9" t="s">
        <v>76</v>
      </c>
      <c r="E3207" s="38">
        <v>25495</v>
      </c>
      <c r="F3207" s="39">
        <v>8748732.9900000002</v>
      </c>
      <c r="G3207" s="40">
        <v>343.15485350068639</v>
      </c>
      <c r="H3207" s="41">
        <v>-5.6909793746031313E-2</v>
      </c>
      <c r="I3207" s="40">
        <v>0</v>
      </c>
      <c r="J3207" s="41">
        <v>0</v>
      </c>
      <c r="K3207" s="9" t="s">
        <v>4478</v>
      </c>
    </row>
    <row r="3208" spans="1:11" x14ac:dyDescent="0.2">
      <c r="A3208" s="9" t="s">
        <v>62</v>
      </c>
      <c r="B3208" s="9" t="s">
        <v>398</v>
      </c>
      <c r="C3208" s="9"/>
      <c r="D3208" s="9" t="s">
        <v>76</v>
      </c>
      <c r="E3208" s="38">
        <v>3600</v>
      </c>
      <c r="F3208" s="39">
        <v>716926.92</v>
      </c>
      <c r="G3208" s="40">
        <v>199.14636666666669</v>
      </c>
      <c r="H3208" s="41">
        <v>-4.6399429386736769E-4</v>
      </c>
      <c r="I3208" s="40">
        <v>25.75</v>
      </c>
      <c r="J3208" s="41">
        <v>0.1293018819826155</v>
      </c>
      <c r="K3208" s="9" t="s">
        <v>4479</v>
      </c>
    </row>
    <row r="3209" spans="1:11" x14ac:dyDescent="0.2">
      <c r="A3209" s="9" t="s">
        <v>33</v>
      </c>
      <c r="B3209" s="9" t="s">
        <v>4480</v>
      </c>
      <c r="C3209" s="9" t="s">
        <v>76</v>
      </c>
      <c r="D3209" s="9" t="s">
        <v>83</v>
      </c>
      <c r="E3209" s="38">
        <v>1</v>
      </c>
      <c r="F3209" s="39">
        <v>0</v>
      </c>
      <c r="G3209" s="40"/>
      <c r="H3209" s="41"/>
      <c r="I3209" s="40">
        <v>5499.9996000000001</v>
      </c>
      <c r="J3209" s="41"/>
      <c r="K3209" s="9" t="s">
        <v>4481</v>
      </c>
    </row>
    <row r="3210" spans="1:11" x14ac:dyDescent="0.2">
      <c r="A3210" s="9" t="s">
        <v>33</v>
      </c>
      <c r="B3210" s="9" t="s">
        <v>4482</v>
      </c>
      <c r="C3210" s="9"/>
      <c r="D3210" s="9" t="s">
        <v>83</v>
      </c>
      <c r="E3210" s="38">
        <v>3000</v>
      </c>
      <c r="F3210" s="39">
        <v>368237</v>
      </c>
      <c r="G3210" s="40">
        <v>122.74566666666669</v>
      </c>
      <c r="H3210" s="41">
        <v>-9.5925460833936924E-2</v>
      </c>
      <c r="I3210" s="40">
        <v>32.727816799999999</v>
      </c>
      <c r="J3210" s="41">
        <v>0.26663113809856148</v>
      </c>
      <c r="K3210" s="9" t="s">
        <v>4483</v>
      </c>
    </row>
    <row r="3211" spans="1:11" x14ac:dyDescent="0.2">
      <c r="A3211" s="9" t="s">
        <v>33</v>
      </c>
      <c r="B3211" s="9" t="s">
        <v>166</v>
      </c>
      <c r="C3211" s="9"/>
      <c r="D3211" s="9" t="s">
        <v>76</v>
      </c>
      <c r="E3211" s="38">
        <v>3785</v>
      </c>
      <c r="F3211" s="39">
        <v>1230250.23</v>
      </c>
      <c r="G3211" s="40">
        <v>325.03308586525759</v>
      </c>
      <c r="H3211" s="41">
        <v>0.13283819066207131</v>
      </c>
      <c r="I3211" s="40">
        <v>23.56935281373844</v>
      </c>
      <c r="J3211" s="41">
        <v>7.2513703492662632E-2</v>
      </c>
      <c r="K3211" s="9" t="s">
        <v>4484</v>
      </c>
    </row>
    <row r="3212" spans="1:11" x14ac:dyDescent="0.2">
      <c r="A3212" s="9" t="s">
        <v>33</v>
      </c>
      <c r="B3212" s="9" t="s">
        <v>2910</v>
      </c>
      <c r="C3212" s="9"/>
      <c r="D3212" s="9" t="s">
        <v>83</v>
      </c>
      <c r="E3212" s="38">
        <v>4500</v>
      </c>
      <c r="F3212" s="39">
        <v>1300125</v>
      </c>
      <c r="G3212" s="40">
        <v>288.91666666666669</v>
      </c>
      <c r="H3212" s="41">
        <v>7.8579489054153434E-2</v>
      </c>
      <c r="I3212" s="40">
        <v>32.658710133333337</v>
      </c>
      <c r="J3212" s="41">
        <v>0.11303851214306319</v>
      </c>
      <c r="K3212" s="9" t="s">
        <v>4485</v>
      </c>
    </row>
    <row r="3213" spans="1:11" x14ac:dyDescent="0.2">
      <c r="A3213" s="9" t="s">
        <v>33</v>
      </c>
      <c r="B3213" s="9" t="s">
        <v>177</v>
      </c>
      <c r="C3213" s="9"/>
      <c r="D3213" s="9" t="s">
        <v>85</v>
      </c>
      <c r="E3213" s="38">
        <v>29000</v>
      </c>
      <c r="F3213" s="39">
        <v>1894751.27</v>
      </c>
      <c r="G3213" s="40">
        <v>65.336250689655174</v>
      </c>
      <c r="H3213" s="41">
        <v>1.8404490943051331E-2</v>
      </c>
      <c r="I3213" s="40">
        <v>13.793103434482759</v>
      </c>
      <c r="J3213" s="41">
        <v>0.21110950335977341</v>
      </c>
      <c r="K3213" s="9" t="s">
        <v>4486</v>
      </c>
    </row>
    <row r="3214" spans="1:11" x14ac:dyDescent="0.2">
      <c r="A3214" s="9" t="s">
        <v>33</v>
      </c>
      <c r="B3214" s="9" t="s">
        <v>179</v>
      </c>
      <c r="C3214" s="9"/>
      <c r="D3214" s="9" t="s">
        <v>79</v>
      </c>
      <c r="E3214" s="38">
        <v>4529</v>
      </c>
      <c r="F3214" s="39">
        <v>3540941</v>
      </c>
      <c r="G3214" s="40">
        <v>781.83727092073309</v>
      </c>
      <c r="H3214" s="41">
        <v>-2.852724186757051E-2</v>
      </c>
      <c r="I3214" s="40">
        <v>56.897737160521089</v>
      </c>
      <c r="J3214" s="41">
        <v>7.277439855676783E-2</v>
      </c>
      <c r="K3214" s="9" t="s">
        <v>4487</v>
      </c>
    </row>
    <row r="3215" spans="1:11" x14ac:dyDescent="0.2">
      <c r="A3215" s="9" t="s">
        <v>33</v>
      </c>
      <c r="B3215" s="9" t="s">
        <v>665</v>
      </c>
      <c r="C3215" s="9"/>
      <c r="D3215" s="9" t="s">
        <v>81</v>
      </c>
      <c r="E3215" s="38">
        <v>9000</v>
      </c>
      <c r="F3215" s="39">
        <v>6461638.5</v>
      </c>
      <c r="G3215" s="40">
        <v>717.95983333333334</v>
      </c>
      <c r="H3215" s="41">
        <v>2.902710665643073E-2</v>
      </c>
      <c r="I3215" s="40">
        <v>51.951813333333327</v>
      </c>
      <c r="J3215" s="41">
        <v>7.236033399268621E-2</v>
      </c>
      <c r="K3215" s="9" t="s">
        <v>4488</v>
      </c>
    </row>
    <row r="3216" spans="1:11" x14ac:dyDescent="0.2">
      <c r="A3216" s="9" t="s">
        <v>33</v>
      </c>
      <c r="B3216" s="9" t="s">
        <v>4489</v>
      </c>
      <c r="C3216" s="9"/>
      <c r="D3216" s="9" t="s">
        <v>79</v>
      </c>
      <c r="E3216" s="38">
        <v>2899</v>
      </c>
      <c r="F3216" s="39">
        <v>396635.51</v>
      </c>
      <c r="G3216" s="40">
        <v>136.81804415315631</v>
      </c>
      <c r="H3216" s="41"/>
      <c r="I3216" s="40">
        <v>37.920000413935838</v>
      </c>
      <c r="J3216" s="41">
        <v>0.27715642807674978</v>
      </c>
      <c r="K3216" s="9" t="s">
        <v>4490</v>
      </c>
    </row>
    <row r="3217" spans="1:11" x14ac:dyDescent="0.2">
      <c r="A3217" s="9" t="s">
        <v>33</v>
      </c>
      <c r="B3217" s="9" t="s">
        <v>185</v>
      </c>
      <c r="C3217" s="9"/>
      <c r="D3217" s="9" t="s">
        <v>81</v>
      </c>
      <c r="E3217" s="38">
        <v>2581</v>
      </c>
      <c r="F3217" s="39">
        <v>1102393.99</v>
      </c>
      <c r="G3217" s="40">
        <v>427.1189422704378</v>
      </c>
      <c r="H3217" s="41">
        <v>-9.183069431543997E-2</v>
      </c>
      <c r="I3217" s="40">
        <v>61.441216737698561</v>
      </c>
      <c r="J3217" s="41">
        <v>0.14385036732647641</v>
      </c>
      <c r="K3217" s="9" t="s">
        <v>4491</v>
      </c>
    </row>
    <row r="3218" spans="1:11" x14ac:dyDescent="0.2">
      <c r="A3218" s="9" t="s">
        <v>33</v>
      </c>
      <c r="B3218" s="9" t="s">
        <v>4492</v>
      </c>
      <c r="C3218" s="9"/>
      <c r="D3218" s="9" t="s">
        <v>82</v>
      </c>
      <c r="E3218" s="38">
        <v>2490</v>
      </c>
      <c r="F3218" s="39">
        <v>587111.09000000008</v>
      </c>
      <c r="G3218" s="40">
        <v>235.78758634538161</v>
      </c>
      <c r="H3218" s="41">
        <v>5.8018420785536491E-2</v>
      </c>
      <c r="I3218" s="40">
        <v>31.869879518072288</v>
      </c>
      <c r="J3218" s="41">
        <v>0.13516351735069421</v>
      </c>
      <c r="K3218" s="9" t="s">
        <v>4493</v>
      </c>
    </row>
    <row r="3219" spans="1:11" x14ac:dyDescent="0.2">
      <c r="A3219" s="9" t="s">
        <v>33</v>
      </c>
      <c r="B3219" s="9" t="s">
        <v>191</v>
      </c>
      <c r="C3219" s="9"/>
      <c r="D3219" s="9" t="s">
        <v>76</v>
      </c>
      <c r="E3219" s="38">
        <v>4976</v>
      </c>
      <c r="F3219" s="39">
        <v>1784015.89</v>
      </c>
      <c r="G3219" s="40">
        <v>358.52409364951768</v>
      </c>
      <c r="H3219" s="41">
        <v>-5.9316814508926841E-2</v>
      </c>
      <c r="I3219" s="40">
        <v>43.266613745980713</v>
      </c>
      <c r="J3219" s="41">
        <v>0.1206797939451089</v>
      </c>
      <c r="K3219" s="9" t="s">
        <v>4494</v>
      </c>
    </row>
    <row r="3220" spans="1:11" x14ac:dyDescent="0.2">
      <c r="A3220" s="9" t="s">
        <v>33</v>
      </c>
      <c r="B3220" s="9" t="s">
        <v>3070</v>
      </c>
      <c r="C3220" s="9"/>
      <c r="D3220" s="9" t="s">
        <v>79</v>
      </c>
      <c r="E3220" s="38">
        <v>2646</v>
      </c>
      <c r="F3220" s="39">
        <v>289711</v>
      </c>
      <c r="G3220" s="40">
        <v>109.4901738473167</v>
      </c>
      <c r="H3220" s="41">
        <v>4.4741103551577913E-2</v>
      </c>
      <c r="I3220" s="40">
        <v>46.62</v>
      </c>
      <c r="J3220" s="41">
        <v>0.42579163373154633</v>
      </c>
      <c r="K3220" s="9" t="s">
        <v>4495</v>
      </c>
    </row>
    <row r="3221" spans="1:11" x14ac:dyDescent="0.2">
      <c r="A3221" s="9" t="s">
        <v>33</v>
      </c>
      <c r="B3221" s="9" t="s">
        <v>200</v>
      </c>
      <c r="C3221" s="9"/>
      <c r="D3221" s="9" t="s">
        <v>77</v>
      </c>
      <c r="E3221" s="38">
        <v>7023</v>
      </c>
      <c r="F3221" s="39">
        <v>2108585.5</v>
      </c>
      <c r="G3221" s="40">
        <v>300.23999715221407</v>
      </c>
      <c r="H3221" s="41">
        <v>-0.13038282980331861</v>
      </c>
      <c r="I3221" s="40">
        <v>50.237571806920108</v>
      </c>
      <c r="J3221" s="41">
        <v>0.1673247145064784</v>
      </c>
      <c r="K3221" s="9" t="s">
        <v>4496</v>
      </c>
    </row>
    <row r="3222" spans="1:11" x14ac:dyDescent="0.2">
      <c r="A3222" s="9" t="s">
        <v>33</v>
      </c>
      <c r="B3222" s="9" t="s">
        <v>759</v>
      </c>
      <c r="C3222" s="9"/>
      <c r="D3222" s="9" t="s">
        <v>76</v>
      </c>
      <c r="E3222" s="38">
        <v>4530</v>
      </c>
      <c r="F3222" s="39">
        <v>489290.07</v>
      </c>
      <c r="G3222" s="40">
        <v>108.0110529801324</v>
      </c>
      <c r="H3222" s="41">
        <v>-5.1736295493193592E-2</v>
      </c>
      <c r="I3222" s="40">
        <v>16.746799205298011</v>
      </c>
      <c r="J3222" s="41">
        <v>0.1550470877122031</v>
      </c>
      <c r="K3222" s="9" t="s">
        <v>4497</v>
      </c>
    </row>
    <row r="3223" spans="1:11" x14ac:dyDescent="0.2">
      <c r="A3223" s="9" t="s">
        <v>33</v>
      </c>
      <c r="B3223" s="9" t="s">
        <v>4498</v>
      </c>
      <c r="C3223" s="9"/>
      <c r="D3223" s="9" t="s">
        <v>77</v>
      </c>
      <c r="E3223" s="38">
        <v>4000</v>
      </c>
      <c r="F3223" s="39">
        <v>1733014.84</v>
      </c>
      <c r="G3223" s="40">
        <v>433.25371000000001</v>
      </c>
      <c r="H3223" s="41">
        <v>-2.8551261692986041E-2</v>
      </c>
      <c r="I3223" s="40">
        <v>51.634761599999997</v>
      </c>
      <c r="J3223" s="41">
        <v>0.1191790408442204</v>
      </c>
      <c r="K3223" s="9" t="s">
        <v>4499</v>
      </c>
    </row>
    <row r="3224" spans="1:11" x14ac:dyDescent="0.2">
      <c r="A3224" s="9" t="s">
        <v>33</v>
      </c>
      <c r="B3224" s="9" t="s">
        <v>208</v>
      </c>
      <c r="C3224" s="9"/>
      <c r="D3224" s="9" t="s">
        <v>78</v>
      </c>
      <c r="E3224" s="38">
        <v>1057</v>
      </c>
      <c r="F3224" s="39">
        <v>469563.51</v>
      </c>
      <c r="G3224" s="40">
        <v>444.24173131504261</v>
      </c>
      <c r="H3224" s="41">
        <v>-8.8756284357003071E-2</v>
      </c>
      <c r="I3224" s="40">
        <v>23.651844465468301</v>
      </c>
      <c r="J3224" s="41">
        <v>5.3240933478838667E-2</v>
      </c>
      <c r="K3224" s="9" t="s">
        <v>4500</v>
      </c>
    </row>
    <row r="3225" spans="1:11" x14ac:dyDescent="0.2">
      <c r="A3225" s="9" t="s">
        <v>33</v>
      </c>
      <c r="B3225" s="9" t="s">
        <v>4501</v>
      </c>
      <c r="C3225" s="9"/>
      <c r="D3225" s="9" t="s">
        <v>79</v>
      </c>
      <c r="E3225" s="38">
        <v>1000</v>
      </c>
      <c r="F3225" s="39">
        <v>250858</v>
      </c>
      <c r="G3225" s="40">
        <v>250.858</v>
      </c>
      <c r="H3225" s="41">
        <v>5.2039381153305198E-2</v>
      </c>
      <c r="I3225" s="40">
        <v>54.024422400000013</v>
      </c>
      <c r="J3225" s="41">
        <v>0.21535857895701949</v>
      </c>
      <c r="K3225" s="9" t="s">
        <v>4502</v>
      </c>
    </row>
    <row r="3226" spans="1:11" x14ac:dyDescent="0.2">
      <c r="A3226" s="9" t="s">
        <v>33</v>
      </c>
      <c r="B3226" s="9" t="s">
        <v>4503</v>
      </c>
      <c r="C3226" s="9"/>
      <c r="D3226" s="9" t="s">
        <v>83</v>
      </c>
      <c r="E3226" s="38">
        <v>1</v>
      </c>
      <c r="F3226" s="39">
        <v>0</v>
      </c>
      <c r="G3226" s="40"/>
      <c r="H3226" s="41"/>
      <c r="I3226" s="40">
        <v>57849.72</v>
      </c>
      <c r="J3226" s="41"/>
      <c r="K3226" s="9" t="s">
        <v>4504</v>
      </c>
    </row>
    <row r="3227" spans="1:11" x14ac:dyDescent="0.2">
      <c r="A3227" s="9" t="s">
        <v>33</v>
      </c>
      <c r="B3227" s="9" t="s">
        <v>766</v>
      </c>
      <c r="C3227" s="9"/>
      <c r="D3227" s="9" t="s">
        <v>86</v>
      </c>
      <c r="E3227" s="38">
        <v>48587</v>
      </c>
      <c r="F3227" s="39">
        <v>0</v>
      </c>
      <c r="G3227" s="40"/>
      <c r="H3227" s="41"/>
      <c r="I3227" s="40">
        <v>14.959747652664291</v>
      </c>
      <c r="J3227" s="41"/>
      <c r="K3227" s="9" t="s">
        <v>4505</v>
      </c>
    </row>
    <row r="3228" spans="1:11" x14ac:dyDescent="0.2">
      <c r="A3228" s="9" t="s">
        <v>33</v>
      </c>
      <c r="B3228" s="9" t="s">
        <v>888</v>
      </c>
      <c r="C3228" s="9"/>
      <c r="D3228" s="9" t="s">
        <v>86</v>
      </c>
      <c r="E3228" s="38">
        <v>140000</v>
      </c>
      <c r="F3228" s="39">
        <v>0</v>
      </c>
      <c r="G3228" s="40"/>
      <c r="H3228" s="41">
        <v>-1</v>
      </c>
      <c r="I3228" s="40">
        <v>0.71058914571428566</v>
      </c>
      <c r="J3228" s="41"/>
      <c r="K3228" s="9" t="s">
        <v>4506</v>
      </c>
    </row>
    <row r="3229" spans="1:11" x14ac:dyDescent="0.2">
      <c r="A3229" s="9" t="s">
        <v>33</v>
      </c>
      <c r="B3229" s="9" t="s">
        <v>4507</v>
      </c>
      <c r="C3229" s="9"/>
      <c r="D3229" s="9" t="s">
        <v>81</v>
      </c>
      <c r="E3229" s="38">
        <v>3700</v>
      </c>
      <c r="F3229" s="39">
        <v>0</v>
      </c>
      <c r="G3229" s="40"/>
      <c r="H3229" s="41"/>
      <c r="I3229" s="40">
        <v>1.4389190270270269</v>
      </c>
      <c r="J3229" s="41"/>
      <c r="K3229" s="9" t="s">
        <v>4508</v>
      </c>
    </row>
    <row r="3230" spans="1:11" x14ac:dyDescent="0.2">
      <c r="A3230" s="9" t="s">
        <v>33</v>
      </c>
      <c r="B3230" s="9" t="s">
        <v>770</v>
      </c>
      <c r="C3230" s="9"/>
      <c r="D3230" s="9" t="s">
        <v>83</v>
      </c>
      <c r="E3230" s="38">
        <v>1550</v>
      </c>
      <c r="F3230" s="39">
        <v>0</v>
      </c>
      <c r="G3230" s="40"/>
      <c r="H3230" s="41"/>
      <c r="I3230" s="40">
        <v>48.125060129032263</v>
      </c>
      <c r="J3230" s="41"/>
      <c r="K3230" s="9" t="s">
        <v>4509</v>
      </c>
    </row>
    <row r="3231" spans="1:11" x14ac:dyDescent="0.2">
      <c r="A3231" s="9" t="s">
        <v>33</v>
      </c>
      <c r="B3231" s="9" t="s">
        <v>231</v>
      </c>
      <c r="C3231" s="9"/>
      <c r="D3231" s="9" t="s">
        <v>76</v>
      </c>
      <c r="E3231" s="38">
        <v>8800</v>
      </c>
      <c r="F3231" s="39">
        <v>1750570.71</v>
      </c>
      <c r="G3231" s="40">
        <v>198.92848977272729</v>
      </c>
      <c r="H3231" s="41">
        <v>-0.24453176200327051</v>
      </c>
      <c r="I3231" s="40">
        <v>0</v>
      </c>
      <c r="J3231" s="41">
        <v>0</v>
      </c>
      <c r="K3231" s="9" t="s">
        <v>4510</v>
      </c>
    </row>
    <row r="3232" spans="1:11" x14ac:dyDescent="0.2">
      <c r="A3232" s="9" t="s">
        <v>33</v>
      </c>
      <c r="B3232" s="9" t="s">
        <v>4511</v>
      </c>
      <c r="C3232" s="9"/>
      <c r="D3232" s="9" t="s">
        <v>81</v>
      </c>
      <c r="E3232" s="38">
        <v>2183</v>
      </c>
      <c r="F3232" s="39">
        <v>1717444.22</v>
      </c>
      <c r="G3232" s="40">
        <v>786.73578561612464</v>
      </c>
      <c r="H3232" s="41">
        <v>-8.5234565880563246E-2</v>
      </c>
      <c r="I3232" s="40">
        <v>65.541891891891893</v>
      </c>
      <c r="J3232" s="41">
        <v>8.3308644515977345E-2</v>
      </c>
      <c r="K3232" s="9" t="s">
        <v>4512</v>
      </c>
    </row>
    <row r="3233" spans="1:11" x14ac:dyDescent="0.2">
      <c r="A3233" s="9" t="s">
        <v>33</v>
      </c>
      <c r="B3233" s="9" t="s">
        <v>456</v>
      </c>
      <c r="C3233" s="9"/>
      <c r="D3233" s="9" t="s">
        <v>76</v>
      </c>
      <c r="E3233" s="38">
        <v>1233</v>
      </c>
      <c r="F3233" s="39">
        <v>426864.92</v>
      </c>
      <c r="G3233" s="40">
        <v>346.20025952960259</v>
      </c>
      <c r="H3233" s="41">
        <v>-9.6140232362440431E-2</v>
      </c>
      <c r="I3233" s="40">
        <v>37.712895377128952</v>
      </c>
      <c r="J3233" s="41">
        <v>0.10893375824839389</v>
      </c>
      <c r="K3233" s="9" t="s">
        <v>4513</v>
      </c>
    </row>
    <row r="3234" spans="1:11" x14ac:dyDescent="0.2">
      <c r="A3234" s="9" t="s">
        <v>33</v>
      </c>
      <c r="B3234" s="9" t="s">
        <v>4514</v>
      </c>
      <c r="C3234" s="9"/>
      <c r="D3234" s="9" t="s">
        <v>81</v>
      </c>
      <c r="E3234" s="38">
        <v>2513</v>
      </c>
      <c r="F3234" s="39">
        <v>0</v>
      </c>
      <c r="G3234" s="40"/>
      <c r="H3234" s="41"/>
      <c r="I3234" s="40">
        <v>54.611613688818153</v>
      </c>
      <c r="J3234" s="41"/>
      <c r="K3234" s="9" t="s">
        <v>4515</v>
      </c>
    </row>
    <row r="3235" spans="1:11" x14ac:dyDescent="0.2">
      <c r="A3235" s="9" t="s">
        <v>33</v>
      </c>
      <c r="B3235" s="9" t="s">
        <v>243</v>
      </c>
      <c r="C3235" s="9"/>
      <c r="D3235" s="9" t="s">
        <v>82</v>
      </c>
      <c r="E3235" s="38">
        <v>1792</v>
      </c>
      <c r="F3235" s="39">
        <v>868542.19</v>
      </c>
      <c r="G3235" s="40">
        <v>484.67756138392849</v>
      </c>
      <c r="H3235" s="41">
        <v>2.089125601824196E-2</v>
      </c>
      <c r="I3235" s="40">
        <v>35.714285491071429</v>
      </c>
      <c r="J3235" s="41">
        <v>7.368669056824978E-2</v>
      </c>
      <c r="K3235" s="9" t="s">
        <v>4516</v>
      </c>
    </row>
    <row r="3236" spans="1:11" x14ac:dyDescent="0.2">
      <c r="A3236" s="9" t="s">
        <v>33</v>
      </c>
      <c r="B3236" s="9" t="s">
        <v>245</v>
      </c>
      <c r="C3236" s="9"/>
      <c r="D3236" s="9" t="s">
        <v>79</v>
      </c>
      <c r="E3236" s="38">
        <v>1081</v>
      </c>
      <c r="F3236" s="39">
        <v>403505.59</v>
      </c>
      <c r="G3236" s="40">
        <v>373.27066604995377</v>
      </c>
      <c r="H3236" s="41">
        <v>-0.13272017893735669</v>
      </c>
      <c r="I3236" s="40">
        <v>32.377428677150782</v>
      </c>
      <c r="J3236" s="41">
        <v>8.6739815426101027E-2</v>
      </c>
      <c r="K3236" s="9" t="s">
        <v>4517</v>
      </c>
    </row>
    <row r="3237" spans="1:11" x14ac:dyDescent="0.2">
      <c r="A3237" s="9" t="s">
        <v>33</v>
      </c>
      <c r="B3237" s="9" t="s">
        <v>4518</v>
      </c>
      <c r="C3237" s="9"/>
      <c r="D3237" s="9" t="s">
        <v>83</v>
      </c>
      <c r="E3237" s="38">
        <v>9273</v>
      </c>
      <c r="F3237" s="39">
        <v>0</v>
      </c>
      <c r="G3237" s="40"/>
      <c r="H3237" s="41"/>
      <c r="I3237" s="40">
        <v>1.0765124555160139</v>
      </c>
      <c r="J3237" s="41"/>
      <c r="K3237" s="9" t="s">
        <v>4519</v>
      </c>
    </row>
    <row r="3238" spans="1:11" x14ac:dyDescent="0.2">
      <c r="A3238" s="9" t="s">
        <v>33</v>
      </c>
      <c r="B3238" s="9" t="s">
        <v>4520</v>
      </c>
      <c r="C3238" s="9"/>
      <c r="D3238" s="9" t="s">
        <v>81</v>
      </c>
      <c r="E3238" s="38">
        <v>9945</v>
      </c>
      <c r="F3238" s="39">
        <v>0</v>
      </c>
      <c r="G3238" s="40"/>
      <c r="H3238" s="41"/>
      <c r="I3238" s="40">
        <v>0.66918045248868774</v>
      </c>
      <c r="J3238" s="41"/>
      <c r="K3238" s="9" t="s">
        <v>4521</v>
      </c>
    </row>
    <row r="3239" spans="1:11" x14ac:dyDescent="0.2">
      <c r="A3239" s="9" t="s">
        <v>33</v>
      </c>
      <c r="B3239" s="9" t="s">
        <v>247</v>
      </c>
      <c r="C3239" s="9"/>
      <c r="D3239" s="9" t="s">
        <v>76</v>
      </c>
      <c r="E3239" s="38">
        <v>19543</v>
      </c>
      <c r="F3239" s="39">
        <v>4188459.94</v>
      </c>
      <c r="G3239" s="40">
        <v>214.32021388732539</v>
      </c>
      <c r="H3239" s="41">
        <v>-9.7604510086956395E-3</v>
      </c>
      <c r="I3239" s="40">
        <v>0</v>
      </c>
      <c r="J3239" s="41">
        <v>0</v>
      </c>
      <c r="K3239" s="9" t="s">
        <v>4522</v>
      </c>
    </row>
    <row r="3240" spans="1:11" x14ac:dyDescent="0.2">
      <c r="A3240" s="9" t="s">
        <v>33</v>
      </c>
      <c r="B3240" s="9" t="s">
        <v>249</v>
      </c>
      <c r="C3240" s="9"/>
      <c r="D3240" s="9" t="s">
        <v>82</v>
      </c>
      <c r="E3240" s="38">
        <v>3600</v>
      </c>
      <c r="F3240" s="39">
        <v>547232.41</v>
      </c>
      <c r="G3240" s="40">
        <v>152.00900277777779</v>
      </c>
      <c r="H3240" s="41">
        <v>-6.4345335625659694E-2</v>
      </c>
      <c r="I3240" s="40">
        <v>16.02729733333333</v>
      </c>
      <c r="J3240" s="41">
        <v>0.10543650073649689</v>
      </c>
      <c r="K3240" s="9" t="s">
        <v>4523</v>
      </c>
    </row>
    <row r="3241" spans="1:11" x14ac:dyDescent="0.2">
      <c r="A3241" s="9" t="s">
        <v>33</v>
      </c>
      <c r="B3241" s="9" t="s">
        <v>140</v>
      </c>
      <c r="C3241" s="9"/>
      <c r="D3241" s="9" t="s">
        <v>83</v>
      </c>
      <c r="E3241" s="38">
        <v>6983</v>
      </c>
      <c r="F3241" s="39">
        <v>1605842.93</v>
      </c>
      <c r="G3241" s="40">
        <v>229.96461835887149</v>
      </c>
      <c r="H3241" s="41">
        <v>0.1273602822892696</v>
      </c>
      <c r="I3241" s="40">
        <v>0</v>
      </c>
      <c r="J3241" s="41">
        <v>0</v>
      </c>
      <c r="K3241" s="9" t="s">
        <v>4524</v>
      </c>
    </row>
    <row r="3242" spans="1:11" x14ac:dyDescent="0.2">
      <c r="A3242" s="9" t="s">
        <v>33</v>
      </c>
      <c r="B3242" s="9" t="s">
        <v>4525</v>
      </c>
      <c r="C3242" s="9"/>
      <c r="D3242" s="9" t="s">
        <v>80</v>
      </c>
      <c r="E3242" s="38">
        <v>915</v>
      </c>
      <c r="F3242" s="39">
        <v>225898.64</v>
      </c>
      <c r="G3242" s="40">
        <v>246.8837595628415</v>
      </c>
      <c r="H3242" s="41">
        <v>-0.12675925477732269</v>
      </c>
      <c r="I3242" s="40">
        <v>35</v>
      </c>
      <c r="J3242" s="41">
        <v>0.1417671217498255</v>
      </c>
      <c r="K3242" s="9" t="s">
        <v>4526</v>
      </c>
    </row>
    <row r="3243" spans="1:11" x14ac:dyDescent="0.2">
      <c r="A3243" s="9" t="s">
        <v>33</v>
      </c>
      <c r="B3243" s="9" t="s">
        <v>4527</v>
      </c>
      <c r="C3243" s="9"/>
      <c r="D3243" s="9" t="s">
        <v>83</v>
      </c>
      <c r="E3243" s="38">
        <v>48000</v>
      </c>
      <c r="F3243" s="39">
        <v>0</v>
      </c>
      <c r="G3243" s="40"/>
      <c r="H3243" s="41"/>
      <c r="I3243" s="40">
        <v>41.379297650000012</v>
      </c>
      <c r="J3243" s="41"/>
      <c r="K3243" s="9" t="s">
        <v>4528</v>
      </c>
    </row>
    <row r="3244" spans="1:11" x14ac:dyDescent="0.2">
      <c r="A3244" s="9" t="s">
        <v>33</v>
      </c>
      <c r="B3244" s="9" t="s">
        <v>256</v>
      </c>
      <c r="C3244" s="9"/>
      <c r="D3244" s="9" t="s">
        <v>76</v>
      </c>
      <c r="E3244" s="38">
        <v>1692</v>
      </c>
      <c r="F3244" s="39">
        <v>482047.8</v>
      </c>
      <c r="G3244" s="40">
        <v>284.89822695035463</v>
      </c>
      <c r="H3244" s="41">
        <v>-4.5989367657757012E-2</v>
      </c>
      <c r="I3244" s="40">
        <v>52.600473049645387</v>
      </c>
      <c r="J3244" s="41">
        <v>0.18462899405411659</v>
      </c>
      <c r="K3244" s="9" t="s">
        <v>4529</v>
      </c>
    </row>
    <row r="3245" spans="1:11" x14ac:dyDescent="0.2">
      <c r="A3245" s="9" t="s">
        <v>33</v>
      </c>
      <c r="B3245" s="9" t="s">
        <v>3667</v>
      </c>
      <c r="C3245" s="9"/>
      <c r="D3245" s="9" t="s">
        <v>78</v>
      </c>
      <c r="E3245" s="38">
        <v>2705</v>
      </c>
      <c r="F3245" s="39">
        <v>4177974.48</v>
      </c>
      <c r="G3245" s="40">
        <v>1544.537700554529</v>
      </c>
      <c r="H3245" s="41">
        <v>-1.105528095363491E-2</v>
      </c>
      <c r="I3245" s="40">
        <v>70.630000147874298</v>
      </c>
      <c r="J3245" s="41">
        <v>4.5728893585774123E-2</v>
      </c>
      <c r="K3245" s="9" t="s">
        <v>4530</v>
      </c>
    </row>
    <row r="3246" spans="1:11" x14ac:dyDescent="0.2">
      <c r="A3246" s="9" t="s">
        <v>33</v>
      </c>
      <c r="B3246" s="9" t="s">
        <v>479</v>
      </c>
      <c r="C3246" s="9"/>
      <c r="D3246" s="9" t="s">
        <v>77</v>
      </c>
      <c r="E3246" s="38">
        <v>7005</v>
      </c>
      <c r="F3246" s="39">
        <v>4161438.11</v>
      </c>
      <c r="G3246" s="40">
        <v>594.06682512491079</v>
      </c>
      <c r="H3246" s="41">
        <v>4.8654195234727957E-2</v>
      </c>
      <c r="I3246" s="40">
        <v>92.089646081370446</v>
      </c>
      <c r="J3246" s="41">
        <v>0.1550156349195351</v>
      </c>
      <c r="K3246" s="9" t="s">
        <v>4531</v>
      </c>
    </row>
    <row r="3247" spans="1:11" x14ac:dyDescent="0.2">
      <c r="A3247" s="9" t="s">
        <v>33</v>
      </c>
      <c r="B3247" s="9" t="s">
        <v>267</v>
      </c>
      <c r="C3247" s="9"/>
      <c r="D3247" s="9" t="s">
        <v>77</v>
      </c>
      <c r="E3247" s="38">
        <v>2123</v>
      </c>
      <c r="F3247" s="39">
        <v>1253828.6000000001</v>
      </c>
      <c r="G3247" s="40">
        <v>590.59284032030155</v>
      </c>
      <c r="H3247" s="41">
        <v>-7.1394873447858775E-2</v>
      </c>
      <c r="I3247" s="40">
        <v>92.57811323598682</v>
      </c>
      <c r="J3247" s="41">
        <v>0.15675454715261719</v>
      </c>
      <c r="K3247" s="9" t="s">
        <v>4532</v>
      </c>
    </row>
    <row r="3248" spans="1:11" x14ac:dyDescent="0.2">
      <c r="A3248" s="9" t="s">
        <v>33</v>
      </c>
      <c r="B3248" s="9" t="s">
        <v>484</v>
      </c>
      <c r="C3248" s="9"/>
      <c r="D3248" s="9" t="s">
        <v>77</v>
      </c>
      <c r="E3248" s="38">
        <v>1233</v>
      </c>
      <c r="F3248" s="39">
        <v>592127.96</v>
      </c>
      <c r="G3248" s="40">
        <v>480.23354420113537</v>
      </c>
      <c r="H3248" s="41">
        <v>-0.1385602069831762</v>
      </c>
      <c r="I3248" s="40">
        <v>56.179966909975668</v>
      </c>
      <c r="J3248" s="41">
        <v>0.11698467878463301</v>
      </c>
      <c r="K3248" s="9" t="s">
        <v>4533</v>
      </c>
    </row>
    <row r="3249" spans="1:11" x14ac:dyDescent="0.2">
      <c r="A3249" s="9" t="s">
        <v>33</v>
      </c>
      <c r="B3249" s="9" t="s">
        <v>271</v>
      </c>
      <c r="C3249" s="9"/>
      <c r="D3249" s="9" t="s">
        <v>78</v>
      </c>
      <c r="E3249" s="38">
        <v>2500</v>
      </c>
      <c r="F3249" s="39">
        <v>2018220</v>
      </c>
      <c r="G3249" s="40">
        <v>807.28800000000001</v>
      </c>
      <c r="H3249" s="41">
        <v>0.23296821244392149</v>
      </c>
      <c r="I3249" s="40">
        <v>66.860942879999996</v>
      </c>
      <c r="J3249" s="41">
        <v>8.2821673157534859E-2</v>
      </c>
      <c r="K3249" s="9" t="s">
        <v>4534</v>
      </c>
    </row>
    <row r="3250" spans="1:11" x14ac:dyDescent="0.2">
      <c r="A3250" s="9" t="s">
        <v>33</v>
      </c>
      <c r="B3250" s="9" t="s">
        <v>597</v>
      </c>
      <c r="C3250" s="9"/>
      <c r="D3250" s="9" t="s">
        <v>78</v>
      </c>
      <c r="E3250" s="38">
        <v>1970</v>
      </c>
      <c r="F3250" s="39">
        <v>1128066.97</v>
      </c>
      <c r="G3250" s="40">
        <v>572.62282741116746</v>
      </c>
      <c r="H3250" s="41"/>
      <c r="I3250" s="40">
        <v>71.457421522842637</v>
      </c>
      <c r="J3250" s="41">
        <v>0.1247896837188664</v>
      </c>
      <c r="K3250" s="9" t="s">
        <v>4535</v>
      </c>
    </row>
    <row r="3251" spans="1:11" x14ac:dyDescent="0.2">
      <c r="A3251" s="9" t="s">
        <v>33</v>
      </c>
      <c r="B3251" s="9" t="s">
        <v>4536</v>
      </c>
      <c r="C3251" s="9"/>
      <c r="D3251" s="9" t="s">
        <v>80</v>
      </c>
      <c r="E3251" s="38">
        <v>3250</v>
      </c>
      <c r="F3251" s="39">
        <v>0</v>
      </c>
      <c r="G3251" s="40"/>
      <c r="H3251" s="41"/>
      <c r="I3251" s="40">
        <v>1.476923076923077</v>
      </c>
      <c r="J3251" s="41"/>
      <c r="K3251" s="9" t="s">
        <v>4537</v>
      </c>
    </row>
    <row r="3252" spans="1:11" x14ac:dyDescent="0.2">
      <c r="A3252" s="9" t="s">
        <v>33</v>
      </c>
      <c r="B3252" s="9" t="s">
        <v>2204</v>
      </c>
      <c r="C3252" s="9"/>
      <c r="D3252" s="9" t="s">
        <v>80</v>
      </c>
      <c r="E3252" s="38">
        <v>808</v>
      </c>
      <c r="F3252" s="39">
        <v>372484.04</v>
      </c>
      <c r="G3252" s="40">
        <v>460.99509900990103</v>
      </c>
      <c r="H3252" s="41">
        <v>-1.7598958825578411E-3</v>
      </c>
      <c r="I3252" s="40">
        <v>105.2005202970297</v>
      </c>
      <c r="J3252" s="41">
        <v>0.22820312086391681</v>
      </c>
      <c r="K3252" s="9" t="s">
        <v>4538</v>
      </c>
    </row>
    <row r="3253" spans="1:11" x14ac:dyDescent="0.2">
      <c r="A3253" s="9" t="s">
        <v>33</v>
      </c>
      <c r="B3253" s="9" t="s">
        <v>4539</v>
      </c>
      <c r="C3253" s="9"/>
      <c r="D3253" s="9" t="s">
        <v>81</v>
      </c>
      <c r="E3253" s="38">
        <v>7350</v>
      </c>
      <c r="F3253" s="39">
        <v>0</v>
      </c>
      <c r="G3253" s="40"/>
      <c r="H3253" s="41"/>
      <c r="I3253" s="40">
        <v>25.417959183673471</v>
      </c>
      <c r="J3253" s="41"/>
      <c r="K3253" s="9" t="s">
        <v>4540</v>
      </c>
    </row>
    <row r="3254" spans="1:11" x14ac:dyDescent="0.2">
      <c r="A3254" s="9" t="s">
        <v>33</v>
      </c>
      <c r="B3254" s="9" t="s">
        <v>2970</v>
      </c>
      <c r="C3254" s="9"/>
      <c r="D3254" s="9" t="s">
        <v>83</v>
      </c>
      <c r="E3254" s="38">
        <v>2000</v>
      </c>
      <c r="F3254" s="39">
        <v>206869.07</v>
      </c>
      <c r="G3254" s="40">
        <v>103.434535</v>
      </c>
      <c r="H3254" s="41"/>
      <c r="I3254" s="40">
        <v>57.400000200000001</v>
      </c>
      <c r="J3254" s="41">
        <v>0.55494038040582871</v>
      </c>
      <c r="K3254" s="9" t="s">
        <v>4541</v>
      </c>
    </row>
    <row r="3255" spans="1:11" x14ac:dyDescent="0.2">
      <c r="A3255" s="9" t="s">
        <v>33</v>
      </c>
      <c r="B3255" s="9" t="s">
        <v>275</v>
      </c>
      <c r="C3255" s="9"/>
      <c r="D3255" s="9" t="s">
        <v>83</v>
      </c>
      <c r="E3255" s="38">
        <v>3124</v>
      </c>
      <c r="F3255" s="39">
        <v>2170522.85</v>
      </c>
      <c r="G3255" s="40">
        <v>694.78964468629965</v>
      </c>
      <c r="H3255" s="41">
        <v>5.3572457615266807E-2</v>
      </c>
      <c r="I3255" s="40">
        <v>54.417413700384117</v>
      </c>
      <c r="J3255" s="41">
        <v>7.8322142704003311E-2</v>
      </c>
      <c r="K3255" s="9" t="s">
        <v>4542</v>
      </c>
    </row>
    <row r="3256" spans="1:11" x14ac:dyDescent="0.2">
      <c r="A3256" s="9" t="s">
        <v>33</v>
      </c>
      <c r="B3256" s="9" t="s">
        <v>4543</v>
      </c>
      <c r="C3256" s="9"/>
      <c r="D3256" s="9" t="s">
        <v>80</v>
      </c>
      <c r="E3256" s="38">
        <v>228</v>
      </c>
      <c r="F3256" s="39">
        <v>0</v>
      </c>
      <c r="G3256" s="40"/>
      <c r="H3256" s="41"/>
      <c r="I3256" s="40">
        <v>330.87157894736839</v>
      </c>
      <c r="J3256" s="41"/>
      <c r="K3256" s="9" t="s">
        <v>4544</v>
      </c>
    </row>
    <row r="3257" spans="1:11" x14ac:dyDescent="0.2">
      <c r="A3257" s="9" t="s">
        <v>33</v>
      </c>
      <c r="B3257" s="9" t="s">
        <v>277</v>
      </c>
      <c r="C3257" s="9"/>
      <c r="D3257" s="9" t="s">
        <v>76</v>
      </c>
      <c r="E3257" s="38">
        <v>803</v>
      </c>
      <c r="F3257" s="39">
        <v>741628.15</v>
      </c>
      <c r="G3257" s="40">
        <v>923.57179327521794</v>
      </c>
      <c r="H3257" s="41">
        <v>0.13726417661089679</v>
      </c>
      <c r="I3257" s="40">
        <v>33.708593275217943</v>
      </c>
      <c r="J3257" s="41">
        <v>3.6498075754001519E-2</v>
      </c>
      <c r="K3257" s="9" t="s">
        <v>4545</v>
      </c>
    </row>
    <row r="3258" spans="1:11" x14ac:dyDescent="0.2">
      <c r="A3258" s="9" t="s">
        <v>33</v>
      </c>
      <c r="B3258" s="9" t="s">
        <v>3680</v>
      </c>
      <c r="C3258" s="9"/>
      <c r="D3258" s="9" t="s">
        <v>79</v>
      </c>
      <c r="E3258" s="38">
        <v>1214</v>
      </c>
      <c r="F3258" s="39">
        <v>0</v>
      </c>
      <c r="G3258" s="40"/>
      <c r="H3258" s="41"/>
      <c r="I3258" s="40">
        <v>44.392487644151572</v>
      </c>
      <c r="J3258" s="41"/>
      <c r="K3258" s="9" t="s">
        <v>4546</v>
      </c>
    </row>
    <row r="3259" spans="1:11" x14ac:dyDescent="0.2">
      <c r="A3259" s="9" t="s">
        <v>33</v>
      </c>
      <c r="B3259" s="9" t="s">
        <v>4547</v>
      </c>
      <c r="C3259" s="9"/>
      <c r="D3259" s="9" t="s">
        <v>83</v>
      </c>
      <c r="E3259" s="38">
        <v>2645</v>
      </c>
      <c r="F3259" s="39">
        <v>0</v>
      </c>
      <c r="G3259" s="40"/>
      <c r="H3259" s="41"/>
      <c r="I3259" s="40">
        <v>52.491679395085058</v>
      </c>
      <c r="J3259" s="41"/>
      <c r="K3259" s="9" t="s">
        <v>4548</v>
      </c>
    </row>
    <row r="3260" spans="1:11" x14ac:dyDescent="0.2">
      <c r="A3260" s="9" t="s">
        <v>33</v>
      </c>
      <c r="B3260" s="9" t="s">
        <v>4549</v>
      </c>
      <c r="C3260" s="9"/>
      <c r="D3260" s="9" t="s">
        <v>79</v>
      </c>
      <c r="E3260" s="38">
        <v>1216</v>
      </c>
      <c r="F3260" s="39">
        <v>0</v>
      </c>
      <c r="G3260" s="40"/>
      <c r="H3260" s="41">
        <v>-1</v>
      </c>
      <c r="I3260" s="40">
        <v>54.324638486842098</v>
      </c>
      <c r="J3260" s="41"/>
      <c r="K3260" s="9" t="s">
        <v>4550</v>
      </c>
    </row>
    <row r="3261" spans="1:11" x14ac:dyDescent="0.2">
      <c r="A3261" s="9" t="s">
        <v>33</v>
      </c>
      <c r="B3261" s="9" t="s">
        <v>502</v>
      </c>
      <c r="C3261" s="9"/>
      <c r="D3261" s="9" t="s">
        <v>86</v>
      </c>
      <c r="E3261" s="38">
        <v>140000</v>
      </c>
      <c r="F3261" s="39">
        <v>1816666.66</v>
      </c>
      <c r="G3261" s="40">
        <v>12.97619042857143</v>
      </c>
      <c r="H3261" s="41">
        <v>-4.3859652631578872E-2</v>
      </c>
      <c r="I3261" s="40">
        <v>0.64999971428571435</v>
      </c>
      <c r="J3261" s="41">
        <v>5.0091721284740258E-2</v>
      </c>
      <c r="K3261" s="9" t="s">
        <v>4551</v>
      </c>
    </row>
    <row r="3262" spans="1:11" x14ac:dyDescent="0.2">
      <c r="A3262" s="9" t="s">
        <v>33</v>
      </c>
      <c r="B3262" s="9" t="s">
        <v>4552</v>
      </c>
      <c r="C3262" s="9"/>
      <c r="D3262" s="9" t="s">
        <v>81</v>
      </c>
      <c r="E3262" s="38">
        <v>1382</v>
      </c>
      <c r="F3262" s="39">
        <v>0</v>
      </c>
      <c r="G3262" s="40"/>
      <c r="H3262" s="41"/>
      <c r="I3262" s="40">
        <v>58.319999999999993</v>
      </c>
      <c r="J3262" s="41"/>
      <c r="K3262" s="9" t="s">
        <v>4553</v>
      </c>
    </row>
    <row r="3263" spans="1:11" x14ac:dyDescent="0.2">
      <c r="A3263" s="9" t="s">
        <v>33</v>
      </c>
      <c r="B3263" s="9" t="s">
        <v>4554</v>
      </c>
      <c r="C3263" s="9"/>
      <c r="D3263" s="9" t="s">
        <v>80</v>
      </c>
      <c r="E3263" s="38">
        <v>2017</v>
      </c>
      <c r="F3263" s="39">
        <v>0</v>
      </c>
      <c r="G3263" s="40"/>
      <c r="H3263" s="41"/>
      <c r="I3263" s="40">
        <v>32.729999999999997</v>
      </c>
      <c r="J3263" s="41"/>
      <c r="K3263" s="9" t="s">
        <v>4555</v>
      </c>
    </row>
    <row r="3264" spans="1:11" x14ac:dyDescent="0.2">
      <c r="A3264" s="9" t="s">
        <v>33</v>
      </c>
      <c r="B3264" s="9" t="s">
        <v>301</v>
      </c>
      <c r="C3264" s="9"/>
      <c r="D3264" s="9" t="s">
        <v>82</v>
      </c>
      <c r="E3264" s="38">
        <v>5600</v>
      </c>
      <c r="F3264" s="39">
        <v>1311347.17</v>
      </c>
      <c r="G3264" s="40">
        <v>234.16913750000001</v>
      </c>
      <c r="H3264" s="41"/>
      <c r="I3264" s="40">
        <v>16.553571428571431</v>
      </c>
      <c r="J3264" s="41">
        <v>7.069066233619889E-2</v>
      </c>
      <c r="K3264" s="9" t="s">
        <v>4556</v>
      </c>
    </row>
    <row r="3265" spans="1:11" x14ac:dyDescent="0.2">
      <c r="A3265" s="9" t="s">
        <v>33</v>
      </c>
      <c r="B3265" s="9" t="s">
        <v>4557</v>
      </c>
      <c r="C3265" s="9"/>
      <c r="D3265" s="9" t="s">
        <v>81</v>
      </c>
      <c r="E3265" s="38">
        <v>4080</v>
      </c>
      <c r="F3265" s="39">
        <v>1650100.97</v>
      </c>
      <c r="G3265" s="40">
        <v>404.43651225490203</v>
      </c>
      <c r="H3265" s="41">
        <v>-3.4762865147664863E-2</v>
      </c>
      <c r="I3265" s="40">
        <v>55.169142058823518</v>
      </c>
      <c r="J3265" s="41">
        <v>0.13640989472298781</v>
      </c>
      <c r="K3265" s="9" t="s">
        <v>4558</v>
      </c>
    </row>
    <row r="3266" spans="1:11" x14ac:dyDescent="0.2">
      <c r="A3266" s="9" t="s">
        <v>33</v>
      </c>
      <c r="B3266" s="9" t="s">
        <v>4559</v>
      </c>
      <c r="C3266" s="9"/>
      <c r="D3266" s="9" t="s">
        <v>79</v>
      </c>
      <c r="E3266" s="38">
        <v>3000</v>
      </c>
      <c r="F3266" s="39">
        <v>0</v>
      </c>
      <c r="G3266" s="40"/>
      <c r="H3266" s="41"/>
      <c r="I3266" s="40">
        <v>2.0166667999999999</v>
      </c>
      <c r="J3266" s="41"/>
      <c r="K3266" s="9" t="s">
        <v>4560</v>
      </c>
    </row>
    <row r="3267" spans="1:11" x14ac:dyDescent="0.2">
      <c r="A3267" s="9" t="s">
        <v>33</v>
      </c>
      <c r="B3267" s="9" t="s">
        <v>4561</v>
      </c>
      <c r="C3267" s="9"/>
      <c r="D3267" s="9" t="s">
        <v>83</v>
      </c>
      <c r="E3267" s="38">
        <v>1</v>
      </c>
      <c r="F3267" s="39">
        <v>0</v>
      </c>
      <c r="G3267" s="40"/>
      <c r="H3267" s="41"/>
      <c r="I3267" s="40">
        <v>6050.0003999999999</v>
      </c>
      <c r="J3267" s="41"/>
      <c r="K3267" s="9" t="s">
        <v>4562</v>
      </c>
    </row>
    <row r="3268" spans="1:11" x14ac:dyDescent="0.2">
      <c r="A3268" s="9" t="s">
        <v>33</v>
      </c>
      <c r="B3268" s="9" t="s">
        <v>321</v>
      </c>
      <c r="C3268" s="9"/>
      <c r="D3268" s="9" t="s">
        <v>78</v>
      </c>
      <c r="E3268" s="38">
        <v>1598</v>
      </c>
      <c r="F3268" s="39">
        <v>2610070.7799999998</v>
      </c>
      <c r="G3268" s="40">
        <v>1633.33590738423</v>
      </c>
      <c r="H3268" s="41">
        <v>9.6561405627339697E-2</v>
      </c>
      <c r="I3268" s="40">
        <v>74.997665331664578</v>
      </c>
      <c r="J3268" s="41">
        <v>4.591686559549929E-2</v>
      </c>
      <c r="K3268" s="9" t="s">
        <v>4563</v>
      </c>
    </row>
    <row r="3269" spans="1:11" x14ac:dyDescent="0.2">
      <c r="A3269" s="9" t="s">
        <v>33</v>
      </c>
      <c r="B3269" s="9" t="s">
        <v>4564</v>
      </c>
      <c r="C3269" s="9"/>
      <c r="D3269" s="9" t="s">
        <v>83</v>
      </c>
      <c r="E3269" s="38">
        <v>1540</v>
      </c>
      <c r="F3269" s="39">
        <v>0</v>
      </c>
      <c r="G3269" s="40"/>
      <c r="H3269" s="41"/>
      <c r="I3269" s="40">
        <v>37.095986493506487</v>
      </c>
      <c r="J3269" s="41"/>
      <c r="K3269" s="9" t="s">
        <v>4565</v>
      </c>
    </row>
    <row r="3270" spans="1:11" x14ac:dyDescent="0.2">
      <c r="A3270" s="9" t="s">
        <v>33</v>
      </c>
      <c r="B3270" s="9" t="s">
        <v>4566</v>
      </c>
      <c r="C3270" s="9"/>
      <c r="D3270" s="9" t="s">
        <v>83</v>
      </c>
      <c r="E3270" s="38">
        <v>1476</v>
      </c>
      <c r="F3270" s="39">
        <v>0</v>
      </c>
      <c r="G3270" s="40"/>
      <c r="H3270" s="41"/>
      <c r="I3270" s="40">
        <v>28.716333333333331</v>
      </c>
      <c r="J3270" s="41"/>
      <c r="K3270" s="9" t="s">
        <v>4567</v>
      </c>
    </row>
    <row r="3271" spans="1:11" x14ac:dyDescent="0.2">
      <c r="A3271" s="9" t="s">
        <v>33</v>
      </c>
      <c r="B3271" s="9" t="s">
        <v>4568</v>
      </c>
      <c r="C3271" s="9"/>
      <c r="D3271" s="9" t="s">
        <v>79</v>
      </c>
      <c r="E3271" s="38">
        <v>1415</v>
      </c>
      <c r="F3271" s="39">
        <v>266937.61</v>
      </c>
      <c r="G3271" s="40">
        <v>188.64848763250879</v>
      </c>
      <c r="H3271" s="41">
        <v>1.0847972662383311E-2</v>
      </c>
      <c r="I3271" s="40">
        <v>60.045717879858657</v>
      </c>
      <c r="J3271" s="41">
        <v>0.31829419166523593</v>
      </c>
      <c r="K3271" s="9" t="s">
        <v>4569</v>
      </c>
    </row>
    <row r="3272" spans="1:11" x14ac:dyDescent="0.2">
      <c r="A3272" s="9" t="s">
        <v>33</v>
      </c>
      <c r="B3272" s="9" t="s">
        <v>4570</v>
      </c>
      <c r="C3272" s="9"/>
      <c r="D3272" s="9" t="s">
        <v>83</v>
      </c>
      <c r="E3272" s="38">
        <v>1</v>
      </c>
      <c r="F3272" s="39">
        <v>0</v>
      </c>
      <c r="G3272" s="40"/>
      <c r="H3272" s="41"/>
      <c r="I3272" s="40">
        <v>5499.9996000000001</v>
      </c>
      <c r="J3272" s="41"/>
      <c r="K3272" s="9" t="s">
        <v>4571</v>
      </c>
    </row>
    <row r="3273" spans="1:11" x14ac:dyDescent="0.2">
      <c r="A3273" s="9" t="s">
        <v>33</v>
      </c>
      <c r="B3273" s="9" t="s">
        <v>4572</v>
      </c>
      <c r="C3273" s="9"/>
      <c r="D3273" s="9" t="s">
        <v>81</v>
      </c>
      <c r="E3273" s="38">
        <v>3150</v>
      </c>
      <c r="F3273" s="39">
        <v>828075.86</v>
      </c>
      <c r="G3273" s="40">
        <v>262.88122539682541</v>
      </c>
      <c r="H3273" s="41">
        <v>-0.21202768496392899</v>
      </c>
      <c r="I3273" s="40">
        <v>51.438791238095241</v>
      </c>
      <c r="J3273" s="41">
        <v>0.19567312637274559</v>
      </c>
      <c r="K3273" s="9" t="s">
        <v>4573</v>
      </c>
    </row>
    <row r="3274" spans="1:11" x14ac:dyDescent="0.2">
      <c r="A3274" s="9" t="s">
        <v>33</v>
      </c>
      <c r="B3274" s="9" t="s">
        <v>331</v>
      </c>
      <c r="C3274" s="9"/>
      <c r="D3274" s="9" t="s">
        <v>81</v>
      </c>
      <c r="E3274" s="38">
        <v>2500</v>
      </c>
      <c r="F3274" s="39">
        <v>0</v>
      </c>
      <c r="G3274" s="40"/>
      <c r="H3274" s="41"/>
      <c r="I3274" s="40">
        <v>2.1296001599999999</v>
      </c>
      <c r="J3274" s="41"/>
      <c r="K3274" s="9" t="s">
        <v>4574</v>
      </c>
    </row>
    <row r="3275" spans="1:11" x14ac:dyDescent="0.2">
      <c r="A3275" s="9" t="s">
        <v>33</v>
      </c>
      <c r="B3275" s="9" t="s">
        <v>941</v>
      </c>
      <c r="C3275" s="9"/>
      <c r="D3275" s="9" t="s">
        <v>80</v>
      </c>
      <c r="E3275" s="38">
        <v>1200</v>
      </c>
      <c r="F3275" s="39">
        <v>0</v>
      </c>
      <c r="G3275" s="40"/>
      <c r="H3275" s="41">
        <v>-1</v>
      </c>
      <c r="I3275" s="40">
        <v>55.713420000000013</v>
      </c>
      <c r="J3275" s="41"/>
      <c r="K3275" s="9" t="s">
        <v>4575</v>
      </c>
    </row>
    <row r="3276" spans="1:11" x14ac:dyDescent="0.2">
      <c r="A3276" s="9" t="s">
        <v>33</v>
      </c>
      <c r="B3276" s="9" t="s">
        <v>520</v>
      </c>
      <c r="C3276" s="9"/>
      <c r="D3276" s="9" t="s">
        <v>77</v>
      </c>
      <c r="E3276" s="38">
        <v>6405</v>
      </c>
      <c r="F3276" s="39">
        <v>1049467.45</v>
      </c>
      <c r="G3276" s="40">
        <v>163.8512802498048</v>
      </c>
      <c r="H3276" s="41">
        <v>-8.8735675653575541E-2</v>
      </c>
      <c r="I3276" s="40">
        <v>14.051522248243559</v>
      </c>
      <c r="J3276" s="41">
        <v>8.5757781244192005E-2</v>
      </c>
      <c r="K3276" s="9" t="s">
        <v>4576</v>
      </c>
    </row>
    <row r="3277" spans="1:11" x14ac:dyDescent="0.2">
      <c r="A3277" s="9" t="s">
        <v>33</v>
      </c>
      <c r="B3277" s="9" t="s">
        <v>4577</v>
      </c>
      <c r="C3277" s="9"/>
      <c r="D3277" s="9" t="s">
        <v>83</v>
      </c>
      <c r="E3277" s="38">
        <v>1</v>
      </c>
      <c r="F3277" s="39">
        <v>0</v>
      </c>
      <c r="G3277" s="40"/>
      <c r="H3277" s="41"/>
      <c r="I3277" s="40">
        <v>24070.560000000001</v>
      </c>
      <c r="J3277" s="41"/>
      <c r="K3277" s="9" t="s">
        <v>4578</v>
      </c>
    </row>
    <row r="3278" spans="1:11" x14ac:dyDescent="0.2">
      <c r="A3278" s="9" t="s">
        <v>33</v>
      </c>
      <c r="B3278" s="9" t="s">
        <v>4579</v>
      </c>
      <c r="C3278" s="9"/>
      <c r="D3278" s="9" t="s">
        <v>83</v>
      </c>
      <c r="E3278" s="38">
        <v>8000</v>
      </c>
      <c r="F3278" s="39">
        <v>0</v>
      </c>
      <c r="G3278" s="40"/>
      <c r="H3278" s="41"/>
      <c r="I3278" s="40">
        <v>0.59895000000000009</v>
      </c>
      <c r="J3278" s="41"/>
      <c r="K3278" s="9" t="s">
        <v>4580</v>
      </c>
    </row>
    <row r="3279" spans="1:11" x14ac:dyDescent="0.2">
      <c r="A3279" s="9" t="s">
        <v>33</v>
      </c>
      <c r="B3279" s="9" t="s">
        <v>4581</v>
      </c>
      <c r="C3279" s="9"/>
      <c r="D3279" s="9" t="s">
        <v>81</v>
      </c>
      <c r="E3279" s="38">
        <v>2808</v>
      </c>
      <c r="F3279" s="39">
        <v>1519578.17</v>
      </c>
      <c r="G3279" s="40">
        <v>541.16031695156687</v>
      </c>
      <c r="H3279" s="41">
        <v>-3.7646728420903407E-2</v>
      </c>
      <c r="I3279" s="40">
        <v>47.664067094017092</v>
      </c>
      <c r="J3279" s="41">
        <v>8.8077535622928832E-2</v>
      </c>
      <c r="K3279" s="9" t="s">
        <v>4582</v>
      </c>
    </row>
    <row r="3280" spans="1:11" x14ac:dyDescent="0.2">
      <c r="A3280" s="9" t="s">
        <v>33</v>
      </c>
      <c r="B3280" s="9" t="s">
        <v>4583</v>
      </c>
      <c r="C3280" s="9"/>
      <c r="D3280" s="9" t="s">
        <v>83</v>
      </c>
      <c r="E3280" s="38">
        <v>7204</v>
      </c>
      <c r="F3280" s="39">
        <v>0</v>
      </c>
      <c r="G3280" s="40"/>
      <c r="H3280" s="41"/>
      <c r="I3280" s="40">
        <v>32.219006052193222</v>
      </c>
      <c r="J3280" s="41"/>
      <c r="K3280" s="9" t="s">
        <v>4584</v>
      </c>
    </row>
    <row r="3281" spans="1:11" x14ac:dyDescent="0.2">
      <c r="A3281" s="9" t="s">
        <v>33</v>
      </c>
      <c r="B3281" s="9" t="s">
        <v>4585</v>
      </c>
      <c r="C3281" s="9"/>
      <c r="D3281" s="9" t="s">
        <v>79</v>
      </c>
      <c r="E3281" s="38">
        <v>1219</v>
      </c>
      <c r="F3281" s="39">
        <v>73984.47</v>
      </c>
      <c r="G3281" s="40">
        <v>60.69275635767022</v>
      </c>
      <c r="H3281" s="41">
        <v>1.4302946880955651E-2</v>
      </c>
      <c r="I3281" s="40">
        <v>47.259999671862182</v>
      </c>
      <c r="J3281" s="41">
        <v>0.7786761140547469</v>
      </c>
      <c r="K3281" s="9" t="s">
        <v>4586</v>
      </c>
    </row>
    <row r="3282" spans="1:11" x14ac:dyDescent="0.2">
      <c r="A3282" s="9" t="s">
        <v>33</v>
      </c>
      <c r="B3282" s="9" t="s">
        <v>727</v>
      </c>
      <c r="C3282" s="9"/>
      <c r="D3282" s="9" t="s">
        <v>77</v>
      </c>
      <c r="E3282" s="38">
        <v>4682</v>
      </c>
      <c r="F3282" s="39">
        <v>3071940</v>
      </c>
      <c r="G3282" s="40">
        <v>656.11704399829136</v>
      </c>
      <c r="H3282" s="41">
        <v>0.24760751149620569</v>
      </c>
      <c r="I3282" s="40">
        <v>84.379273814609149</v>
      </c>
      <c r="J3282" s="41">
        <v>0.12860399617180021</v>
      </c>
      <c r="K3282" s="9" t="s">
        <v>4587</v>
      </c>
    </row>
    <row r="3283" spans="1:11" x14ac:dyDescent="0.2">
      <c r="A3283" s="9" t="s">
        <v>33</v>
      </c>
      <c r="B3283" s="9" t="s">
        <v>4588</v>
      </c>
      <c r="C3283" s="9"/>
      <c r="D3283" s="9" t="s">
        <v>81</v>
      </c>
      <c r="E3283" s="38">
        <v>4000</v>
      </c>
      <c r="F3283" s="39">
        <v>857623.66</v>
      </c>
      <c r="G3283" s="40">
        <v>214.40591499999999</v>
      </c>
      <c r="H3283" s="41"/>
      <c r="I3283" s="40">
        <v>46.1073624</v>
      </c>
      <c r="J3283" s="41">
        <v>0.21504706341707039</v>
      </c>
      <c r="K3283" s="9" t="s">
        <v>4589</v>
      </c>
    </row>
    <row r="3284" spans="1:11" x14ac:dyDescent="0.2">
      <c r="A3284" s="9" t="s">
        <v>33</v>
      </c>
      <c r="B3284" s="9" t="s">
        <v>4590</v>
      </c>
      <c r="C3284" s="9"/>
      <c r="D3284" s="9" t="s">
        <v>80</v>
      </c>
      <c r="E3284" s="38">
        <v>895</v>
      </c>
      <c r="F3284" s="39">
        <v>140372.63</v>
      </c>
      <c r="G3284" s="40">
        <v>156.84092737430171</v>
      </c>
      <c r="H3284" s="41">
        <v>-9.5260869187226163E-2</v>
      </c>
      <c r="I3284" s="40">
        <v>57.359407374301682</v>
      </c>
      <c r="J3284" s="41">
        <v>0.36571708886554311</v>
      </c>
      <c r="K3284" s="9" t="s">
        <v>4591</v>
      </c>
    </row>
    <row r="3285" spans="1:11" x14ac:dyDescent="0.2">
      <c r="A3285" s="9" t="s">
        <v>33</v>
      </c>
      <c r="B3285" s="9" t="s">
        <v>4592</v>
      </c>
      <c r="C3285" s="9"/>
      <c r="D3285" s="9" t="s">
        <v>76</v>
      </c>
      <c r="E3285" s="38">
        <v>2491</v>
      </c>
      <c r="F3285" s="39">
        <v>0</v>
      </c>
      <c r="G3285" s="40"/>
      <c r="H3285" s="41"/>
      <c r="I3285" s="40">
        <v>28.904054596547571</v>
      </c>
      <c r="J3285" s="41"/>
      <c r="K3285" s="9" t="s">
        <v>4593</v>
      </c>
    </row>
    <row r="3286" spans="1:11" x14ac:dyDescent="0.2">
      <c r="A3286" s="9" t="s">
        <v>33</v>
      </c>
      <c r="B3286" s="9" t="s">
        <v>355</v>
      </c>
      <c r="C3286" s="9"/>
      <c r="D3286" s="9" t="s">
        <v>82</v>
      </c>
      <c r="E3286" s="38">
        <v>2572</v>
      </c>
      <c r="F3286" s="39">
        <v>601698.07999999996</v>
      </c>
      <c r="G3286" s="40">
        <v>233.9417107309487</v>
      </c>
      <c r="H3286" s="41">
        <v>-9.6156445447912658E-2</v>
      </c>
      <c r="I3286" s="40">
        <v>20.606532037325039</v>
      </c>
      <c r="J3286" s="41">
        <v>8.808404440978107E-2</v>
      </c>
      <c r="K3286" s="9" t="s">
        <v>4594</v>
      </c>
    </row>
    <row r="3287" spans="1:11" x14ac:dyDescent="0.2">
      <c r="A3287" s="9" t="s">
        <v>33</v>
      </c>
      <c r="B3287" s="9" t="s">
        <v>4595</v>
      </c>
      <c r="C3287" s="9"/>
      <c r="D3287" s="9" t="s">
        <v>82</v>
      </c>
      <c r="E3287" s="38">
        <v>4018</v>
      </c>
      <c r="F3287" s="39">
        <v>1667842.06</v>
      </c>
      <c r="G3287" s="40">
        <v>415.09259830761567</v>
      </c>
      <c r="H3287" s="41">
        <v>-0.71712879507210403</v>
      </c>
      <c r="I3287" s="40">
        <v>30</v>
      </c>
      <c r="J3287" s="41">
        <v>7.227303045709256E-2</v>
      </c>
      <c r="K3287" s="9" t="s">
        <v>4596</v>
      </c>
    </row>
    <row r="3288" spans="1:11" x14ac:dyDescent="0.2">
      <c r="A3288" s="9" t="s">
        <v>33</v>
      </c>
      <c r="B3288" s="9" t="s">
        <v>4597</v>
      </c>
      <c r="C3288" s="9"/>
      <c r="D3288" s="9" t="s">
        <v>81</v>
      </c>
      <c r="E3288" s="38">
        <v>3500</v>
      </c>
      <c r="F3288" s="39">
        <v>0</v>
      </c>
      <c r="G3288" s="40"/>
      <c r="H3288" s="41"/>
      <c r="I3288" s="40">
        <v>1.7285715428571431</v>
      </c>
      <c r="J3288" s="41"/>
      <c r="K3288" s="9" t="s">
        <v>4598</v>
      </c>
    </row>
    <row r="3289" spans="1:11" x14ac:dyDescent="0.2">
      <c r="A3289" s="9" t="s">
        <v>33</v>
      </c>
      <c r="B3289" s="9" t="s">
        <v>357</v>
      </c>
      <c r="C3289" s="9"/>
      <c r="D3289" s="9" t="s">
        <v>76</v>
      </c>
      <c r="E3289" s="38">
        <v>741</v>
      </c>
      <c r="F3289" s="39">
        <v>444806.67</v>
      </c>
      <c r="G3289" s="40">
        <v>600.27890688259106</v>
      </c>
      <c r="H3289" s="41">
        <v>-2.6006672502064631E-2</v>
      </c>
      <c r="I3289" s="40">
        <v>59.37921781376518</v>
      </c>
      <c r="J3289" s="41">
        <v>9.8919380862701536E-2</v>
      </c>
      <c r="K3289" s="9" t="s">
        <v>4599</v>
      </c>
    </row>
    <row r="3290" spans="1:11" x14ac:dyDescent="0.2">
      <c r="A3290" s="9" t="s">
        <v>33</v>
      </c>
      <c r="B3290" s="9" t="s">
        <v>550</v>
      </c>
      <c r="C3290" s="9"/>
      <c r="D3290" s="9" t="s">
        <v>76</v>
      </c>
      <c r="E3290" s="38">
        <v>5400</v>
      </c>
      <c r="F3290" s="39">
        <v>1142522.1100000001</v>
      </c>
      <c r="G3290" s="40">
        <v>211.57816851851851</v>
      </c>
      <c r="H3290" s="41">
        <v>-8.8346462618411462E-2</v>
      </c>
      <c r="I3290" s="40">
        <v>30.925926</v>
      </c>
      <c r="J3290" s="41">
        <v>0.14616785000335791</v>
      </c>
      <c r="K3290" s="9" t="s">
        <v>4600</v>
      </c>
    </row>
    <row r="3291" spans="1:11" x14ac:dyDescent="0.2">
      <c r="A3291" s="9" t="s">
        <v>33</v>
      </c>
      <c r="B3291" s="9" t="s">
        <v>4601</v>
      </c>
      <c r="C3291" s="9"/>
      <c r="D3291" s="9" t="s">
        <v>79</v>
      </c>
      <c r="E3291" s="38">
        <v>3600</v>
      </c>
      <c r="F3291" s="39">
        <v>0</v>
      </c>
      <c r="G3291" s="40"/>
      <c r="H3291" s="41"/>
      <c r="I3291" s="40">
        <v>1.680555666666667</v>
      </c>
      <c r="J3291" s="41"/>
      <c r="K3291" s="9" t="s">
        <v>4602</v>
      </c>
    </row>
    <row r="3292" spans="1:11" x14ac:dyDescent="0.2">
      <c r="A3292" s="9" t="s">
        <v>33</v>
      </c>
      <c r="B3292" s="9" t="s">
        <v>4603</v>
      </c>
      <c r="C3292" s="9"/>
      <c r="D3292" s="9" t="s">
        <v>80</v>
      </c>
      <c r="E3292" s="38">
        <v>1741</v>
      </c>
      <c r="F3292" s="39">
        <v>0</v>
      </c>
      <c r="G3292" s="40"/>
      <c r="H3292" s="41"/>
      <c r="I3292" s="40">
        <v>44.014704192992539</v>
      </c>
      <c r="J3292" s="41"/>
      <c r="K3292" s="9" t="s">
        <v>4604</v>
      </c>
    </row>
    <row r="3293" spans="1:11" x14ac:dyDescent="0.2">
      <c r="A3293" s="9" t="s">
        <v>33</v>
      </c>
      <c r="B3293" s="9" t="s">
        <v>371</v>
      </c>
      <c r="C3293" s="9"/>
      <c r="D3293" s="9" t="s">
        <v>76</v>
      </c>
      <c r="E3293" s="38">
        <v>2840</v>
      </c>
      <c r="F3293" s="39">
        <v>437995.86</v>
      </c>
      <c r="G3293" s="40">
        <v>154.22389436619719</v>
      </c>
      <c r="H3293" s="41">
        <v>-0.14038096512134091</v>
      </c>
      <c r="I3293" s="40">
        <v>12.323943802816901</v>
      </c>
      <c r="J3293" s="41">
        <v>7.9909432020658824E-2</v>
      </c>
      <c r="K3293" s="9" t="s">
        <v>4605</v>
      </c>
    </row>
    <row r="3294" spans="1:11" x14ac:dyDescent="0.2">
      <c r="A3294" s="9" t="s">
        <v>33</v>
      </c>
      <c r="B3294" s="9" t="s">
        <v>1719</v>
      </c>
      <c r="C3294" s="9"/>
      <c r="D3294" s="9" t="s">
        <v>83</v>
      </c>
      <c r="E3294" s="38">
        <v>1</v>
      </c>
      <c r="F3294" s="39">
        <v>0</v>
      </c>
      <c r="G3294" s="40"/>
      <c r="H3294" s="41"/>
      <c r="I3294" s="40">
        <v>4400.0003999999999</v>
      </c>
      <c r="J3294" s="41"/>
      <c r="K3294" s="9" t="s">
        <v>4606</v>
      </c>
    </row>
    <row r="3295" spans="1:11" x14ac:dyDescent="0.2">
      <c r="A3295" s="9" t="s">
        <v>33</v>
      </c>
      <c r="B3295" s="9" t="s">
        <v>4607</v>
      </c>
      <c r="C3295" s="9"/>
      <c r="D3295" s="9" t="s">
        <v>83</v>
      </c>
      <c r="E3295" s="38">
        <v>1</v>
      </c>
      <c r="F3295" s="39">
        <v>0</v>
      </c>
      <c r="G3295" s="40"/>
      <c r="H3295" s="41"/>
      <c r="I3295" s="40">
        <v>5499.9996000000001</v>
      </c>
      <c r="J3295" s="41"/>
      <c r="K3295" s="9" t="s">
        <v>4608</v>
      </c>
    </row>
    <row r="3296" spans="1:11" x14ac:dyDescent="0.2">
      <c r="A3296" s="9" t="s">
        <v>33</v>
      </c>
      <c r="B3296" s="9" t="s">
        <v>4609</v>
      </c>
      <c r="C3296" s="9"/>
      <c r="D3296" s="9" t="s">
        <v>84</v>
      </c>
      <c r="E3296" s="38">
        <v>898</v>
      </c>
      <c r="F3296" s="39">
        <v>0</v>
      </c>
      <c r="G3296" s="40"/>
      <c r="H3296" s="41"/>
      <c r="I3296" s="40">
        <v>58.399802672605787</v>
      </c>
      <c r="J3296" s="41"/>
      <c r="K3296" s="9" t="s">
        <v>4610</v>
      </c>
    </row>
    <row r="3297" spans="1:11" x14ac:dyDescent="0.2">
      <c r="A3297" s="9" t="s">
        <v>33</v>
      </c>
      <c r="B3297" s="9" t="s">
        <v>4611</v>
      </c>
      <c r="C3297" s="9"/>
      <c r="D3297" s="9" t="s">
        <v>80</v>
      </c>
      <c r="E3297" s="38">
        <v>500</v>
      </c>
      <c r="F3297" s="39">
        <v>527862</v>
      </c>
      <c r="G3297" s="40">
        <v>1055.7239999999999</v>
      </c>
      <c r="H3297" s="41">
        <v>-2.777489762935673E-2</v>
      </c>
      <c r="I3297" s="40">
        <v>131.1338184</v>
      </c>
      <c r="J3297" s="41">
        <v>0.12421221682939861</v>
      </c>
      <c r="K3297" s="9" t="s">
        <v>4612</v>
      </c>
    </row>
    <row r="3298" spans="1:11" x14ac:dyDescent="0.2">
      <c r="A3298" s="9" t="s">
        <v>33</v>
      </c>
      <c r="B3298" s="9" t="s">
        <v>384</v>
      </c>
      <c r="C3298" s="9"/>
      <c r="D3298" s="9" t="s">
        <v>77</v>
      </c>
      <c r="E3298" s="38">
        <v>2525</v>
      </c>
      <c r="F3298" s="39">
        <v>512027.67</v>
      </c>
      <c r="G3298" s="40">
        <v>202.78323564356441</v>
      </c>
      <c r="H3298" s="41">
        <v>-0.21337482467887139</v>
      </c>
      <c r="I3298" s="40">
        <v>0</v>
      </c>
      <c r="J3298" s="41">
        <v>0</v>
      </c>
      <c r="K3298" s="9" t="s">
        <v>4613</v>
      </c>
    </row>
    <row r="3299" spans="1:11" x14ac:dyDescent="0.2">
      <c r="A3299" s="9" t="s">
        <v>33</v>
      </c>
      <c r="B3299" s="9" t="s">
        <v>1560</v>
      </c>
      <c r="C3299" s="9"/>
      <c r="D3299" s="9" t="s">
        <v>76</v>
      </c>
      <c r="E3299" s="38">
        <v>6017</v>
      </c>
      <c r="F3299" s="39">
        <v>565512</v>
      </c>
      <c r="G3299" s="40">
        <v>93.985707163038057</v>
      </c>
      <c r="H3299" s="41">
        <v>-0.1174860751242268</v>
      </c>
      <c r="I3299" s="40">
        <v>13.295662356656139</v>
      </c>
      <c r="J3299" s="41">
        <v>0.14146472647795269</v>
      </c>
      <c r="K3299" s="9" t="s">
        <v>4614</v>
      </c>
    </row>
    <row r="3300" spans="1:11" x14ac:dyDescent="0.2">
      <c r="A3300" s="9" t="s">
        <v>33</v>
      </c>
      <c r="B3300" s="9" t="s">
        <v>388</v>
      </c>
      <c r="C3300" s="9"/>
      <c r="D3300" s="9" t="s">
        <v>76</v>
      </c>
      <c r="E3300" s="38">
        <v>9246</v>
      </c>
      <c r="F3300" s="39">
        <v>3463264.59</v>
      </c>
      <c r="G3300" s="40">
        <v>374.56895846852689</v>
      </c>
      <c r="H3300" s="41">
        <v>-2.9904618002312588E-4</v>
      </c>
      <c r="I3300" s="40">
        <v>51.647730175210903</v>
      </c>
      <c r="J3300" s="41">
        <v>0.13788577245263259</v>
      </c>
      <c r="K3300" s="9" t="s">
        <v>4615</v>
      </c>
    </row>
    <row r="3301" spans="1:11" x14ac:dyDescent="0.2">
      <c r="A3301" s="9" t="s">
        <v>33</v>
      </c>
      <c r="B3301" s="9" t="s">
        <v>1564</v>
      </c>
      <c r="C3301" s="9"/>
      <c r="D3301" s="9" t="s">
        <v>83</v>
      </c>
      <c r="E3301" s="38">
        <v>1</v>
      </c>
      <c r="F3301" s="39">
        <v>0</v>
      </c>
      <c r="G3301" s="40"/>
      <c r="H3301" s="41"/>
      <c r="I3301" s="40">
        <v>58419.12</v>
      </c>
      <c r="J3301" s="41"/>
      <c r="K3301" s="9" t="s">
        <v>4616</v>
      </c>
    </row>
    <row r="3302" spans="1:11" x14ac:dyDescent="0.2">
      <c r="A3302" s="9" t="s">
        <v>33</v>
      </c>
      <c r="B3302" s="9" t="s">
        <v>392</v>
      </c>
      <c r="C3302" s="9"/>
      <c r="D3302" s="9" t="s">
        <v>76</v>
      </c>
      <c r="E3302" s="38">
        <v>5818</v>
      </c>
      <c r="F3302" s="39">
        <v>1347129.01</v>
      </c>
      <c r="G3302" s="40">
        <v>231.5450343760742</v>
      </c>
      <c r="H3302" s="41">
        <v>5.5234413634325963E-2</v>
      </c>
      <c r="I3302" s="40">
        <v>20.660015537985561</v>
      </c>
      <c r="J3302" s="41">
        <v>8.9226770047807102E-2</v>
      </c>
      <c r="K3302" s="9" t="s">
        <v>4617</v>
      </c>
    </row>
    <row r="3303" spans="1:11" x14ac:dyDescent="0.2">
      <c r="A3303" s="9" t="s">
        <v>33</v>
      </c>
      <c r="B3303" s="9" t="s">
        <v>396</v>
      </c>
      <c r="C3303" s="9"/>
      <c r="D3303" s="9" t="s">
        <v>78</v>
      </c>
      <c r="E3303" s="38">
        <v>1953</v>
      </c>
      <c r="F3303" s="39">
        <v>1421591.35</v>
      </c>
      <c r="G3303" s="40">
        <v>727.90135688684086</v>
      </c>
      <c r="H3303" s="41">
        <v>-0.26171424098412871</v>
      </c>
      <c r="I3303" s="40">
        <v>68.437840860215061</v>
      </c>
      <c r="J3303" s="41">
        <v>9.4020762858468443E-2</v>
      </c>
      <c r="K3303" s="9" t="s">
        <v>4618</v>
      </c>
    </row>
    <row r="3304" spans="1:11" x14ac:dyDescent="0.2">
      <c r="A3304" s="9" t="s">
        <v>33</v>
      </c>
      <c r="B3304" s="9" t="s">
        <v>4619</v>
      </c>
      <c r="C3304" s="9"/>
      <c r="D3304" s="9" t="s">
        <v>81</v>
      </c>
      <c r="E3304" s="38">
        <v>6000</v>
      </c>
      <c r="F3304" s="39">
        <v>0</v>
      </c>
      <c r="G3304" s="40"/>
      <c r="H3304" s="41"/>
      <c r="I3304" s="40">
        <v>0.55000000000000004</v>
      </c>
      <c r="J3304" s="41"/>
      <c r="K3304" s="9" t="s">
        <v>4620</v>
      </c>
    </row>
    <row r="3305" spans="1:11" x14ac:dyDescent="0.2">
      <c r="A3305" s="9" t="s">
        <v>33</v>
      </c>
      <c r="B3305" s="9" t="s">
        <v>398</v>
      </c>
      <c r="C3305" s="9"/>
      <c r="D3305" s="9" t="s">
        <v>76</v>
      </c>
      <c r="E3305" s="38">
        <v>2774</v>
      </c>
      <c r="F3305" s="39">
        <v>769858.09000000008</v>
      </c>
      <c r="G3305" s="40">
        <v>277.52634823359767</v>
      </c>
      <c r="H3305" s="41">
        <v>0.2117144508443613</v>
      </c>
      <c r="I3305" s="40">
        <v>27.397260129776491</v>
      </c>
      <c r="J3305" s="41">
        <v>9.8719492055996949E-2</v>
      </c>
      <c r="K3305" s="9" t="s">
        <v>4621</v>
      </c>
    </row>
    <row r="3306" spans="1:11" x14ac:dyDescent="0.2">
      <c r="A3306" s="9" t="s">
        <v>46</v>
      </c>
      <c r="B3306" s="9" t="s">
        <v>650</v>
      </c>
      <c r="C3306" s="9"/>
      <c r="D3306" s="9" t="s">
        <v>76</v>
      </c>
      <c r="E3306" s="38">
        <v>4893</v>
      </c>
      <c r="F3306" s="39">
        <v>2549520</v>
      </c>
      <c r="G3306" s="40">
        <v>521.05456774984668</v>
      </c>
      <c r="H3306" s="41">
        <v>0.30675399960904332</v>
      </c>
      <c r="I3306" s="40">
        <v>58.898835070508888</v>
      </c>
      <c r="J3306" s="41">
        <v>0.1130377482820296</v>
      </c>
      <c r="K3306" s="9" t="s">
        <v>4622</v>
      </c>
    </row>
    <row r="3307" spans="1:11" x14ac:dyDescent="0.2">
      <c r="A3307" s="9" t="s">
        <v>46</v>
      </c>
      <c r="B3307" s="9" t="s">
        <v>164</v>
      </c>
      <c r="C3307" s="9"/>
      <c r="D3307" s="9" t="s">
        <v>76</v>
      </c>
      <c r="E3307" s="38">
        <v>2800</v>
      </c>
      <c r="F3307" s="39">
        <v>1707048</v>
      </c>
      <c r="G3307" s="40">
        <v>609.66</v>
      </c>
      <c r="H3307" s="41">
        <v>-0.13220990750020339</v>
      </c>
      <c r="I3307" s="40">
        <v>48.775714285714287</v>
      </c>
      <c r="J3307" s="41">
        <v>8.0004780181928095E-2</v>
      </c>
      <c r="K3307" s="9" t="s">
        <v>4623</v>
      </c>
    </row>
    <row r="3308" spans="1:11" x14ac:dyDescent="0.2">
      <c r="A3308" s="9" t="s">
        <v>46</v>
      </c>
      <c r="B3308" s="9" t="s">
        <v>166</v>
      </c>
      <c r="C3308" s="9"/>
      <c r="D3308" s="9" t="s">
        <v>76</v>
      </c>
      <c r="E3308" s="38">
        <v>3090</v>
      </c>
      <c r="F3308" s="39">
        <v>1416888</v>
      </c>
      <c r="G3308" s="40">
        <v>458.53980582524269</v>
      </c>
      <c r="H3308" s="41">
        <v>-0.24508460362197571</v>
      </c>
      <c r="I3308" s="40">
        <v>55.025242718446599</v>
      </c>
      <c r="J3308" s="41">
        <v>0.1200010163118045</v>
      </c>
      <c r="K3308" s="9" t="s">
        <v>4624</v>
      </c>
    </row>
    <row r="3309" spans="1:11" x14ac:dyDescent="0.2">
      <c r="A3309" s="9" t="s">
        <v>46</v>
      </c>
      <c r="B3309" s="9" t="s">
        <v>4625</v>
      </c>
      <c r="C3309" s="9"/>
      <c r="D3309" s="9" t="s">
        <v>76</v>
      </c>
      <c r="E3309" s="38">
        <v>9178</v>
      </c>
      <c r="F3309" s="39">
        <v>1658172</v>
      </c>
      <c r="G3309" s="40">
        <v>180.66811941599479</v>
      </c>
      <c r="H3309" s="41">
        <v>0.10581261183889321</v>
      </c>
      <c r="I3309" s="40">
        <v>33.670080627587708</v>
      </c>
      <c r="J3309" s="41">
        <v>0.18636426136733711</v>
      </c>
      <c r="K3309" s="9" t="s">
        <v>4626</v>
      </c>
    </row>
    <row r="3310" spans="1:11" x14ac:dyDescent="0.2">
      <c r="A3310" s="9" t="s">
        <v>46</v>
      </c>
      <c r="B3310" s="9" t="s">
        <v>168</v>
      </c>
      <c r="C3310" s="9"/>
      <c r="D3310" s="9" t="s">
        <v>77</v>
      </c>
      <c r="E3310" s="38">
        <v>1963</v>
      </c>
      <c r="F3310" s="39">
        <v>757116</v>
      </c>
      <c r="G3310" s="40">
        <v>385.69332654100867</v>
      </c>
      <c r="H3310" s="41">
        <v>-0.16897697694997391</v>
      </c>
      <c r="I3310" s="40">
        <v>94.697911360163019</v>
      </c>
      <c r="J3310" s="41">
        <v>0.2455264450889956</v>
      </c>
      <c r="K3310" s="9" t="s">
        <v>4627</v>
      </c>
    </row>
    <row r="3311" spans="1:11" x14ac:dyDescent="0.2">
      <c r="A3311" s="9" t="s">
        <v>46</v>
      </c>
      <c r="B3311" s="9" t="s">
        <v>169</v>
      </c>
      <c r="C3311" s="9"/>
      <c r="D3311" s="9" t="s">
        <v>76</v>
      </c>
      <c r="E3311" s="38">
        <v>6736</v>
      </c>
      <c r="F3311" s="39">
        <v>2388564</v>
      </c>
      <c r="G3311" s="40">
        <v>354.59679334916859</v>
      </c>
      <c r="H3311" s="41">
        <v>-0.1857846001334654</v>
      </c>
      <c r="I3311" s="40">
        <v>106.5302850356294</v>
      </c>
      <c r="J3311" s="41">
        <v>0.30042653242701473</v>
      </c>
      <c r="K3311" s="9" t="s">
        <v>4628</v>
      </c>
    </row>
    <row r="3312" spans="1:11" x14ac:dyDescent="0.2">
      <c r="A3312" s="9" t="s">
        <v>46</v>
      </c>
      <c r="B3312" s="9" t="s">
        <v>87</v>
      </c>
      <c r="C3312" s="9"/>
      <c r="D3312" s="9" t="s">
        <v>87</v>
      </c>
      <c r="E3312" s="38">
        <v>10545</v>
      </c>
      <c r="F3312" s="39">
        <v>58515120</v>
      </c>
      <c r="G3312" s="40">
        <v>5549.0867709815066</v>
      </c>
      <c r="H3312" s="41">
        <v>-0.2200484763019879</v>
      </c>
      <c r="I3312" s="40">
        <v>80.330014224751068</v>
      </c>
      <c r="J3312" s="41">
        <v>1.44762584439714E-2</v>
      </c>
      <c r="K3312" s="9" t="s">
        <v>4629</v>
      </c>
    </row>
    <row r="3313" spans="1:11" x14ac:dyDescent="0.2">
      <c r="A3313" s="9" t="s">
        <v>46</v>
      </c>
      <c r="B3313" s="9" t="s">
        <v>171</v>
      </c>
      <c r="C3313" s="9"/>
      <c r="D3313" s="9" t="s">
        <v>84</v>
      </c>
      <c r="E3313" s="38">
        <v>1881</v>
      </c>
      <c r="F3313" s="39">
        <v>0</v>
      </c>
      <c r="G3313" s="40"/>
      <c r="H3313" s="41"/>
      <c r="I3313" s="40">
        <v>204.17224880382781</v>
      </c>
      <c r="J3313" s="41"/>
      <c r="K3313" s="9" t="s">
        <v>4630</v>
      </c>
    </row>
    <row r="3314" spans="1:11" x14ac:dyDescent="0.2">
      <c r="A3314" s="9" t="s">
        <v>46</v>
      </c>
      <c r="B3314" s="9" t="s">
        <v>173</v>
      </c>
      <c r="C3314" s="9"/>
      <c r="D3314" s="9" t="s">
        <v>80</v>
      </c>
      <c r="E3314" s="38">
        <v>100</v>
      </c>
      <c r="F3314" s="39">
        <v>1208712</v>
      </c>
      <c r="G3314" s="40">
        <v>12087.12</v>
      </c>
      <c r="H3314" s="41">
        <v>-4.8044766409000489E-2</v>
      </c>
      <c r="I3314" s="40">
        <v>1711.8</v>
      </c>
      <c r="J3314" s="41">
        <v>0.14162182554653219</v>
      </c>
      <c r="K3314" s="9" t="s">
        <v>4631</v>
      </c>
    </row>
    <row r="3315" spans="1:11" x14ac:dyDescent="0.2">
      <c r="A3315" s="9" t="s">
        <v>46</v>
      </c>
      <c r="B3315" s="9" t="s">
        <v>175</v>
      </c>
      <c r="C3315" s="9"/>
      <c r="D3315" s="9" t="s">
        <v>78</v>
      </c>
      <c r="E3315" s="38">
        <v>160</v>
      </c>
      <c r="F3315" s="39">
        <v>1369332</v>
      </c>
      <c r="G3315" s="40">
        <v>8558.3250000000007</v>
      </c>
      <c r="H3315" s="41">
        <v>-0.26632408280463782</v>
      </c>
      <c r="I3315" s="40">
        <v>999.97500000000002</v>
      </c>
      <c r="J3315" s="41">
        <v>0.11684237277738339</v>
      </c>
      <c r="K3315" s="9" t="s">
        <v>4632</v>
      </c>
    </row>
    <row r="3316" spans="1:11" x14ac:dyDescent="0.2">
      <c r="A3316" s="9" t="s">
        <v>46</v>
      </c>
      <c r="B3316" s="9" t="s">
        <v>179</v>
      </c>
      <c r="C3316" s="9"/>
      <c r="D3316" s="9" t="s">
        <v>79</v>
      </c>
      <c r="E3316" s="38">
        <v>3043</v>
      </c>
      <c r="F3316" s="39">
        <v>2463756</v>
      </c>
      <c r="G3316" s="40">
        <v>809.64705882352939</v>
      </c>
      <c r="H3316" s="41">
        <v>3.0689714538382679E-2</v>
      </c>
      <c r="I3316" s="40">
        <v>95.700295760762401</v>
      </c>
      <c r="J3316" s="41">
        <v>0.1182000165600814</v>
      </c>
      <c r="K3316" s="9" t="s">
        <v>4633</v>
      </c>
    </row>
    <row r="3317" spans="1:11" x14ac:dyDescent="0.2">
      <c r="A3317" s="9" t="s">
        <v>46</v>
      </c>
      <c r="B3317" s="9" t="s">
        <v>1758</v>
      </c>
      <c r="C3317" s="9"/>
      <c r="D3317" s="9" t="s">
        <v>76</v>
      </c>
      <c r="E3317" s="38">
        <v>5000</v>
      </c>
      <c r="F3317" s="39">
        <v>1449384</v>
      </c>
      <c r="G3317" s="40">
        <v>289.8768</v>
      </c>
      <c r="H3317" s="41">
        <v>0.25826451170745379</v>
      </c>
      <c r="I3317" s="40">
        <v>28.987200000000001</v>
      </c>
      <c r="J3317" s="41">
        <v>9.999834412412445E-2</v>
      </c>
      <c r="K3317" s="9" t="s">
        <v>4634</v>
      </c>
    </row>
    <row r="3318" spans="1:11" x14ac:dyDescent="0.2">
      <c r="A3318" s="9" t="s">
        <v>46</v>
      </c>
      <c r="B3318" s="9" t="s">
        <v>193</v>
      </c>
      <c r="C3318" s="9"/>
      <c r="D3318" s="9" t="s">
        <v>82</v>
      </c>
      <c r="E3318" s="38">
        <v>3210</v>
      </c>
      <c r="F3318" s="39">
        <v>2097240</v>
      </c>
      <c r="G3318" s="40">
        <v>653.34579439252332</v>
      </c>
      <c r="H3318" s="41">
        <v>-0.20280894469988189</v>
      </c>
      <c r="I3318" s="40">
        <v>102.51962616822431</v>
      </c>
      <c r="J3318" s="41">
        <v>0.15691480231160951</v>
      </c>
      <c r="K3318" s="9" t="s">
        <v>4635</v>
      </c>
    </row>
    <row r="3319" spans="1:11" x14ac:dyDescent="0.2">
      <c r="A3319" s="9" t="s">
        <v>46</v>
      </c>
      <c r="B3319" s="9" t="s">
        <v>200</v>
      </c>
      <c r="C3319" s="9"/>
      <c r="D3319" s="9" t="s">
        <v>77</v>
      </c>
      <c r="E3319" s="38">
        <v>5390</v>
      </c>
      <c r="F3319" s="39">
        <v>2466108</v>
      </c>
      <c r="G3319" s="40">
        <v>457.5339517625232</v>
      </c>
      <c r="H3319" s="41">
        <v>-9.7775390080456839E-2</v>
      </c>
      <c r="I3319" s="40">
        <v>62.023747680890537</v>
      </c>
      <c r="J3319" s="41">
        <v>0.13556097299874939</v>
      </c>
      <c r="K3319" s="9" t="s">
        <v>4636</v>
      </c>
    </row>
    <row r="3320" spans="1:11" x14ac:dyDescent="0.2">
      <c r="A3320" s="9" t="s">
        <v>46</v>
      </c>
      <c r="B3320" s="9" t="s">
        <v>202</v>
      </c>
      <c r="C3320" s="9"/>
      <c r="D3320" s="9" t="s">
        <v>81</v>
      </c>
      <c r="E3320" s="38">
        <v>784</v>
      </c>
      <c r="F3320" s="39">
        <v>1729908</v>
      </c>
      <c r="G3320" s="40">
        <v>2206.5153061224491</v>
      </c>
      <c r="H3320" s="41">
        <v>4.690624694561444E-2</v>
      </c>
      <c r="I3320" s="40">
        <v>392.63265306122452</v>
      </c>
      <c r="J3320" s="41">
        <v>0.17794241081028589</v>
      </c>
      <c r="K3320" s="9" t="s">
        <v>4637</v>
      </c>
    </row>
    <row r="3321" spans="1:11" x14ac:dyDescent="0.2">
      <c r="A3321" s="9" t="s">
        <v>46</v>
      </c>
      <c r="B3321" s="9" t="s">
        <v>877</v>
      </c>
      <c r="C3321" s="9"/>
      <c r="D3321" s="9" t="s">
        <v>76</v>
      </c>
      <c r="E3321" s="38">
        <v>7400</v>
      </c>
      <c r="F3321" s="39">
        <v>1524084</v>
      </c>
      <c r="G3321" s="40">
        <v>205.95729729729729</v>
      </c>
      <c r="H3321" s="41">
        <v>0.16004429027706321</v>
      </c>
      <c r="I3321" s="40">
        <v>28.83405405405405</v>
      </c>
      <c r="J3321" s="41">
        <v>0.14000015747163541</v>
      </c>
      <c r="K3321" s="9" t="s">
        <v>4638</v>
      </c>
    </row>
    <row r="3322" spans="1:11" x14ac:dyDescent="0.2">
      <c r="A3322" s="9" t="s">
        <v>46</v>
      </c>
      <c r="B3322" s="9" t="s">
        <v>1770</v>
      </c>
      <c r="C3322" s="9"/>
      <c r="D3322" s="9" t="s">
        <v>77</v>
      </c>
      <c r="E3322" s="38">
        <v>4175</v>
      </c>
      <c r="F3322" s="39">
        <v>1412388</v>
      </c>
      <c r="G3322" s="40">
        <v>338.2965269461078</v>
      </c>
      <c r="H3322" s="41">
        <v>1.439587531988475E-2</v>
      </c>
      <c r="I3322" s="40">
        <v>69.41892215568862</v>
      </c>
      <c r="J3322" s="41">
        <v>0.2052014035803193</v>
      </c>
      <c r="K3322" s="9" t="s">
        <v>4639</v>
      </c>
    </row>
    <row r="3323" spans="1:11" x14ac:dyDescent="0.2">
      <c r="A3323" s="9" t="s">
        <v>46</v>
      </c>
      <c r="B3323" s="9" t="s">
        <v>4640</v>
      </c>
      <c r="C3323" s="9"/>
      <c r="D3323" s="9" t="s">
        <v>85</v>
      </c>
      <c r="E3323" s="38">
        <v>13099</v>
      </c>
      <c r="F3323" s="39">
        <v>0</v>
      </c>
      <c r="G3323" s="40"/>
      <c r="H3323" s="41"/>
      <c r="I3323" s="40">
        <v>48.480036644018632</v>
      </c>
      <c r="J3323" s="41"/>
      <c r="K3323" s="9" t="s">
        <v>4641</v>
      </c>
    </row>
    <row r="3324" spans="1:11" x14ac:dyDescent="0.2">
      <c r="A3324" s="9" t="s">
        <v>46</v>
      </c>
      <c r="B3324" s="9" t="s">
        <v>2942</v>
      </c>
      <c r="C3324" s="9"/>
      <c r="D3324" s="9" t="s">
        <v>83</v>
      </c>
      <c r="E3324" s="38">
        <v>2628</v>
      </c>
      <c r="F3324" s="39">
        <v>441420</v>
      </c>
      <c r="G3324" s="40">
        <v>167.9680365296804</v>
      </c>
      <c r="H3324" s="41">
        <v>-0.63368288409488494</v>
      </c>
      <c r="I3324" s="40">
        <v>49.502283105022833</v>
      </c>
      <c r="J3324" s="41">
        <v>0.29471251868968329</v>
      </c>
      <c r="K3324" s="9" t="s">
        <v>4642</v>
      </c>
    </row>
    <row r="3325" spans="1:11" x14ac:dyDescent="0.2">
      <c r="A3325" s="9" t="s">
        <v>46</v>
      </c>
      <c r="B3325" s="9" t="s">
        <v>768</v>
      </c>
      <c r="C3325" s="9"/>
      <c r="D3325" s="9" t="s">
        <v>77</v>
      </c>
      <c r="E3325" s="38">
        <v>26585</v>
      </c>
      <c r="F3325" s="39">
        <v>2925972</v>
      </c>
      <c r="G3325" s="40">
        <v>110.0610118487869</v>
      </c>
      <c r="H3325" s="41">
        <v>-2.3935583894208249E-2</v>
      </c>
      <c r="I3325" s="40">
        <v>13.169983073161561</v>
      </c>
      <c r="J3325" s="41">
        <v>0.11966074863327469</v>
      </c>
      <c r="K3325" s="9" t="s">
        <v>4643</v>
      </c>
    </row>
    <row r="3326" spans="1:11" x14ac:dyDescent="0.2">
      <c r="A3326" s="9" t="s">
        <v>46</v>
      </c>
      <c r="B3326" s="9" t="s">
        <v>231</v>
      </c>
      <c r="C3326" s="9"/>
      <c r="D3326" s="9" t="s">
        <v>76</v>
      </c>
      <c r="E3326" s="38">
        <v>7370</v>
      </c>
      <c r="F3326" s="39">
        <v>1832796</v>
      </c>
      <c r="G3326" s="40">
        <v>248.68331071913161</v>
      </c>
      <c r="H3326" s="41">
        <v>-0.25313996268806621</v>
      </c>
      <c r="I3326" s="40">
        <v>22.381546811397559</v>
      </c>
      <c r="J3326" s="41">
        <v>9.000019642120563E-2</v>
      </c>
      <c r="K3326" s="9" t="s">
        <v>4644</v>
      </c>
    </row>
    <row r="3327" spans="1:11" x14ac:dyDescent="0.2">
      <c r="A3327" s="9" t="s">
        <v>46</v>
      </c>
      <c r="B3327" s="9" t="s">
        <v>456</v>
      </c>
      <c r="C3327" s="9"/>
      <c r="D3327" s="9" t="s">
        <v>76</v>
      </c>
      <c r="E3327" s="38">
        <v>2000</v>
      </c>
      <c r="F3327" s="39">
        <v>986724</v>
      </c>
      <c r="G3327" s="40">
        <v>493.36200000000002</v>
      </c>
      <c r="H3327" s="41">
        <v>-0.17431068168737729</v>
      </c>
      <c r="I3327" s="40">
        <v>91.884</v>
      </c>
      <c r="J3327" s="41">
        <v>0.18624052926654261</v>
      </c>
      <c r="K3327" s="9" t="s">
        <v>4645</v>
      </c>
    </row>
    <row r="3328" spans="1:11" x14ac:dyDescent="0.2">
      <c r="A3328" s="9" t="s">
        <v>46</v>
      </c>
      <c r="B3328" s="9" t="s">
        <v>243</v>
      </c>
      <c r="C3328" s="9"/>
      <c r="D3328" s="9" t="s">
        <v>82</v>
      </c>
      <c r="E3328" s="38">
        <v>3039</v>
      </c>
      <c r="F3328" s="39">
        <v>1348512</v>
      </c>
      <c r="G3328" s="40">
        <v>443.73543928923988</v>
      </c>
      <c r="H3328" s="41">
        <v>-4.8066563327912107E-2</v>
      </c>
      <c r="I3328" s="40">
        <v>65.338598223099709</v>
      </c>
      <c r="J3328" s="41">
        <v>0.1472467430768136</v>
      </c>
      <c r="K3328" s="9" t="s">
        <v>4646</v>
      </c>
    </row>
    <row r="3329" spans="1:11" x14ac:dyDescent="0.2">
      <c r="A3329" s="9" t="s">
        <v>46</v>
      </c>
      <c r="B3329" s="9" t="s">
        <v>461</v>
      </c>
      <c r="C3329" s="9"/>
      <c r="D3329" s="9" t="s">
        <v>76</v>
      </c>
      <c r="E3329" s="38">
        <v>3947</v>
      </c>
      <c r="F3329" s="39">
        <v>2548140</v>
      </c>
      <c r="G3329" s="40">
        <v>645.58905497846467</v>
      </c>
      <c r="H3329" s="41">
        <v>9.8578982940180859E-2</v>
      </c>
      <c r="I3329" s="40">
        <v>96.839118317709648</v>
      </c>
      <c r="J3329" s="41">
        <v>0.15000117732934609</v>
      </c>
      <c r="K3329" s="9" t="s">
        <v>4647</v>
      </c>
    </row>
    <row r="3330" spans="1:11" x14ac:dyDescent="0.2">
      <c r="A3330" s="9" t="s">
        <v>46</v>
      </c>
      <c r="B3330" s="9" t="s">
        <v>4648</v>
      </c>
      <c r="C3330" s="9"/>
      <c r="D3330" s="9" t="s">
        <v>83</v>
      </c>
      <c r="E3330" s="38">
        <v>1188</v>
      </c>
      <c r="F3330" s="39">
        <v>499752</v>
      </c>
      <c r="G3330" s="40">
        <v>420.66666666666669</v>
      </c>
      <c r="H3330" s="41">
        <v>1.608757149676391E-2</v>
      </c>
      <c r="I3330" s="40">
        <v>99.747474747474755</v>
      </c>
      <c r="J3330" s="41">
        <v>0.23711761033472609</v>
      </c>
      <c r="K3330" s="9" t="s">
        <v>4649</v>
      </c>
    </row>
    <row r="3331" spans="1:11" x14ac:dyDescent="0.2">
      <c r="A3331" s="9" t="s">
        <v>46</v>
      </c>
      <c r="B3331" s="9" t="s">
        <v>1627</v>
      </c>
      <c r="C3331" s="9"/>
      <c r="D3331" s="9" t="s">
        <v>83</v>
      </c>
      <c r="E3331" s="38">
        <v>1</v>
      </c>
      <c r="F3331" s="39">
        <v>0</v>
      </c>
      <c r="G3331" s="40"/>
      <c r="H3331" s="41"/>
      <c r="I3331" s="40">
        <v>14400</v>
      </c>
      <c r="J3331" s="41"/>
      <c r="K3331" s="9" t="s">
        <v>4650</v>
      </c>
    </row>
    <row r="3332" spans="1:11" x14ac:dyDescent="0.2">
      <c r="A3332" s="9" t="s">
        <v>46</v>
      </c>
      <c r="B3332" s="9" t="s">
        <v>247</v>
      </c>
      <c r="C3332" s="9"/>
      <c r="D3332" s="9" t="s">
        <v>76</v>
      </c>
      <c r="E3332" s="38">
        <v>28181</v>
      </c>
      <c r="F3332" s="39">
        <v>7279608</v>
      </c>
      <c r="G3332" s="40">
        <v>258.31617046946519</v>
      </c>
      <c r="H3332" s="41">
        <v>-0.100907071653223</v>
      </c>
      <c r="I3332" s="40">
        <v>45.950108228948579</v>
      </c>
      <c r="J3332" s="41">
        <v>0.1778832047000333</v>
      </c>
      <c r="K3332" s="9" t="s">
        <v>4651</v>
      </c>
    </row>
    <row r="3333" spans="1:11" x14ac:dyDescent="0.2">
      <c r="A3333" s="9" t="s">
        <v>46</v>
      </c>
      <c r="B3333" s="9" t="s">
        <v>140</v>
      </c>
      <c r="C3333" s="9"/>
      <c r="D3333" s="9" t="s">
        <v>83</v>
      </c>
      <c r="E3333" s="38">
        <v>7178</v>
      </c>
      <c r="F3333" s="39">
        <v>3286416</v>
      </c>
      <c r="G3333" s="40">
        <v>457.84563945388692</v>
      </c>
      <c r="H3333" s="41">
        <v>-2.045694416688278E-2</v>
      </c>
      <c r="I3333" s="40">
        <v>67.877403176372255</v>
      </c>
      <c r="J3333" s="41">
        <v>0.14825390334029531</v>
      </c>
      <c r="K3333" s="9" t="s">
        <v>4652</v>
      </c>
    </row>
    <row r="3334" spans="1:11" x14ac:dyDescent="0.2">
      <c r="A3334" s="9" t="s">
        <v>46</v>
      </c>
      <c r="B3334" s="9" t="s">
        <v>256</v>
      </c>
      <c r="C3334" s="9"/>
      <c r="D3334" s="9" t="s">
        <v>76</v>
      </c>
      <c r="E3334" s="38">
        <v>1472</v>
      </c>
      <c r="F3334" s="39">
        <v>1067592</v>
      </c>
      <c r="G3334" s="40">
        <v>725.26630434782612</v>
      </c>
      <c r="H3334" s="41">
        <v>-0.30841644039160487</v>
      </c>
      <c r="I3334" s="40">
        <v>114.32608695652171</v>
      </c>
      <c r="J3334" s="41">
        <v>0.1576332531528899</v>
      </c>
      <c r="K3334" s="9" t="s">
        <v>4653</v>
      </c>
    </row>
    <row r="3335" spans="1:11" x14ac:dyDescent="0.2">
      <c r="A3335" s="9" t="s">
        <v>46</v>
      </c>
      <c r="B3335" s="9" t="s">
        <v>4654</v>
      </c>
      <c r="C3335" s="9"/>
      <c r="D3335" s="9" t="s">
        <v>83</v>
      </c>
      <c r="E3335" s="38">
        <v>1200</v>
      </c>
      <c r="F3335" s="39">
        <v>246888</v>
      </c>
      <c r="G3335" s="40">
        <v>205.74</v>
      </c>
      <c r="H3335" s="41">
        <v>8.2360792863340082E-2</v>
      </c>
      <c r="I3335" s="40">
        <v>91.5</v>
      </c>
      <c r="J3335" s="41">
        <v>0.4447360746573345</v>
      </c>
      <c r="K3335" s="9" t="s">
        <v>4655</v>
      </c>
    </row>
    <row r="3336" spans="1:11" x14ac:dyDescent="0.2">
      <c r="A3336" s="9" t="s">
        <v>46</v>
      </c>
      <c r="B3336" s="9" t="s">
        <v>262</v>
      </c>
      <c r="C3336" s="9"/>
      <c r="D3336" s="9" t="s">
        <v>76</v>
      </c>
      <c r="E3336" s="38">
        <v>7500</v>
      </c>
      <c r="F3336" s="39">
        <v>2004816</v>
      </c>
      <c r="G3336" s="40">
        <v>267.30880000000002</v>
      </c>
      <c r="H3336" s="41">
        <v>-0.1172210372827102</v>
      </c>
      <c r="I3336" s="40">
        <v>27.5808</v>
      </c>
      <c r="J3336" s="41">
        <v>0.1031795436588694</v>
      </c>
      <c r="K3336" s="9" t="s">
        <v>4656</v>
      </c>
    </row>
    <row r="3337" spans="1:11" x14ac:dyDescent="0.2">
      <c r="A3337" s="9" t="s">
        <v>46</v>
      </c>
      <c r="B3337" s="9" t="s">
        <v>479</v>
      </c>
      <c r="C3337" s="9"/>
      <c r="D3337" s="9" t="s">
        <v>77</v>
      </c>
      <c r="E3337" s="38">
        <v>6640</v>
      </c>
      <c r="F3337" s="39">
        <v>4493088</v>
      </c>
      <c r="G3337" s="40">
        <v>676.66987951807232</v>
      </c>
      <c r="H3337" s="41">
        <v>-3.0964308658597429E-2</v>
      </c>
      <c r="I3337" s="40">
        <v>69.366867469879523</v>
      </c>
      <c r="J3337" s="41">
        <v>0.1025121252911138</v>
      </c>
      <c r="K3337" s="9" t="s">
        <v>4657</v>
      </c>
    </row>
    <row r="3338" spans="1:11" x14ac:dyDescent="0.2">
      <c r="A3338" s="9" t="s">
        <v>46</v>
      </c>
      <c r="B3338" s="9" t="s">
        <v>267</v>
      </c>
      <c r="C3338" s="9"/>
      <c r="D3338" s="9" t="s">
        <v>77</v>
      </c>
      <c r="E3338" s="38">
        <v>3664</v>
      </c>
      <c r="F3338" s="39">
        <v>1844520</v>
      </c>
      <c r="G3338" s="40">
        <v>503.41703056768557</v>
      </c>
      <c r="H3338" s="41">
        <v>-5.0021466456458302E-2</v>
      </c>
      <c r="I3338" s="40">
        <v>104.6692139737991</v>
      </c>
      <c r="J3338" s="41">
        <v>0.20791750699368941</v>
      </c>
      <c r="K3338" s="9" t="s">
        <v>4658</v>
      </c>
    </row>
    <row r="3339" spans="1:11" x14ac:dyDescent="0.2">
      <c r="A3339" s="9" t="s">
        <v>46</v>
      </c>
      <c r="B3339" s="9" t="s">
        <v>487</v>
      </c>
      <c r="C3339" s="9"/>
      <c r="D3339" s="9" t="s">
        <v>77</v>
      </c>
      <c r="E3339" s="38">
        <v>2500</v>
      </c>
      <c r="F3339" s="39">
        <v>2295564</v>
      </c>
      <c r="G3339" s="40">
        <v>918.22559999999999</v>
      </c>
      <c r="H3339" s="41"/>
      <c r="I3339" s="40">
        <v>93.244799999999998</v>
      </c>
      <c r="J3339" s="41">
        <v>0.1015489004009472</v>
      </c>
      <c r="K3339" s="9" t="s">
        <v>4659</v>
      </c>
    </row>
    <row r="3340" spans="1:11" x14ac:dyDescent="0.2">
      <c r="A3340" s="9" t="s">
        <v>46</v>
      </c>
      <c r="B3340" s="9" t="s">
        <v>489</v>
      </c>
      <c r="C3340" s="9"/>
      <c r="D3340" s="9" t="s">
        <v>82</v>
      </c>
      <c r="E3340" s="38">
        <v>2411</v>
      </c>
      <c r="F3340" s="39">
        <v>3544212</v>
      </c>
      <c r="G3340" s="40">
        <v>1470.017420157611</v>
      </c>
      <c r="H3340" s="41">
        <v>3.6290502808157189E-2</v>
      </c>
      <c r="I3340" s="40">
        <v>144.4529240978847</v>
      </c>
      <c r="J3340" s="41">
        <v>9.8266130807073623E-2</v>
      </c>
      <c r="K3340" s="9" t="s">
        <v>4660</v>
      </c>
    </row>
    <row r="3341" spans="1:11" x14ac:dyDescent="0.2">
      <c r="A3341" s="9" t="s">
        <v>46</v>
      </c>
      <c r="B3341" s="9" t="s">
        <v>275</v>
      </c>
      <c r="C3341" s="9"/>
      <c r="D3341" s="9" t="s">
        <v>83</v>
      </c>
      <c r="E3341" s="38">
        <v>3082</v>
      </c>
      <c r="F3341" s="39">
        <v>1493292</v>
      </c>
      <c r="G3341" s="40">
        <v>484.52044127190129</v>
      </c>
      <c r="H3341" s="41">
        <v>3.2854514136396402E-2</v>
      </c>
      <c r="I3341" s="40">
        <v>50.281635301752111</v>
      </c>
      <c r="J3341" s="41">
        <v>0.10377608665954149</v>
      </c>
      <c r="K3341" s="9" t="s">
        <v>4661</v>
      </c>
    </row>
    <row r="3342" spans="1:11" x14ac:dyDescent="0.2">
      <c r="A3342" s="9" t="s">
        <v>46</v>
      </c>
      <c r="B3342" s="9" t="s">
        <v>277</v>
      </c>
      <c r="C3342" s="9"/>
      <c r="D3342" s="9" t="s">
        <v>76</v>
      </c>
      <c r="E3342" s="38">
        <v>932</v>
      </c>
      <c r="F3342" s="39">
        <v>1127928</v>
      </c>
      <c r="G3342" s="40">
        <v>1210.223175965665</v>
      </c>
      <c r="H3342" s="41">
        <v>-7.8890546312386692E-2</v>
      </c>
      <c r="I3342" s="40">
        <v>199.75107296137341</v>
      </c>
      <c r="J3342" s="41">
        <v>0.1650530884950103</v>
      </c>
      <c r="K3342" s="9" t="s">
        <v>4662</v>
      </c>
    </row>
    <row r="3343" spans="1:11" x14ac:dyDescent="0.2">
      <c r="A3343" s="9" t="s">
        <v>46</v>
      </c>
      <c r="B3343" s="9" t="s">
        <v>283</v>
      </c>
      <c r="C3343" s="9"/>
      <c r="D3343" s="9" t="s">
        <v>78</v>
      </c>
      <c r="E3343" s="38">
        <v>990</v>
      </c>
      <c r="F3343" s="39">
        <v>514404</v>
      </c>
      <c r="G3343" s="40">
        <v>519.6</v>
      </c>
      <c r="H3343" s="41">
        <v>5.842597927371302E-2</v>
      </c>
      <c r="I3343" s="40">
        <v>87.2</v>
      </c>
      <c r="J3343" s="41">
        <v>0.16782140107775209</v>
      </c>
      <c r="K3343" s="9" t="s">
        <v>4663</v>
      </c>
    </row>
    <row r="3344" spans="1:11" x14ac:dyDescent="0.2">
      <c r="A3344" s="9" t="s">
        <v>46</v>
      </c>
      <c r="B3344" s="9" t="s">
        <v>497</v>
      </c>
      <c r="C3344" s="9"/>
      <c r="D3344" s="9" t="s">
        <v>76</v>
      </c>
      <c r="E3344" s="38">
        <v>2410</v>
      </c>
      <c r="F3344" s="39">
        <v>783804</v>
      </c>
      <c r="G3344" s="40">
        <v>325.2298755186722</v>
      </c>
      <c r="H3344" s="41">
        <v>4.7339900087774181E-2</v>
      </c>
      <c r="I3344" s="40">
        <v>35.621576763485479</v>
      </c>
      <c r="J3344" s="41">
        <v>0.1095273818454614</v>
      </c>
      <c r="K3344" s="9" t="s">
        <v>4664</v>
      </c>
    </row>
    <row r="3345" spans="1:11" x14ac:dyDescent="0.2">
      <c r="A3345" s="9" t="s">
        <v>46</v>
      </c>
      <c r="B3345" s="9" t="s">
        <v>287</v>
      </c>
      <c r="C3345" s="9"/>
      <c r="D3345" s="9" t="s">
        <v>79</v>
      </c>
      <c r="E3345" s="38">
        <v>2340</v>
      </c>
      <c r="F3345" s="39">
        <v>1039392</v>
      </c>
      <c r="G3345" s="40">
        <v>444.18461538461543</v>
      </c>
      <c r="H3345" s="41">
        <v>-0.31518162027446001</v>
      </c>
      <c r="I3345" s="40">
        <v>156.4</v>
      </c>
      <c r="J3345" s="41">
        <v>0.35210584649487392</v>
      </c>
      <c r="K3345" s="9" t="s">
        <v>4665</v>
      </c>
    </row>
    <row r="3346" spans="1:11" x14ac:dyDescent="0.2">
      <c r="A3346" s="9" t="s">
        <v>46</v>
      </c>
      <c r="B3346" s="9" t="s">
        <v>502</v>
      </c>
      <c r="C3346" s="9"/>
      <c r="D3346" s="9" t="s">
        <v>86</v>
      </c>
      <c r="E3346" s="38">
        <v>200125</v>
      </c>
      <c r="F3346" s="39">
        <v>0</v>
      </c>
      <c r="G3346" s="40"/>
      <c r="H3346" s="41"/>
      <c r="I3346" s="40">
        <v>2.3399775140537158</v>
      </c>
      <c r="J3346" s="41"/>
      <c r="K3346" s="9" t="s">
        <v>4666</v>
      </c>
    </row>
    <row r="3347" spans="1:11" x14ac:dyDescent="0.2">
      <c r="A3347" s="9" t="s">
        <v>46</v>
      </c>
      <c r="B3347" s="9" t="s">
        <v>4667</v>
      </c>
      <c r="C3347" s="9"/>
      <c r="D3347" s="9" t="s">
        <v>84</v>
      </c>
      <c r="E3347" s="38">
        <v>485</v>
      </c>
      <c r="F3347" s="39">
        <v>96108</v>
      </c>
      <c r="G3347" s="40">
        <v>198.16082474226801</v>
      </c>
      <c r="H3347" s="41">
        <v>-0.5604187389419949</v>
      </c>
      <c r="I3347" s="40">
        <v>223.02680412371129</v>
      </c>
      <c r="J3347" s="41">
        <v>1.125483830690473E-2</v>
      </c>
      <c r="K3347" s="9" t="s">
        <v>4668</v>
      </c>
    </row>
    <row r="3348" spans="1:11" x14ac:dyDescent="0.2">
      <c r="A3348" s="9" t="s">
        <v>46</v>
      </c>
      <c r="B3348" s="9" t="s">
        <v>301</v>
      </c>
      <c r="C3348" s="9"/>
      <c r="D3348" s="9" t="s">
        <v>82</v>
      </c>
      <c r="E3348" s="38">
        <v>2988</v>
      </c>
      <c r="F3348" s="39">
        <v>939072</v>
      </c>
      <c r="G3348" s="40">
        <v>314.28112449799198</v>
      </c>
      <c r="H3348" s="41">
        <v>-4.4377919266128059E-2</v>
      </c>
      <c r="I3348" s="40">
        <v>51.357429718875501</v>
      </c>
      <c r="J3348" s="41">
        <v>0.16341239010427319</v>
      </c>
      <c r="K3348" s="9" t="s">
        <v>4669</v>
      </c>
    </row>
    <row r="3349" spans="1:11" x14ac:dyDescent="0.2">
      <c r="A3349" s="9" t="s">
        <v>46</v>
      </c>
      <c r="B3349" s="9" t="s">
        <v>2059</v>
      </c>
      <c r="C3349" s="9"/>
      <c r="D3349" s="9" t="s">
        <v>82</v>
      </c>
      <c r="E3349" s="38">
        <v>3873</v>
      </c>
      <c r="F3349" s="39">
        <v>3155184</v>
      </c>
      <c r="G3349" s="40">
        <v>814.66150271107665</v>
      </c>
      <c r="H3349" s="41">
        <v>-3.93420702361411E-2</v>
      </c>
      <c r="I3349" s="40">
        <v>89.611154144074362</v>
      </c>
      <c r="J3349" s="41">
        <v>0.1099980223023443</v>
      </c>
      <c r="K3349" s="9" t="s">
        <v>4670</v>
      </c>
    </row>
    <row r="3350" spans="1:11" x14ac:dyDescent="0.2">
      <c r="A3350" s="9" t="s">
        <v>46</v>
      </c>
      <c r="B3350" s="9" t="s">
        <v>1149</v>
      </c>
      <c r="C3350" s="9"/>
      <c r="D3350" s="9" t="s">
        <v>76</v>
      </c>
      <c r="E3350" s="38">
        <v>21677</v>
      </c>
      <c r="F3350" s="39">
        <v>3479856</v>
      </c>
      <c r="G3350" s="40">
        <v>160.5321769617567</v>
      </c>
      <c r="H3350" s="41">
        <v>-0.1041031376551661</v>
      </c>
      <c r="I3350" s="40">
        <v>16.053328412603221</v>
      </c>
      <c r="J3350" s="41">
        <v>0.10000068968371111</v>
      </c>
      <c r="K3350" s="9" t="s">
        <v>4671</v>
      </c>
    </row>
    <row r="3351" spans="1:11" x14ac:dyDescent="0.2">
      <c r="A3351" s="9" t="s">
        <v>46</v>
      </c>
      <c r="B3351" s="9" t="s">
        <v>603</v>
      </c>
      <c r="C3351" s="9"/>
      <c r="D3351" s="9" t="s">
        <v>81</v>
      </c>
      <c r="E3351" s="38">
        <v>7783</v>
      </c>
      <c r="F3351" s="39">
        <v>2793612</v>
      </c>
      <c r="G3351" s="40">
        <v>358.93768469741752</v>
      </c>
      <c r="H3351" s="41">
        <v>-8.4010478912481562E-2</v>
      </c>
      <c r="I3351" s="40">
        <v>23.80881408197353</v>
      </c>
      <c r="J3351" s="41">
        <v>6.6331330191880616E-2</v>
      </c>
      <c r="K3351" s="9" t="s">
        <v>4672</v>
      </c>
    </row>
    <row r="3352" spans="1:11" x14ac:dyDescent="0.2">
      <c r="A3352" s="9" t="s">
        <v>46</v>
      </c>
      <c r="B3352" s="9" t="s">
        <v>317</v>
      </c>
      <c r="C3352" s="9"/>
      <c r="D3352" s="9" t="s">
        <v>76</v>
      </c>
      <c r="E3352" s="38">
        <v>4371</v>
      </c>
      <c r="F3352" s="39">
        <v>2524908</v>
      </c>
      <c r="G3352" s="40">
        <v>577.64996568291008</v>
      </c>
      <c r="H3352" s="41">
        <v>0.17367938941752689</v>
      </c>
      <c r="I3352" s="40">
        <v>79.881949210706935</v>
      </c>
      <c r="J3352" s="41">
        <v>0.1382878108826143</v>
      </c>
      <c r="K3352" s="9" t="s">
        <v>4673</v>
      </c>
    </row>
    <row r="3353" spans="1:11" x14ac:dyDescent="0.2">
      <c r="A3353" s="9" t="s">
        <v>46</v>
      </c>
      <c r="B3353" s="9" t="s">
        <v>321</v>
      </c>
      <c r="C3353" s="9"/>
      <c r="D3353" s="9" t="s">
        <v>78</v>
      </c>
      <c r="E3353" s="38">
        <v>1389</v>
      </c>
      <c r="F3353" s="39">
        <v>1356396</v>
      </c>
      <c r="G3353" s="40">
        <v>976.52699784017284</v>
      </c>
      <c r="H3353" s="41">
        <v>-0.17749727652401129</v>
      </c>
      <c r="I3353" s="40">
        <v>160.29373650107991</v>
      </c>
      <c r="J3353" s="41">
        <v>0.1641467536029301</v>
      </c>
      <c r="K3353" s="9" t="s">
        <v>4674</v>
      </c>
    </row>
    <row r="3354" spans="1:11" x14ac:dyDescent="0.2">
      <c r="A3354" s="9" t="s">
        <v>46</v>
      </c>
      <c r="B3354" s="9" t="s">
        <v>323</v>
      </c>
      <c r="C3354" s="9"/>
      <c r="D3354" s="9" t="s">
        <v>81</v>
      </c>
      <c r="E3354" s="38">
        <v>4436</v>
      </c>
      <c r="F3354" s="39">
        <v>2547372</v>
      </c>
      <c r="G3354" s="40">
        <v>574.2497745716862</v>
      </c>
      <c r="H3354" s="41">
        <v>-1</v>
      </c>
      <c r="I3354" s="40">
        <v>45.941388638412988</v>
      </c>
      <c r="J3354" s="41">
        <v>8.0002449583335314E-2</v>
      </c>
      <c r="K3354" s="9" t="s">
        <v>4675</v>
      </c>
    </row>
    <row r="3355" spans="1:11" x14ac:dyDescent="0.2">
      <c r="A3355" s="9" t="s">
        <v>46</v>
      </c>
      <c r="B3355" s="9" t="s">
        <v>329</v>
      </c>
      <c r="C3355" s="9"/>
      <c r="D3355" s="9" t="s">
        <v>82</v>
      </c>
      <c r="E3355" s="38">
        <v>1350</v>
      </c>
      <c r="F3355" s="39">
        <v>86424</v>
      </c>
      <c r="G3355" s="40">
        <v>64.017777777777781</v>
      </c>
      <c r="H3355" s="41"/>
      <c r="I3355" s="40">
        <v>100</v>
      </c>
      <c r="J3355" s="41">
        <v>1.562066092752013E-2</v>
      </c>
      <c r="K3355" s="9" t="s">
        <v>4676</v>
      </c>
    </row>
    <row r="3356" spans="1:11" x14ac:dyDescent="0.2">
      <c r="A3356" s="9" t="s">
        <v>46</v>
      </c>
      <c r="B3356" s="9" t="s">
        <v>4677</v>
      </c>
      <c r="C3356" s="9"/>
      <c r="D3356" s="9" t="s">
        <v>86</v>
      </c>
      <c r="E3356" s="38">
        <v>128146</v>
      </c>
      <c r="F3356" s="39">
        <v>6931020</v>
      </c>
      <c r="G3356" s="40">
        <v>54.086900878685249</v>
      </c>
      <c r="H3356" s="41">
        <v>-0.17697201202256849</v>
      </c>
      <c r="I3356" s="40">
        <v>27.48998798245751</v>
      </c>
      <c r="J3356" s="41">
        <v>0.50825592769895345</v>
      </c>
      <c r="K3356" s="9" t="s">
        <v>4678</v>
      </c>
    </row>
    <row r="3357" spans="1:11" x14ac:dyDescent="0.2">
      <c r="A3357" s="9" t="s">
        <v>46</v>
      </c>
      <c r="B3357" s="9" t="s">
        <v>4679</v>
      </c>
      <c r="C3357" s="9"/>
      <c r="D3357" s="9" t="s">
        <v>83</v>
      </c>
      <c r="E3357" s="38">
        <v>2316</v>
      </c>
      <c r="F3357" s="39">
        <v>325668</v>
      </c>
      <c r="G3357" s="40">
        <v>140.61658031088081</v>
      </c>
      <c r="H3357" s="41">
        <v>0.1888952393425756</v>
      </c>
      <c r="I3357" s="40">
        <v>63.170984455958553</v>
      </c>
      <c r="J3357" s="41">
        <v>0.44924278713290838</v>
      </c>
      <c r="K3357" s="9" t="s">
        <v>4680</v>
      </c>
    </row>
    <row r="3358" spans="1:11" x14ac:dyDescent="0.2">
      <c r="A3358" s="9" t="s">
        <v>46</v>
      </c>
      <c r="B3358" s="9" t="s">
        <v>520</v>
      </c>
      <c r="C3358" s="9"/>
      <c r="D3358" s="9" t="s">
        <v>77</v>
      </c>
      <c r="E3358" s="38">
        <v>10665</v>
      </c>
      <c r="F3358" s="39">
        <v>2754396</v>
      </c>
      <c r="G3358" s="40">
        <v>258.2649789029536</v>
      </c>
      <c r="H3358" s="41">
        <v>0.1522836867101901</v>
      </c>
      <c r="I3358" s="40">
        <v>45.91279887482419</v>
      </c>
      <c r="J3358" s="41">
        <v>0.17777400199535581</v>
      </c>
      <c r="K3358" s="9" t="s">
        <v>4681</v>
      </c>
    </row>
    <row r="3359" spans="1:11" x14ac:dyDescent="0.2">
      <c r="A3359" s="9" t="s">
        <v>46</v>
      </c>
      <c r="B3359" s="9" t="s">
        <v>1943</v>
      </c>
      <c r="C3359" s="9"/>
      <c r="D3359" s="9" t="s">
        <v>76</v>
      </c>
      <c r="E3359" s="38">
        <v>7400</v>
      </c>
      <c r="F3359" s="39">
        <v>692952</v>
      </c>
      <c r="G3359" s="40">
        <v>93.642162162162165</v>
      </c>
      <c r="H3359" s="41">
        <v>-0.1166750821011886</v>
      </c>
      <c r="I3359" s="40">
        <v>9.3648648648648649</v>
      </c>
      <c r="J3359" s="41">
        <v>0.1000069268867108</v>
      </c>
      <c r="K3359" s="9" t="s">
        <v>4682</v>
      </c>
    </row>
    <row r="3360" spans="1:11" x14ac:dyDescent="0.2">
      <c r="A3360" s="9" t="s">
        <v>46</v>
      </c>
      <c r="B3360" s="9" t="s">
        <v>2851</v>
      </c>
      <c r="C3360" s="9"/>
      <c r="D3360" s="9" t="s">
        <v>80</v>
      </c>
      <c r="E3360" s="38">
        <v>682</v>
      </c>
      <c r="F3360" s="39">
        <v>2017128</v>
      </c>
      <c r="G3360" s="40">
        <v>2957.66568914956</v>
      </c>
      <c r="H3360" s="41">
        <v>-0.36495230694273939</v>
      </c>
      <c r="I3360" s="40">
        <v>498.51026392961882</v>
      </c>
      <c r="J3360" s="41">
        <v>0.16854855021595061</v>
      </c>
      <c r="K3360" s="9" t="s">
        <v>4683</v>
      </c>
    </row>
    <row r="3361" spans="1:11" x14ac:dyDescent="0.2">
      <c r="A3361" s="9" t="s">
        <v>46</v>
      </c>
      <c r="B3361" s="9" t="s">
        <v>343</v>
      </c>
      <c r="C3361" s="9"/>
      <c r="D3361" s="9" t="s">
        <v>79</v>
      </c>
      <c r="E3361" s="38">
        <v>4853</v>
      </c>
      <c r="F3361" s="39">
        <v>7898760</v>
      </c>
      <c r="G3361" s="40">
        <v>1627.6035441994641</v>
      </c>
      <c r="H3361" s="41">
        <v>7.5970439118229011E-2</v>
      </c>
      <c r="I3361" s="40">
        <v>128.65938594683701</v>
      </c>
      <c r="J3361" s="41">
        <v>7.9048356957294563E-2</v>
      </c>
      <c r="K3361" s="9" t="s">
        <v>4684</v>
      </c>
    </row>
    <row r="3362" spans="1:11" x14ac:dyDescent="0.2">
      <c r="A3362" s="9" t="s">
        <v>46</v>
      </c>
      <c r="B3362" s="9" t="s">
        <v>1296</v>
      </c>
      <c r="C3362" s="9"/>
      <c r="D3362" s="9" t="s">
        <v>82</v>
      </c>
      <c r="E3362" s="38">
        <v>2100</v>
      </c>
      <c r="F3362" s="39">
        <v>586092</v>
      </c>
      <c r="G3362" s="40">
        <v>279.09142857142859</v>
      </c>
      <c r="H3362" s="41">
        <v>-0.12462483952996151</v>
      </c>
      <c r="I3362" s="40">
        <v>40.96</v>
      </c>
      <c r="J3362" s="41">
        <v>0.14676194181118321</v>
      </c>
      <c r="K3362" s="9" t="s">
        <v>4685</v>
      </c>
    </row>
    <row r="3363" spans="1:11" x14ac:dyDescent="0.2">
      <c r="A3363" s="9" t="s">
        <v>46</v>
      </c>
      <c r="B3363" s="9" t="s">
        <v>355</v>
      </c>
      <c r="C3363" s="9"/>
      <c r="D3363" s="9" t="s">
        <v>82</v>
      </c>
      <c r="E3363" s="38">
        <v>1700</v>
      </c>
      <c r="F3363" s="39">
        <v>1380672</v>
      </c>
      <c r="G3363" s="40">
        <v>812.16</v>
      </c>
      <c r="H3363" s="41">
        <v>-6.5780777067998189E-2</v>
      </c>
      <c r="I3363" s="40">
        <v>127.5529411764706</v>
      </c>
      <c r="J3363" s="41">
        <v>0.1570539563343068</v>
      </c>
      <c r="K3363" s="9" t="s">
        <v>4686</v>
      </c>
    </row>
    <row r="3364" spans="1:11" x14ac:dyDescent="0.2">
      <c r="A3364" s="9" t="s">
        <v>46</v>
      </c>
      <c r="B3364" s="9" t="s">
        <v>538</v>
      </c>
      <c r="C3364" s="9"/>
      <c r="D3364" s="9" t="s">
        <v>80</v>
      </c>
      <c r="E3364" s="38">
        <v>288</v>
      </c>
      <c r="F3364" s="39">
        <v>1064868</v>
      </c>
      <c r="G3364" s="40">
        <v>3697.458333333333</v>
      </c>
      <c r="H3364" s="41">
        <v>-6.5279034522775004E-2</v>
      </c>
      <c r="I3364" s="40">
        <v>378.41666666666669</v>
      </c>
      <c r="J3364" s="41">
        <v>0.10234507939012159</v>
      </c>
      <c r="K3364" s="9" t="s">
        <v>4687</v>
      </c>
    </row>
    <row r="3365" spans="1:11" x14ac:dyDescent="0.2">
      <c r="A3365" s="9" t="s">
        <v>46</v>
      </c>
      <c r="B3365" s="9" t="s">
        <v>4688</v>
      </c>
      <c r="C3365" s="9"/>
      <c r="D3365" s="9" t="s">
        <v>81</v>
      </c>
      <c r="E3365" s="38">
        <v>230</v>
      </c>
      <c r="F3365" s="39">
        <v>462240</v>
      </c>
      <c r="G3365" s="40">
        <v>2009.739130434783</v>
      </c>
      <c r="H3365" s="41">
        <v>-3.3026863927978697E-2</v>
      </c>
      <c r="I3365" s="40">
        <v>408.46956521739128</v>
      </c>
      <c r="J3365" s="41">
        <v>0.20324506749740401</v>
      </c>
      <c r="K3365" s="9" t="s">
        <v>4689</v>
      </c>
    </row>
    <row r="3366" spans="1:11" x14ac:dyDescent="0.2">
      <c r="A3366" s="9" t="s">
        <v>46</v>
      </c>
      <c r="B3366" s="9" t="s">
        <v>365</v>
      </c>
      <c r="C3366" s="9"/>
      <c r="D3366" s="9" t="s">
        <v>81</v>
      </c>
      <c r="E3366" s="38">
        <v>9185</v>
      </c>
      <c r="F3366" s="39">
        <v>11804376</v>
      </c>
      <c r="G3366" s="40">
        <v>1285.179749591726</v>
      </c>
      <c r="H3366" s="41">
        <v>6.904078176268759E-4</v>
      </c>
      <c r="I3366" s="40">
        <v>70.249319542732721</v>
      </c>
      <c r="J3366" s="41">
        <v>5.4661085007797108E-2</v>
      </c>
      <c r="K3366" s="9" t="s">
        <v>4690</v>
      </c>
    </row>
    <row r="3367" spans="1:11" x14ac:dyDescent="0.2">
      <c r="A3367" s="9" t="s">
        <v>46</v>
      </c>
      <c r="B3367" s="9" t="s">
        <v>550</v>
      </c>
      <c r="C3367" s="9"/>
      <c r="D3367" s="9" t="s">
        <v>76</v>
      </c>
      <c r="E3367" s="38">
        <v>4200</v>
      </c>
      <c r="F3367" s="39">
        <v>970440</v>
      </c>
      <c r="G3367" s="40">
        <v>231.05714285714279</v>
      </c>
      <c r="H3367" s="41">
        <v>-9.3352162412887837E-2</v>
      </c>
      <c r="I3367" s="40">
        <v>34.674285714285723</v>
      </c>
      <c r="J3367" s="41">
        <v>0.1500680103870409</v>
      </c>
      <c r="K3367" s="9" t="s">
        <v>4691</v>
      </c>
    </row>
    <row r="3368" spans="1:11" x14ac:dyDescent="0.2">
      <c r="A3368" s="9" t="s">
        <v>46</v>
      </c>
      <c r="B3368" s="9" t="s">
        <v>4692</v>
      </c>
      <c r="C3368" s="9"/>
      <c r="D3368" s="9" t="s">
        <v>80</v>
      </c>
      <c r="E3368" s="38">
        <v>1186</v>
      </c>
      <c r="F3368" s="39">
        <v>455076</v>
      </c>
      <c r="G3368" s="40">
        <v>383.70657672849921</v>
      </c>
      <c r="H3368" s="41">
        <v>-0.15530975090878921</v>
      </c>
      <c r="I3368" s="40">
        <v>60.728499156829677</v>
      </c>
      <c r="J3368" s="41">
        <v>0.15826806950926881</v>
      </c>
      <c r="K3368" s="9" t="s">
        <v>4693</v>
      </c>
    </row>
    <row r="3369" spans="1:11" x14ac:dyDescent="0.2">
      <c r="A3369" s="9" t="s">
        <v>46</v>
      </c>
      <c r="B3369" s="9" t="s">
        <v>554</v>
      </c>
      <c r="C3369" s="9"/>
      <c r="D3369" s="9" t="s">
        <v>76</v>
      </c>
      <c r="E3369" s="38">
        <v>6502</v>
      </c>
      <c r="F3369" s="39">
        <v>1571256</v>
      </c>
      <c r="G3369" s="40">
        <v>241.65733620424481</v>
      </c>
      <c r="H3369" s="41">
        <v>-0.1103820482041811</v>
      </c>
      <c r="I3369" s="40">
        <v>24.166102737619191</v>
      </c>
      <c r="J3369" s="41">
        <v>0.100001527440468</v>
      </c>
      <c r="K3369" s="9" t="s">
        <v>4694</v>
      </c>
    </row>
    <row r="3370" spans="1:11" x14ac:dyDescent="0.2">
      <c r="A3370" s="9" t="s">
        <v>46</v>
      </c>
      <c r="B3370" s="9" t="s">
        <v>367</v>
      </c>
      <c r="C3370" s="9"/>
      <c r="D3370" s="9" t="s">
        <v>76</v>
      </c>
      <c r="E3370" s="38">
        <v>6793</v>
      </c>
      <c r="F3370" s="39">
        <v>1293576</v>
      </c>
      <c r="G3370" s="40">
        <v>190.42779331664951</v>
      </c>
      <c r="H3370" s="41"/>
      <c r="I3370" s="40">
        <v>26.499631974090981</v>
      </c>
      <c r="J3370" s="41">
        <v>0.13915842594482269</v>
      </c>
      <c r="K3370" s="9" t="s">
        <v>4695</v>
      </c>
    </row>
    <row r="3371" spans="1:11" x14ac:dyDescent="0.2">
      <c r="A3371" s="9" t="s">
        <v>46</v>
      </c>
      <c r="B3371" s="9" t="s">
        <v>369</v>
      </c>
      <c r="C3371" s="9"/>
      <c r="D3371" s="9" t="s">
        <v>84</v>
      </c>
      <c r="E3371" s="38">
        <v>1359</v>
      </c>
      <c r="F3371" s="39">
        <v>5401020</v>
      </c>
      <c r="G3371" s="40">
        <v>3974.2604856512139</v>
      </c>
      <c r="H3371" s="41">
        <v>2.8319080961251429E-2</v>
      </c>
      <c r="I3371" s="40">
        <v>137.40397350993379</v>
      </c>
      <c r="J3371" s="41">
        <v>3.4573469455769459E-2</v>
      </c>
      <c r="K3371" s="9" t="s">
        <v>4696</v>
      </c>
    </row>
    <row r="3372" spans="1:11" x14ac:dyDescent="0.2">
      <c r="A3372" s="9" t="s">
        <v>46</v>
      </c>
      <c r="B3372" s="9" t="s">
        <v>4697</v>
      </c>
      <c r="C3372" s="9"/>
      <c r="D3372" s="9" t="s">
        <v>80</v>
      </c>
      <c r="E3372" s="38">
        <v>744</v>
      </c>
      <c r="F3372" s="39">
        <v>845016</v>
      </c>
      <c r="G3372" s="40">
        <v>1135.7741935483871</v>
      </c>
      <c r="H3372" s="41">
        <v>-8.8755602380315726E-2</v>
      </c>
      <c r="I3372" s="40">
        <v>248.38709677419351</v>
      </c>
      <c r="J3372" s="41">
        <v>0.21869408389900311</v>
      </c>
      <c r="K3372" s="9" t="s">
        <v>4698</v>
      </c>
    </row>
    <row r="3373" spans="1:11" x14ac:dyDescent="0.2">
      <c r="A3373" s="9" t="s">
        <v>46</v>
      </c>
      <c r="B3373" s="9" t="s">
        <v>386</v>
      </c>
      <c r="C3373" s="9"/>
      <c r="D3373" s="9" t="s">
        <v>84</v>
      </c>
      <c r="E3373" s="38">
        <v>2415</v>
      </c>
      <c r="F3373" s="39">
        <v>0</v>
      </c>
      <c r="G3373" s="40"/>
      <c r="H3373" s="41"/>
      <c r="I3373" s="40">
        <v>89.863354037267086</v>
      </c>
      <c r="J3373" s="41"/>
      <c r="K3373" s="9" t="s">
        <v>4699</v>
      </c>
    </row>
    <row r="3374" spans="1:11" x14ac:dyDescent="0.2">
      <c r="A3374" s="9" t="s">
        <v>46</v>
      </c>
      <c r="B3374" s="9" t="s">
        <v>388</v>
      </c>
      <c r="C3374" s="9"/>
      <c r="D3374" s="9" t="s">
        <v>76</v>
      </c>
      <c r="E3374" s="38">
        <v>9456</v>
      </c>
      <c r="F3374" s="39">
        <v>5389668</v>
      </c>
      <c r="G3374" s="40">
        <v>569.9733502538071</v>
      </c>
      <c r="H3374" s="41">
        <v>5.7160237643678526E-3</v>
      </c>
      <c r="I3374" s="40">
        <v>87.270304568527919</v>
      </c>
      <c r="J3374" s="41">
        <v>0.15311295612271481</v>
      </c>
      <c r="K3374" s="9" t="s">
        <v>4700</v>
      </c>
    </row>
    <row r="3375" spans="1:11" x14ac:dyDescent="0.2">
      <c r="A3375" s="9" t="s">
        <v>46</v>
      </c>
      <c r="B3375" s="9" t="s">
        <v>392</v>
      </c>
      <c r="C3375" s="9"/>
      <c r="D3375" s="9" t="s">
        <v>76</v>
      </c>
      <c r="E3375" s="38">
        <v>5083</v>
      </c>
      <c r="F3375" s="39">
        <v>1743540</v>
      </c>
      <c r="G3375" s="40">
        <v>343.01396812905762</v>
      </c>
      <c r="H3375" s="41">
        <v>-6.2466054906232957E-2</v>
      </c>
      <c r="I3375" s="40">
        <v>55.54278969112729</v>
      </c>
      <c r="J3375" s="41">
        <v>0.1619257372930934</v>
      </c>
      <c r="K3375" s="9" t="s">
        <v>4701</v>
      </c>
    </row>
    <row r="3376" spans="1:11" x14ac:dyDescent="0.2">
      <c r="A3376" s="9" t="s">
        <v>46</v>
      </c>
      <c r="B3376" s="9" t="s">
        <v>396</v>
      </c>
      <c r="C3376" s="9"/>
      <c r="D3376" s="9" t="s">
        <v>78</v>
      </c>
      <c r="E3376" s="38">
        <v>1601</v>
      </c>
      <c r="F3376" s="39">
        <v>1138020</v>
      </c>
      <c r="G3376" s="40">
        <v>710.81823860087445</v>
      </c>
      <c r="H3376" s="41">
        <v>-6.4006680248647627E-2</v>
      </c>
      <c r="I3376" s="40">
        <v>125.2542161149282</v>
      </c>
      <c r="J3376" s="41">
        <v>0.1762113143881478</v>
      </c>
      <c r="K3376" s="9" t="s">
        <v>4702</v>
      </c>
    </row>
    <row r="3377" spans="1:11" x14ac:dyDescent="0.2">
      <c r="A3377" s="9" t="s">
        <v>46</v>
      </c>
      <c r="B3377" s="9" t="s">
        <v>579</v>
      </c>
      <c r="C3377" s="9"/>
      <c r="D3377" s="9" t="s">
        <v>76</v>
      </c>
      <c r="E3377" s="38">
        <v>23580</v>
      </c>
      <c r="F3377" s="39">
        <v>10178112</v>
      </c>
      <c r="G3377" s="40">
        <v>431.64173027989818</v>
      </c>
      <c r="H3377" s="41">
        <v>-0.2725119303900056</v>
      </c>
      <c r="I3377" s="40">
        <v>90.409669211195933</v>
      </c>
      <c r="J3377" s="41">
        <v>0.20945534888985301</v>
      </c>
      <c r="K3377" s="9" t="s">
        <v>4703</v>
      </c>
    </row>
    <row r="3378" spans="1:11" x14ac:dyDescent="0.2">
      <c r="A3378" s="9" t="s">
        <v>46</v>
      </c>
      <c r="B3378" s="9" t="s">
        <v>398</v>
      </c>
      <c r="C3378" s="9"/>
      <c r="D3378" s="9" t="s">
        <v>76</v>
      </c>
      <c r="E3378" s="38">
        <v>2824</v>
      </c>
      <c r="F3378" s="39">
        <v>1058004</v>
      </c>
      <c r="G3378" s="40">
        <v>374.6473087818697</v>
      </c>
      <c r="H3378" s="41">
        <v>-8.5548238456039358E-2</v>
      </c>
      <c r="I3378" s="40">
        <v>52.270538243626063</v>
      </c>
      <c r="J3378" s="41">
        <v>0.13951932128801031</v>
      </c>
      <c r="K3378" s="9" t="s">
        <v>4704</v>
      </c>
    </row>
    <row r="3379" spans="1:11" x14ac:dyDescent="0.2">
      <c r="A3379" s="9" t="s">
        <v>30</v>
      </c>
      <c r="B3379" s="9" t="s">
        <v>650</v>
      </c>
      <c r="C3379" s="9"/>
      <c r="D3379" s="9" t="s">
        <v>76</v>
      </c>
      <c r="E3379" s="38">
        <v>5342</v>
      </c>
      <c r="F3379" s="39">
        <v>0</v>
      </c>
      <c r="G3379" s="40"/>
      <c r="H3379" s="41"/>
      <c r="I3379" s="40">
        <v>100.0845609848006</v>
      </c>
      <c r="J3379" s="41"/>
      <c r="K3379" s="9" t="s">
        <v>4705</v>
      </c>
    </row>
    <row r="3380" spans="1:11" x14ac:dyDescent="0.2">
      <c r="A3380" s="9" t="s">
        <v>30</v>
      </c>
      <c r="B3380" s="9" t="s">
        <v>4706</v>
      </c>
      <c r="C3380" s="9"/>
      <c r="D3380" s="9" t="s">
        <v>76</v>
      </c>
      <c r="E3380" s="38">
        <v>1961</v>
      </c>
      <c r="F3380" s="39">
        <v>1105153.0363636359</v>
      </c>
      <c r="G3380" s="40">
        <v>563.56605627926388</v>
      </c>
      <c r="H3380" s="41"/>
      <c r="I3380" s="40">
        <v>94.661307119499071</v>
      </c>
      <c r="J3380" s="41">
        <v>0.1679684325639931</v>
      </c>
      <c r="K3380" s="9" t="s">
        <v>4707</v>
      </c>
    </row>
    <row r="3381" spans="1:11" x14ac:dyDescent="0.2">
      <c r="A3381" s="9" t="s">
        <v>30</v>
      </c>
      <c r="B3381" s="9" t="s">
        <v>4708</v>
      </c>
      <c r="C3381" s="9"/>
      <c r="D3381" s="9" t="s">
        <v>76</v>
      </c>
      <c r="E3381" s="38">
        <v>1646</v>
      </c>
      <c r="F3381" s="39">
        <v>2303345.5920000002</v>
      </c>
      <c r="G3381" s="40">
        <v>1399.3594119076549</v>
      </c>
      <c r="H3381" s="41"/>
      <c r="I3381" s="40">
        <v>156.0297192701675</v>
      </c>
      <c r="J3381" s="41">
        <v>0.111500818118958</v>
      </c>
      <c r="K3381" s="9" t="s">
        <v>4709</v>
      </c>
    </row>
    <row r="3382" spans="1:11" x14ac:dyDescent="0.2">
      <c r="A3382" s="9" t="s">
        <v>30</v>
      </c>
      <c r="B3382" s="9" t="s">
        <v>981</v>
      </c>
      <c r="C3382" s="9"/>
      <c r="D3382" s="9" t="s">
        <v>76</v>
      </c>
      <c r="E3382" s="38">
        <v>11659</v>
      </c>
      <c r="F3382" s="39">
        <v>4185615.71</v>
      </c>
      <c r="G3382" s="40">
        <v>359.00297709923672</v>
      </c>
      <c r="H3382" s="41">
        <v>0.60930007463808422</v>
      </c>
      <c r="I3382" s="40">
        <v>66.496319702974773</v>
      </c>
      <c r="J3382" s="41">
        <v>0.185224981252993</v>
      </c>
      <c r="K3382" s="9" t="s">
        <v>4710</v>
      </c>
    </row>
    <row r="3383" spans="1:11" x14ac:dyDescent="0.2">
      <c r="A3383" s="9" t="s">
        <v>30</v>
      </c>
      <c r="B3383" s="9" t="s">
        <v>4711</v>
      </c>
      <c r="C3383" s="9"/>
      <c r="D3383" s="9" t="s">
        <v>76</v>
      </c>
      <c r="E3383" s="38">
        <v>2250</v>
      </c>
      <c r="F3383" s="39">
        <v>777643.50545454537</v>
      </c>
      <c r="G3383" s="40">
        <v>345.6193357575757</v>
      </c>
      <c r="H3383" s="41"/>
      <c r="I3383" s="40">
        <v>123.2368690487604</v>
      </c>
      <c r="J3383" s="41">
        <v>0.35656821334556688</v>
      </c>
      <c r="K3383" s="9" t="s">
        <v>4712</v>
      </c>
    </row>
    <row r="3384" spans="1:11" x14ac:dyDescent="0.2">
      <c r="A3384" s="9" t="s">
        <v>30</v>
      </c>
      <c r="B3384" s="9" t="s">
        <v>87</v>
      </c>
      <c r="C3384" s="9"/>
      <c r="D3384" s="9" t="s">
        <v>87</v>
      </c>
      <c r="E3384" s="38">
        <v>9990</v>
      </c>
      <c r="F3384" s="39">
        <v>53883843.640000001</v>
      </c>
      <c r="G3384" s="40">
        <v>5393.7781421421423</v>
      </c>
      <c r="H3384" s="41">
        <v>-0.1425560907256791</v>
      </c>
      <c r="I3384" s="40">
        <v>93.384660660660657</v>
      </c>
      <c r="J3384" s="41">
        <v>1.7313404111125131E-2</v>
      </c>
      <c r="K3384" s="9" t="s">
        <v>4713</v>
      </c>
    </row>
    <row r="3385" spans="1:11" x14ac:dyDescent="0.2">
      <c r="A3385" s="9" t="s">
        <v>30</v>
      </c>
      <c r="B3385" s="9" t="s">
        <v>1074</v>
      </c>
      <c r="C3385" s="9"/>
      <c r="D3385" s="9" t="s">
        <v>87</v>
      </c>
      <c r="E3385" s="38">
        <v>755</v>
      </c>
      <c r="F3385" s="39">
        <v>0</v>
      </c>
      <c r="G3385" s="40"/>
      <c r="H3385" s="41"/>
      <c r="I3385" s="40">
        <v>25.990000000000059</v>
      </c>
      <c r="J3385" s="41"/>
      <c r="K3385" s="9" t="s">
        <v>4714</v>
      </c>
    </row>
    <row r="3386" spans="1:11" x14ac:dyDescent="0.2">
      <c r="A3386" s="9" t="s">
        <v>30</v>
      </c>
      <c r="B3386" s="9" t="s">
        <v>4715</v>
      </c>
      <c r="C3386" s="9"/>
      <c r="D3386" s="9" t="s">
        <v>76</v>
      </c>
      <c r="E3386" s="38">
        <v>5013</v>
      </c>
      <c r="F3386" s="39">
        <v>0</v>
      </c>
      <c r="G3386" s="40"/>
      <c r="H3386" s="41"/>
      <c r="I3386" s="40">
        <v>90.618956446191021</v>
      </c>
      <c r="J3386" s="41"/>
      <c r="K3386" s="9" t="s">
        <v>4716</v>
      </c>
    </row>
    <row r="3387" spans="1:11" x14ac:dyDescent="0.2">
      <c r="A3387" s="9" t="s">
        <v>30</v>
      </c>
      <c r="B3387" s="9" t="s">
        <v>4717</v>
      </c>
      <c r="C3387" s="9"/>
      <c r="D3387" s="9" t="s">
        <v>79</v>
      </c>
      <c r="E3387" s="38">
        <v>1713</v>
      </c>
      <c r="F3387" s="39">
        <v>0</v>
      </c>
      <c r="G3387" s="40"/>
      <c r="H3387" s="41"/>
      <c r="I3387" s="40">
        <v>103.78678960636439</v>
      </c>
      <c r="J3387" s="41"/>
      <c r="K3387" s="9" t="s">
        <v>4718</v>
      </c>
    </row>
    <row r="3388" spans="1:11" x14ac:dyDescent="0.2">
      <c r="A3388" s="9" t="s">
        <v>30</v>
      </c>
      <c r="B3388" s="9" t="s">
        <v>179</v>
      </c>
      <c r="C3388" s="9"/>
      <c r="D3388" s="9" t="s">
        <v>79</v>
      </c>
      <c r="E3388" s="38">
        <v>3299</v>
      </c>
      <c r="F3388" s="39">
        <v>1623851</v>
      </c>
      <c r="G3388" s="40">
        <v>492.22521976356472</v>
      </c>
      <c r="H3388" s="41">
        <v>-8.3835058335622922E-2</v>
      </c>
      <c r="I3388" s="40">
        <v>76.286356446191107</v>
      </c>
      <c r="J3388" s="41">
        <v>0.15498262458562051</v>
      </c>
      <c r="K3388" s="9" t="s">
        <v>4719</v>
      </c>
    </row>
    <row r="3389" spans="1:11" x14ac:dyDescent="0.2">
      <c r="A3389" s="9" t="s">
        <v>30</v>
      </c>
      <c r="B3389" s="9" t="s">
        <v>4720</v>
      </c>
      <c r="C3389" s="9"/>
      <c r="D3389" s="9" t="s">
        <v>76</v>
      </c>
      <c r="E3389" s="38">
        <v>1660</v>
      </c>
      <c r="F3389" s="39">
        <v>342927.74</v>
      </c>
      <c r="G3389" s="40">
        <v>206.58297590361451</v>
      </c>
      <c r="H3389" s="41"/>
      <c r="I3389" s="40">
        <v>93.385331215884875</v>
      </c>
      <c r="J3389" s="41">
        <v>0.45204756494289122</v>
      </c>
      <c r="K3389" s="9" t="s">
        <v>4721</v>
      </c>
    </row>
    <row r="3390" spans="1:11" x14ac:dyDescent="0.2">
      <c r="A3390" s="9" t="s">
        <v>30</v>
      </c>
      <c r="B3390" s="9" t="s">
        <v>4722</v>
      </c>
      <c r="C3390" s="9"/>
      <c r="D3390" s="9" t="s">
        <v>80</v>
      </c>
      <c r="E3390" s="38">
        <v>1005</v>
      </c>
      <c r="F3390" s="39">
        <v>156239.15</v>
      </c>
      <c r="G3390" s="40">
        <v>155.46184079601991</v>
      </c>
      <c r="H3390" s="41">
        <v>-0.35097114452807437</v>
      </c>
      <c r="I3390" s="40">
        <v>96.102957119499351</v>
      </c>
      <c r="J3390" s="41">
        <v>0.61817714641366672</v>
      </c>
      <c r="K3390" s="9" t="s">
        <v>4723</v>
      </c>
    </row>
    <row r="3391" spans="1:11" x14ac:dyDescent="0.2">
      <c r="A3391" s="9" t="s">
        <v>30</v>
      </c>
      <c r="B3391" s="9" t="s">
        <v>4724</v>
      </c>
      <c r="C3391" s="9"/>
      <c r="D3391" s="9" t="s">
        <v>76</v>
      </c>
      <c r="E3391" s="38">
        <v>1746</v>
      </c>
      <c r="F3391" s="39">
        <v>1045573.48</v>
      </c>
      <c r="G3391" s="40">
        <v>598.8393356242841</v>
      </c>
      <c r="H3391" s="41">
        <v>0.1129865045122191</v>
      </c>
      <c r="I3391" s="40">
        <v>70.826365535283713</v>
      </c>
      <c r="J3391" s="41">
        <v>0.1182727341406989</v>
      </c>
      <c r="K3391" s="9" t="s">
        <v>4725</v>
      </c>
    </row>
    <row r="3392" spans="1:11" x14ac:dyDescent="0.2">
      <c r="A3392" s="9" t="s">
        <v>30</v>
      </c>
      <c r="B3392" s="9" t="s">
        <v>4726</v>
      </c>
      <c r="C3392" s="9"/>
      <c r="D3392" s="9" t="s">
        <v>78</v>
      </c>
      <c r="E3392" s="38">
        <v>3307</v>
      </c>
      <c r="F3392" s="39">
        <v>5499539.71</v>
      </c>
      <c r="G3392" s="40">
        <v>1662.999609918355</v>
      </c>
      <c r="H3392" s="41">
        <v>0.64942915182585315</v>
      </c>
      <c r="I3392" s="40">
        <v>44.020732869670397</v>
      </c>
      <c r="J3392" s="41">
        <v>2.6470681416354391E-2</v>
      </c>
      <c r="K3392" s="9" t="s">
        <v>4727</v>
      </c>
    </row>
    <row r="3393" spans="1:11" x14ac:dyDescent="0.2">
      <c r="A3393" s="9" t="s">
        <v>30</v>
      </c>
      <c r="B3393" s="9" t="s">
        <v>4728</v>
      </c>
      <c r="C3393" s="9"/>
      <c r="D3393" s="9" t="s">
        <v>83</v>
      </c>
      <c r="E3393" s="38">
        <v>6121</v>
      </c>
      <c r="F3393" s="39">
        <v>0</v>
      </c>
      <c r="G3393" s="40"/>
      <c r="H3393" s="41">
        <v>-1</v>
      </c>
      <c r="I3393" s="40">
        <v>72.914635559983424</v>
      </c>
      <c r="J3393" s="41"/>
      <c r="K3393" s="9" t="s">
        <v>4729</v>
      </c>
    </row>
    <row r="3394" spans="1:11" x14ac:dyDescent="0.2">
      <c r="A3394" s="9" t="s">
        <v>30</v>
      </c>
      <c r="B3394" s="9" t="s">
        <v>4730</v>
      </c>
      <c r="C3394" s="9"/>
      <c r="D3394" s="9" t="s">
        <v>80</v>
      </c>
      <c r="E3394" s="38">
        <v>1285</v>
      </c>
      <c r="F3394" s="39">
        <v>428719.5</v>
      </c>
      <c r="G3394" s="40">
        <v>333.63385214007781</v>
      </c>
      <c r="H3394" s="41">
        <v>-9.239169040493371E-2</v>
      </c>
      <c r="I3394" s="40">
        <v>84.672718964185108</v>
      </c>
      <c r="J3394" s="41">
        <v>0.25378935147334758</v>
      </c>
      <c r="K3394" s="9" t="s">
        <v>4731</v>
      </c>
    </row>
    <row r="3395" spans="1:11" x14ac:dyDescent="0.2">
      <c r="A3395" s="9" t="s">
        <v>30</v>
      </c>
      <c r="B3395" s="9" t="s">
        <v>4732</v>
      </c>
      <c r="C3395" s="9"/>
      <c r="D3395" s="9" t="s">
        <v>82</v>
      </c>
      <c r="E3395" s="38">
        <v>1693</v>
      </c>
      <c r="F3395" s="39">
        <v>520908.06</v>
      </c>
      <c r="G3395" s="40">
        <v>307.68343768458362</v>
      </c>
      <c r="H3395" s="41">
        <v>-0.12938439914483449</v>
      </c>
      <c r="I3395" s="40">
        <v>97.210489399475648</v>
      </c>
      <c r="J3395" s="41">
        <v>0.31594319840877932</v>
      </c>
      <c r="K3395" s="9" t="s">
        <v>4733</v>
      </c>
    </row>
    <row r="3396" spans="1:11" x14ac:dyDescent="0.2">
      <c r="A3396" s="9" t="s">
        <v>30</v>
      </c>
      <c r="B3396" s="9" t="s">
        <v>4734</v>
      </c>
      <c r="C3396" s="9"/>
      <c r="D3396" s="9" t="s">
        <v>85</v>
      </c>
      <c r="E3396" s="38">
        <v>11962</v>
      </c>
      <c r="F3396" s="39">
        <v>5260521.1199999992</v>
      </c>
      <c r="G3396" s="40">
        <v>439.76936298277872</v>
      </c>
      <c r="H3396" s="41"/>
      <c r="I3396" s="40">
        <v>59.051195233622927</v>
      </c>
      <c r="J3396" s="41">
        <v>0.1342776468854093</v>
      </c>
      <c r="K3396" s="9" t="s">
        <v>4735</v>
      </c>
    </row>
    <row r="3397" spans="1:11" x14ac:dyDescent="0.2">
      <c r="A3397" s="9" t="s">
        <v>30</v>
      </c>
      <c r="B3397" s="9" t="s">
        <v>4736</v>
      </c>
      <c r="C3397" s="9"/>
      <c r="D3397" s="9" t="s">
        <v>83</v>
      </c>
      <c r="E3397" s="38">
        <v>5713</v>
      </c>
      <c r="F3397" s="39">
        <v>4481331.54</v>
      </c>
      <c r="G3397" s="40">
        <v>784.40951164011904</v>
      </c>
      <c r="H3397" s="41">
        <v>-0.46848945873502562</v>
      </c>
      <c r="I3397" s="40">
        <v>38.663232627341152</v>
      </c>
      <c r="J3397" s="41">
        <v>4.9289601991822272E-2</v>
      </c>
      <c r="K3397" s="9" t="s">
        <v>4737</v>
      </c>
    </row>
    <row r="3398" spans="1:11" x14ac:dyDescent="0.2">
      <c r="A3398" s="9" t="s">
        <v>30</v>
      </c>
      <c r="B3398" s="9" t="s">
        <v>2939</v>
      </c>
      <c r="C3398" s="9"/>
      <c r="D3398" s="9" t="s">
        <v>83</v>
      </c>
      <c r="E3398" s="38">
        <v>2014</v>
      </c>
      <c r="F3398" s="39">
        <v>0</v>
      </c>
      <c r="G3398" s="40"/>
      <c r="H3398" s="41"/>
      <c r="I3398" s="40">
        <v>134.18006136444191</v>
      </c>
      <c r="J3398" s="41"/>
      <c r="K3398" s="9" t="s">
        <v>4738</v>
      </c>
    </row>
    <row r="3399" spans="1:11" x14ac:dyDescent="0.2">
      <c r="A3399" s="9" t="s">
        <v>30</v>
      </c>
      <c r="B3399" s="9" t="s">
        <v>4739</v>
      </c>
      <c r="C3399" s="9"/>
      <c r="D3399" s="9" t="s">
        <v>80</v>
      </c>
      <c r="E3399" s="38">
        <v>1296</v>
      </c>
      <c r="F3399" s="39">
        <v>591918.74999999988</v>
      </c>
      <c r="G3399" s="40">
        <v>456.72743055555549</v>
      </c>
      <c r="H3399" s="41">
        <v>-5.5703352397331742E-2</v>
      </c>
      <c r="I3399" s="40">
        <v>89.847020936030461</v>
      </c>
      <c r="J3399" s="41">
        <v>0.19671912594945759</v>
      </c>
      <c r="K3399" s="9" t="s">
        <v>4740</v>
      </c>
    </row>
    <row r="3400" spans="1:11" x14ac:dyDescent="0.2">
      <c r="A3400" s="9" t="s">
        <v>30</v>
      </c>
      <c r="B3400" s="9" t="s">
        <v>4741</v>
      </c>
      <c r="C3400" s="9"/>
      <c r="D3400" s="9" t="s">
        <v>85</v>
      </c>
      <c r="E3400" s="38">
        <v>10798</v>
      </c>
      <c r="F3400" s="39">
        <v>13563704.51</v>
      </c>
      <c r="G3400" s="40">
        <v>1256.1311826264121</v>
      </c>
      <c r="H3400" s="41">
        <v>4.2221243256511928E-2</v>
      </c>
      <c r="I3400" s="40">
        <v>79.508320753843336</v>
      </c>
      <c r="J3400" s="41">
        <v>6.3296192191966333E-2</v>
      </c>
      <c r="K3400" s="9" t="s">
        <v>4742</v>
      </c>
    </row>
    <row r="3401" spans="1:11" x14ac:dyDescent="0.2">
      <c r="A3401" s="9" t="s">
        <v>30</v>
      </c>
      <c r="B3401" s="9" t="s">
        <v>4743</v>
      </c>
      <c r="C3401" s="9"/>
      <c r="D3401" s="9" t="s">
        <v>85</v>
      </c>
      <c r="E3401" s="38">
        <v>15115</v>
      </c>
      <c r="F3401" s="39">
        <v>5838473.6299999999</v>
      </c>
      <c r="G3401" s="40">
        <v>386.27017069136622</v>
      </c>
      <c r="H3401" s="41">
        <v>-0.18919758440157861</v>
      </c>
      <c r="I3401" s="40">
        <v>56.559999999999967</v>
      </c>
      <c r="J3401" s="41">
        <v>0.14642601032009789</v>
      </c>
      <c r="K3401" s="9" t="s">
        <v>4744</v>
      </c>
    </row>
    <row r="3402" spans="1:11" x14ac:dyDescent="0.2">
      <c r="A3402" s="9" t="s">
        <v>30</v>
      </c>
      <c r="B3402" s="9" t="s">
        <v>4745</v>
      </c>
      <c r="C3402" s="9"/>
      <c r="D3402" s="9" t="s">
        <v>81</v>
      </c>
      <c r="E3402" s="38">
        <v>9224</v>
      </c>
      <c r="F3402" s="39">
        <v>22304773.59999999</v>
      </c>
      <c r="G3402" s="40">
        <v>2418.1237640936679</v>
      </c>
      <c r="H3402" s="41">
        <v>9.6554375231353406E-2</v>
      </c>
      <c r="I3402" s="40">
        <v>172.74056709029509</v>
      </c>
      <c r="J3402" s="41">
        <v>7.1435784079910233E-2</v>
      </c>
      <c r="K3402" s="9" t="s">
        <v>4746</v>
      </c>
    </row>
    <row r="3403" spans="1:11" x14ac:dyDescent="0.2">
      <c r="A3403" s="9" t="s">
        <v>30</v>
      </c>
      <c r="B3403" s="9" t="s">
        <v>2945</v>
      </c>
      <c r="C3403" s="9"/>
      <c r="D3403" s="9" t="s">
        <v>83</v>
      </c>
      <c r="E3403" s="38">
        <v>1302</v>
      </c>
      <c r="F3403" s="39">
        <v>1382833</v>
      </c>
      <c r="G3403" s="40">
        <v>1062.0837173579109</v>
      </c>
      <c r="H3403" s="41">
        <v>6.6686268017618802E-2</v>
      </c>
      <c r="I3403" s="40">
        <v>80.111973297311209</v>
      </c>
      <c r="J3403" s="41">
        <v>7.5429057039497316E-2</v>
      </c>
      <c r="K3403" s="9" t="s">
        <v>4747</v>
      </c>
    </row>
    <row r="3404" spans="1:11" x14ac:dyDescent="0.2">
      <c r="A3404" s="9" t="s">
        <v>30</v>
      </c>
      <c r="B3404" s="9" t="s">
        <v>4748</v>
      </c>
      <c r="C3404" s="9"/>
      <c r="D3404" s="9" t="s">
        <v>83</v>
      </c>
      <c r="E3404" s="38">
        <v>3976</v>
      </c>
      <c r="F3404" s="39">
        <v>0</v>
      </c>
      <c r="G3404" s="40"/>
      <c r="H3404" s="41"/>
      <c r="I3404" s="40">
        <v>94.036010060362187</v>
      </c>
      <c r="J3404" s="41"/>
      <c r="K3404" s="9" t="s">
        <v>4749</v>
      </c>
    </row>
    <row r="3405" spans="1:11" x14ac:dyDescent="0.2">
      <c r="A3405" s="9" t="s">
        <v>30</v>
      </c>
      <c r="B3405" s="9" t="s">
        <v>4750</v>
      </c>
      <c r="C3405" s="9"/>
      <c r="D3405" s="9" t="s">
        <v>81</v>
      </c>
      <c r="E3405" s="38">
        <v>8739</v>
      </c>
      <c r="F3405" s="39">
        <v>7704846.6400000006</v>
      </c>
      <c r="G3405" s="40">
        <v>881.66227714841523</v>
      </c>
      <c r="H3405" s="41">
        <v>3.3020513272935988E-2</v>
      </c>
      <c r="I3405" s="40">
        <v>71.5018344200504</v>
      </c>
      <c r="J3405" s="41">
        <v>8.1098892709020931E-2</v>
      </c>
      <c r="K3405" s="9" t="s">
        <v>4751</v>
      </c>
    </row>
    <row r="3406" spans="1:11" x14ac:dyDescent="0.2">
      <c r="A3406" s="9" t="s">
        <v>30</v>
      </c>
      <c r="B3406" s="9" t="s">
        <v>4752</v>
      </c>
      <c r="C3406" s="9"/>
      <c r="D3406" s="9" t="s">
        <v>81</v>
      </c>
      <c r="E3406" s="38">
        <v>8000</v>
      </c>
      <c r="F3406" s="39">
        <v>0</v>
      </c>
      <c r="G3406" s="40"/>
      <c r="H3406" s="41">
        <v>-0.51772675206484653</v>
      </c>
      <c r="I3406" s="40">
        <v>78.828462459682342</v>
      </c>
      <c r="J3406" s="41"/>
      <c r="K3406" s="9" t="s">
        <v>4753</v>
      </c>
    </row>
    <row r="3407" spans="1:11" x14ac:dyDescent="0.2">
      <c r="A3407" s="9" t="s">
        <v>30</v>
      </c>
      <c r="B3407" s="9" t="s">
        <v>4115</v>
      </c>
      <c r="C3407" s="9"/>
      <c r="D3407" s="9" t="s">
        <v>76</v>
      </c>
      <c r="E3407" s="38">
        <v>1237</v>
      </c>
      <c r="F3407" s="39">
        <v>931544</v>
      </c>
      <c r="G3407" s="40">
        <v>753.0670978172999</v>
      </c>
      <c r="H3407" s="41">
        <v>4.2031046572938359E-2</v>
      </c>
      <c r="I3407" s="40">
        <v>118.0445609848006</v>
      </c>
      <c r="J3407" s="41">
        <v>0.15675171751221439</v>
      </c>
      <c r="K3407" s="9" t="s">
        <v>4754</v>
      </c>
    </row>
    <row r="3408" spans="1:11" x14ac:dyDescent="0.2">
      <c r="A3408" s="9" t="s">
        <v>30</v>
      </c>
      <c r="B3408" s="9" t="s">
        <v>1233</v>
      </c>
      <c r="C3408" s="9"/>
      <c r="D3408" s="9" t="s">
        <v>83</v>
      </c>
      <c r="E3408" s="38">
        <v>9</v>
      </c>
      <c r="F3408" s="39">
        <v>0</v>
      </c>
      <c r="G3408" s="40"/>
      <c r="H3408" s="41">
        <v>-0.55500000000000005</v>
      </c>
      <c r="I3408" s="40">
        <v>133.33000000000001</v>
      </c>
      <c r="J3408" s="41"/>
      <c r="K3408" s="9" t="s">
        <v>4755</v>
      </c>
    </row>
    <row r="3409" spans="1:11" x14ac:dyDescent="0.2">
      <c r="A3409" s="9" t="s">
        <v>30</v>
      </c>
      <c r="B3409" s="9" t="s">
        <v>1236</v>
      </c>
      <c r="C3409" s="9"/>
      <c r="D3409" s="9" t="s">
        <v>76</v>
      </c>
      <c r="E3409" s="38">
        <v>2563</v>
      </c>
      <c r="F3409" s="39">
        <v>965176.83</v>
      </c>
      <c r="G3409" s="40">
        <v>376.58089348419821</v>
      </c>
      <c r="H3409" s="41">
        <v>2.731550719265903E-3</v>
      </c>
      <c r="I3409" s="40">
        <v>109.8425876111107</v>
      </c>
      <c r="J3409" s="41">
        <v>0.29168391044703867</v>
      </c>
      <c r="K3409" s="9" t="s">
        <v>4756</v>
      </c>
    </row>
    <row r="3410" spans="1:11" x14ac:dyDescent="0.2">
      <c r="A3410" s="9" t="s">
        <v>30</v>
      </c>
      <c r="B3410" s="9" t="s">
        <v>4757</v>
      </c>
      <c r="C3410" s="9"/>
      <c r="D3410" s="9" t="s">
        <v>76</v>
      </c>
      <c r="E3410" s="38">
        <v>2182</v>
      </c>
      <c r="F3410" s="39">
        <v>1767815.88</v>
      </c>
      <c r="G3410" s="40">
        <v>810.18142988084321</v>
      </c>
      <c r="H3410" s="41">
        <v>0.14980236277696771</v>
      </c>
      <c r="I3410" s="40">
        <v>75.835307119499106</v>
      </c>
      <c r="J3410" s="41">
        <v>9.3602870076462411E-2</v>
      </c>
      <c r="K3410" s="9" t="s">
        <v>4758</v>
      </c>
    </row>
    <row r="3411" spans="1:11" x14ac:dyDescent="0.2">
      <c r="A3411" s="9" t="s">
        <v>30</v>
      </c>
      <c r="B3411" s="9" t="s">
        <v>4759</v>
      </c>
      <c r="C3411" s="9"/>
      <c r="D3411" s="9" t="s">
        <v>76</v>
      </c>
      <c r="E3411" s="38">
        <v>1360</v>
      </c>
      <c r="F3411" s="39">
        <v>0</v>
      </c>
      <c r="G3411" s="40"/>
      <c r="H3411" s="41"/>
      <c r="I3411" s="40">
        <v>123.03530711949961</v>
      </c>
      <c r="J3411" s="41"/>
      <c r="K3411" s="9" t="s">
        <v>4760</v>
      </c>
    </row>
    <row r="3412" spans="1:11" x14ac:dyDescent="0.2">
      <c r="A3412" s="9" t="s">
        <v>30</v>
      </c>
      <c r="B3412" s="9" t="s">
        <v>4761</v>
      </c>
      <c r="C3412" s="9"/>
      <c r="D3412" s="9" t="s">
        <v>77</v>
      </c>
      <c r="E3412" s="38">
        <v>2159</v>
      </c>
      <c r="F3412" s="39">
        <v>1232437.97</v>
      </c>
      <c r="G3412" s="40">
        <v>570.83741083835116</v>
      </c>
      <c r="H3412" s="41">
        <v>1.5552139231061409E-2</v>
      </c>
      <c r="I3412" s="40">
        <v>111.0994822825804</v>
      </c>
      <c r="J3412" s="41">
        <v>0.1946254400520385</v>
      </c>
      <c r="K3412" s="9" t="s">
        <v>4762</v>
      </c>
    </row>
    <row r="3413" spans="1:11" x14ac:dyDescent="0.2">
      <c r="A3413" s="9" t="s">
        <v>30</v>
      </c>
      <c r="B3413" s="9" t="s">
        <v>458</v>
      </c>
      <c r="C3413" s="9"/>
      <c r="D3413" s="9" t="s">
        <v>76</v>
      </c>
      <c r="E3413" s="38">
        <v>1949</v>
      </c>
      <c r="F3413" s="39">
        <v>1806560.88</v>
      </c>
      <c r="G3413" s="40">
        <v>926.91681888147775</v>
      </c>
      <c r="H3413" s="41">
        <v>0.26831943178484258</v>
      </c>
      <c r="I3413" s="40">
        <v>79.313742866625361</v>
      </c>
      <c r="J3413" s="41">
        <v>8.5567271249144303E-2</v>
      </c>
      <c r="K3413" s="9" t="s">
        <v>4763</v>
      </c>
    </row>
    <row r="3414" spans="1:11" x14ac:dyDescent="0.2">
      <c r="A3414" s="9" t="s">
        <v>30</v>
      </c>
      <c r="B3414" s="9" t="s">
        <v>4764</v>
      </c>
      <c r="C3414" s="9"/>
      <c r="D3414" s="9" t="s">
        <v>76</v>
      </c>
      <c r="E3414" s="38">
        <v>1508</v>
      </c>
      <c r="F3414" s="39">
        <v>1393361.5</v>
      </c>
      <c r="G3414" s="40">
        <v>923.97977453580904</v>
      </c>
      <c r="H3414" s="41"/>
      <c r="I3414" s="40">
        <v>132.99712993281801</v>
      </c>
      <c r="J3414" s="41">
        <v>0.14393943850084101</v>
      </c>
      <c r="K3414" s="9" t="s">
        <v>4765</v>
      </c>
    </row>
    <row r="3415" spans="1:11" x14ac:dyDescent="0.2">
      <c r="A3415" s="9" t="s">
        <v>30</v>
      </c>
      <c r="B3415" s="9" t="s">
        <v>4766</v>
      </c>
      <c r="C3415" s="9"/>
      <c r="D3415" s="9" t="s">
        <v>78</v>
      </c>
      <c r="E3415" s="38">
        <v>1000</v>
      </c>
      <c r="F3415" s="39">
        <v>2196107.36</v>
      </c>
      <c r="G3415" s="40">
        <v>2196.10736</v>
      </c>
      <c r="H3415" s="41">
        <v>-3.5951787325485492E-2</v>
      </c>
      <c r="I3415" s="40">
        <v>115.4332795621345</v>
      </c>
      <c r="J3415" s="41">
        <v>5.2562675971421773E-2</v>
      </c>
      <c r="K3415" s="9" t="s">
        <v>4767</v>
      </c>
    </row>
    <row r="3416" spans="1:11" x14ac:dyDescent="0.2">
      <c r="A3416" s="9" t="s">
        <v>30</v>
      </c>
      <c r="B3416" s="9" t="s">
        <v>2955</v>
      </c>
      <c r="C3416" s="9"/>
      <c r="D3416" s="9" t="s">
        <v>78</v>
      </c>
      <c r="E3416" s="38">
        <v>970</v>
      </c>
      <c r="F3416" s="39">
        <v>3644391.78</v>
      </c>
      <c r="G3416" s="40">
        <v>3757.104927835052</v>
      </c>
      <c r="H3416" s="41">
        <v>0.17546023666600591</v>
      </c>
      <c r="I3416" s="40">
        <v>218.8209230377868</v>
      </c>
      <c r="J3416" s="41">
        <v>5.8241898280939813E-2</v>
      </c>
      <c r="K3416" s="9" t="s">
        <v>4768</v>
      </c>
    </row>
    <row r="3417" spans="1:11" x14ac:dyDescent="0.2">
      <c r="A3417" s="9" t="s">
        <v>30</v>
      </c>
      <c r="B3417" s="9" t="s">
        <v>3100</v>
      </c>
      <c r="C3417" s="9"/>
      <c r="D3417" s="9" t="s">
        <v>81</v>
      </c>
      <c r="E3417" s="38">
        <v>4515</v>
      </c>
      <c r="F3417" s="39">
        <v>3460705.65</v>
      </c>
      <c r="G3417" s="40">
        <v>766.49073089700994</v>
      </c>
      <c r="H3417" s="41">
        <v>0.19110230366014819</v>
      </c>
      <c r="I3417" s="40">
        <v>71.748843122267488</v>
      </c>
      <c r="J3417" s="41">
        <v>9.3606928603430256E-2</v>
      </c>
      <c r="K3417" s="9" t="s">
        <v>4769</v>
      </c>
    </row>
    <row r="3418" spans="1:11" x14ac:dyDescent="0.2">
      <c r="A3418" s="9" t="s">
        <v>30</v>
      </c>
      <c r="B3418" s="9" t="s">
        <v>915</v>
      </c>
      <c r="C3418" s="9"/>
      <c r="D3418" s="9" t="s">
        <v>76</v>
      </c>
      <c r="E3418" s="38">
        <v>897</v>
      </c>
      <c r="F3418" s="39">
        <v>531391.91</v>
      </c>
      <c r="G3418" s="40">
        <v>592.41015607580823</v>
      </c>
      <c r="H3418" s="41"/>
      <c r="I3418" s="40">
        <v>198.14337526334171</v>
      </c>
      <c r="J3418" s="41">
        <v>0.33446991620782768</v>
      </c>
      <c r="K3418" s="9" t="s">
        <v>4770</v>
      </c>
    </row>
    <row r="3419" spans="1:11" x14ac:dyDescent="0.2">
      <c r="A3419" s="9" t="s">
        <v>30</v>
      </c>
      <c r="B3419" s="9" t="s">
        <v>1119</v>
      </c>
      <c r="C3419" s="9"/>
      <c r="D3419" s="9" t="s">
        <v>80</v>
      </c>
      <c r="E3419" s="38">
        <v>2408</v>
      </c>
      <c r="F3419" s="39">
        <v>893600.2000000003</v>
      </c>
      <c r="G3419" s="40">
        <v>371.0964285714287</v>
      </c>
      <c r="H3419" s="41">
        <v>3.5804516878389162E-3</v>
      </c>
      <c r="I3419" s="40">
        <v>78.401921477240421</v>
      </c>
      <c r="J3419" s="41">
        <v>0.2112710213328006</v>
      </c>
      <c r="K3419" s="9" t="s">
        <v>4771</v>
      </c>
    </row>
    <row r="3420" spans="1:11" x14ac:dyDescent="0.2">
      <c r="A3420" s="9" t="s">
        <v>30</v>
      </c>
      <c r="B3420" s="9" t="s">
        <v>4772</v>
      </c>
      <c r="C3420" s="9"/>
      <c r="D3420" s="9" t="s">
        <v>80</v>
      </c>
      <c r="E3420" s="38">
        <v>1036</v>
      </c>
      <c r="F3420" s="39">
        <v>0</v>
      </c>
      <c r="G3420" s="40"/>
      <c r="H3420" s="41"/>
      <c r="I3420" s="40">
        <v>115.6253071194993</v>
      </c>
      <c r="J3420" s="41"/>
      <c r="K3420" s="9" t="s">
        <v>4773</v>
      </c>
    </row>
    <row r="3421" spans="1:11" x14ac:dyDescent="0.2">
      <c r="A3421" s="9" t="s">
        <v>30</v>
      </c>
      <c r="B3421" s="9" t="s">
        <v>4774</v>
      </c>
      <c r="C3421" s="9"/>
      <c r="D3421" s="9" t="s">
        <v>76</v>
      </c>
      <c r="E3421" s="38">
        <v>1834</v>
      </c>
      <c r="F3421" s="39">
        <v>0</v>
      </c>
      <c r="G3421" s="40"/>
      <c r="H3421" s="41"/>
      <c r="I3421" s="40">
        <v>156.43728530924849</v>
      </c>
      <c r="J3421" s="41"/>
      <c r="K3421" s="9" t="s">
        <v>4775</v>
      </c>
    </row>
    <row r="3422" spans="1:11" x14ac:dyDescent="0.2">
      <c r="A3422" s="9" t="s">
        <v>30</v>
      </c>
      <c r="B3422" s="9" t="s">
        <v>4776</v>
      </c>
      <c r="C3422" s="9"/>
      <c r="D3422" s="9" t="s">
        <v>76</v>
      </c>
      <c r="E3422" s="38">
        <v>1036</v>
      </c>
      <c r="F3422" s="39">
        <v>0</v>
      </c>
      <c r="G3422" s="40"/>
      <c r="H3422" s="41"/>
      <c r="I3422" s="40">
        <v>103.31975316743259</v>
      </c>
      <c r="J3422" s="41"/>
      <c r="K3422" s="9" t="s">
        <v>4777</v>
      </c>
    </row>
    <row r="3423" spans="1:11" x14ac:dyDescent="0.2">
      <c r="A3423" s="9" t="s">
        <v>30</v>
      </c>
      <c r="B3423" s="9" t="s">
        <v>4778</v>
      </c>
      <c r="C3423" s="9"/>
      <c r="D3423" s="9" t="s">
        <v>81</v>
      </c>
      <c r="E3423" s="38">
        <v>3980</v>
      </c>
      <c r="F3423" s="39">
        <v>2236229.42</v>
      </c>
      <c r="G3423" s="40">
        <v>561.86668844221106</v>
      </c>
      <c r="H3423" s="41"/>
      <c r="I3423" s="40">
        <v>75.227807119499388</v>
      </c>
      <c r="J3423" s="41">
        <v>0.13388906775746101</v>
      </c>
      <c r="K3423" s="9" t="s">
        <v>4779</v>
      </c>
    </row>
    <row r="3424" spans="1:11" x14ac:dyDescent="0.2">
      <c r="A3424" s="9" t="s">
        <v>30</v>
      </c>
      <c r="B3424" s="9" t="s">
        <v>4780</v>
      </c>
      <c r="C3424" s="9"/>
      <c r="D3424" s="9" t="s">
        <v>80</v>
      </c>
      <c r="E3424" s="38">
        <v>484</v>
      </c>
      <c r="F3424" s="39">
        <v>129761.46</v>
      </c>
      <c r="G3424" s="40">
        <v>268.1021900826446</v>
      </c>
      <c r="H3424" s="41">
        <v>-0.34795974819571002</v>
      </c>
      <c r="I3424" s="40">
        <v>80.958635407580644</v>
      </c>
      <c r="J3424" s="41">
        <v>0.3019693176792943</v>
      </c>
      <c r="K3424" s="9" t="s">
        <v>4781</v>
      </c>
    </row>
    <row r="3425" spans="1:11" x14ac:dyDescent="0.2">
      <c r="A3425" s="9" t="s">
        <v>30</v>
      </c>
      <c r="B3425" s="9" t="s">
        <v>597</v>
      </c>
      <c r="C3425" s="9"/>
      <c r="D3425" s="9" t="s">
        <v>78</v>
      </c>
      <c r="E3425" s="38">
        <v>1512</v>
      </c>
      <c r="F3425" s="39">
        <v>2135534.7799999998</v>
      </c>
      <c r="G3425" s="40">
        <v>1412.3907275132269</v>
      </c>
      <c r="H3425" s="41">
        <v>-2.491526482452782E-2</v>
      </c>
      <c r="I3425" s="40">
        <v>145.4401111621346</v>
      </c>
      <c r="J3425" s="41">
        <v>0.1029744165895287</v>
      </c>
      <c r="K3425" s="9" t="s">
        <v>4782</v>
      </c>
    </row>
    <row r="3426" spans="1:11" x14ac:dyDescent="0.2">
      <c r="A3426" s="9" t="s">
        <v>30</v>
      </c>
      <c r="B3426" s="9" t="s">
        <v>4783</v>
      </c>
      <c r="C3426" s="9"/>
      <c r="D3426" s="9" t="s">
        <v>85</v>
      </c>
      <c r="E3426" s="38">
        <v>36356</v>
      </c>
      <c r="F3426" s="39">
        <v>1351450.74</v>
      </c>
      <c r="G3426" s="40">
        <v>37.172701617339641</v>
      </c>
      <c r="H3426" s="41">
        <v>0.56761672643952976</v>
      </c>
      <c r="I3426" s="40">
        <v>19.999999999999989</v>
      </c>
      <c r="J3426" s="41">
        <v>0.53802922924145913</v>
      </c>
      <c r="K3426" s="9" t="s">
        <v>4784</v>
      </c>
    </row>
    <row r="3427" spans="1:11" x14ac:dyDescent="0.2">
      <c r="A3427" s="9" t="s">
        <v>30</v>
      </c>
      <c r="B3427" s="9" t="s">
        <v>2970</v>
      </c>
      <c r="C3427" s="9"/>
      <c r="D3427" s="9" t="s">
        <v>83</v>
      </c>
      <c r="E3427" s="38">
        <v>1221</v>
      </c>
      <c r="F3427" s="39">
        <v>2072863.46</v>
      </c>
      <c r="G3427" s="40">
        <v>1697.6768714168711</v>
      </c>
      <c r="H3427" s="41">
        <v>3.6502187799143618E-2</v>
      </c>
      <c r="I3427" s="40">
        <v>116.79821116213451</v>
      </c>
      <c r="J3427" s="41">
        <v>6.879884689991414E-2</v>
      </c>
      <c r="K3427" s="9" t="s">
        <v>4785</v>
      </c>
    </row>
    <row r="3428" spans="1:11" x14ac:dyDescent="0.2">
      <c r="A3428" s="9" t="s">
        <v>30</v>
      </c>
      <c r="B3428" s="9" t="s">
        <v>489</v>
      </c>
      <c r="C3428" s="9"/>
      <c r="D3428" s="9" t="s">
        <v>82</v>
      </c>
      <c r="E3428" s="38">
        <v>3390</v>
      </c>
      <c r="F3428" s="39">
        <v>0</v>
      </c>
      <c r="G3428" s="40"/>
      <c r="H3428" s="41"/>
      <c r="I3428" s="40">
        <v>128.0445609848006</v>
      </c>
      <c r="J3428" s="41"/>
      <c r="K3428" s="9" t="s">
        <v>4786</v>
      </c>
    </row>
    <row r="3429" spans="1:11" x14ac:dyDescent="0.2">
      <c r="A3429" s="9" t="s">
        <v>30</v>
      </c>
      <c r="B3429" s="9" t="s">
        <v>275</v>
      </c>
      <c r="C3429" s="9"/>
      <c r="D3429" s="9" t="s">
        <v>83</v>
      </c>
      <c r="E3429" s="38">
        <v>4026</v>
      </c>
      <c r="F3429" s="39">
        <v>2246782.9700000002</v>
      </c>
      <c r="G3429" s="40">
        <v>558.06829855936405</v>
      </c>
      <c r="H3429" s="41">
        <v>0.1938162976795384</v>
      </c>
      <c r="I3429" s="40">
        <v>80.175247921480661</v>
      </c>
      <c r="J3429" s="41">
        <v>0.1436656554913629</v>
      </c>
      <c r="K3429" s="9" t="s">
        <v>4787</v>
      </c>
    </row>
    <row r="3430" spans="1:11" x14ac:dyDescent="0.2">
      <c r="A3430" s="9" t="s">
        <v>30</v>
      </c>
      <c r="B3430" s="9" t="s">
        <v>4788</v>
      </c>
      <c r="C3430" s="9"/>
      <c r="D3430" s="9" t="s">
        <v>76</v>
      </c>
      <c r="E3430" s="38">
        <v>2707</v>
      </c>
      <c r="F3430" s="39">
        <v>1010431.91</v>
      </c>
      <c r="G3430" s="40">
        <v>373.26631326191358</v>
      </c>
      <c r="H3430" s="41">
        <v>0.39859649338515307</v>
      </c>
      <c r="I3430" s="40">
        <v>90.197799999999987</v>
      </c>
      <c r="J3430" s="41">
        <v>0.24164462957231819</v>
      </c>
      <c r="K3430" s="9" t="s">
        <v>4789</v>
      </c>
    </row>
    <row r="3431" spans="1:11" x14ac:dyDescent="0.2">
      <c r="A3431" s="9" t="s">
        <v>30</v>
      </c>
      <c r="B3431" s="9" t="s">
        <v>3790</v>
      </c>
      <c r="C3431" s="9"/>
      <c r="D3431" s="9" t="s">
        <v>76</v>
      </c>
      <c r="E3431" s="38">
        <v>2395</v>
      </c>
      <c r="F3431" s="39">
        <v>0</v>
      </c>
      <c r="G3431" s="40"/>
      <c r="H3431" s="41"/>
      <c r="I3431" s="40">
        <v>97.820507119499112</v>
      </c>
      <c r="J3431" s="41"/>
      <c r="K3431" s="9" t="s">
        <v>4790</v>
      </c>
    </row>
    <row r="3432" spans="1:11" x14ac:dyDescent="0.2">
      <c r="A3432" s="9" t="s">
        <v>30</v>
      </c>
      <c r="B3432" s="9" t="s">
        <v>4791</v>
      </c>
      <c r="C3432" s="9"/>
      <c r="D3432" s="9" t="s">
        <v>79</v>
      </c>
      <c r="E3432" s="38">
        <v>1134</v>
      </c>
      <c r="F3432" s="39">
        <v>1289872</v>
      </c>
      <c r="G3432" s="40">
        <v>1137.453262786596</v>
      </c>
      <c r="H3432" s="41"/>
      <c r="I3432" s="40">
        <v>86.166911162134596</v>
      </c>
      <c r="J3432" s="41">
        <v>7.5754243256587195E-2</v>
      </c>
      <c r="K3432" s="9" t="s">
        <v>4792</v>
      </c>
    </row>
    <row r="3433" spans="1:11" x14ac:dyDescent="0.2">
      <c r="A3433" s="9" t="s">
        <v>30</v>
      </c>
      <c r="B3433" s="9" t="s">
        <v>4793</v>
      </c>
      <c r="C3433" s="9"/>
      <c r="D3433" s="9" t="s">
        <v>81</v>
      </c>
      <c r="E3433" s="38">
        <v>1756</v>
      </c>
      <c r="F3433" s="39">
        <v>278541.86</v>
      </c>
      <c r="G3433" s="40">
        <v>158.62292710706151</v>
      </c>
      <c r="H3433" s="41">
        <v>0.20764427130358429</v>
      </c>
      <c r="I3433" s="40">
        <v>79.295912864212838</v>
      </c>
      <c r="J3433" s="41">
        <v>0.49990196442846241</v>
      </c>
      <c r="K3433" s="9" t="s">
        <v>4794</v>
      </c>
    </row>
    <row r="3434" spans="1:11" x14ac:dyDescent="0.2">
      <c r="A3434" s="9" t="s">
        <v>30</v>
      </c>
      <c r="B3434" s="9" t="s">
        <v>4795</v>
      </c>
      <c r="C3434" s="9"/>
      <c r="D3434" s="9" t="s">
        <v>76</v>
      </c>
      <c r="E3434" s="38">
        <v>1213</v>
      </c>
      <c r="F3434" s="39">
        <v>1230457</v>
      </c>
      <c r="G3434" s="40">
        <v>1014.391591096455</v>
      </c>
      <c r="H3434" s="41">
        <v>2.072004421540808E-2</v>
      </c>
      <c r="I3434" s="40">
        <v>99.452228392142814</v>
      </c>
      <c r="J3434" s="41">
        <v>9.80412586865443E-2</v>
      </c>
      <c r="K3434" s="9" t="s">
        <v>4796</v>
      </c>
    </row>
    <row r="3435" spans="1:11" x14ac:dyDescent="0.2">
      <c r="A3435" s="9" t="s">
        <v>30</v>
      </c>
      <c r="B3435" s="9" t="s">
        <v>285</v>
      </c>
      <c r="C3435" s="9"/>
      <c r="D3435" s="9" t="s">
        <v>76</v>
      </c>
      <c r="E3435" s="38">
        <v>9014</v>
      </c>
      <c r="F3435" s="39">
        <v>14649847.98</v>
      </c>
      <c r="G3435" s="40">
        <v>1625.2327468382521</v>
      </c>
      <c r="H3435" s="41">
        <v>1.0840120212604351E-2</v>
      </c>
      <c r="I3435" s="40">
        <v>95.436834768661711</v>
      </c>
      <c r="J3435" s="41">
        <v>5.8721949181940701E-2</v>
      </c>
      <c r="K3435" s="9" t="s">
        <v>4797</v>
      </c>
    </row>
    <row r="3436" spans="1:11" x14ac:dyDescent="0.2">
      <c r="A3436" s="9" t="s">
        <v>30</v>
      </c>
      <c r="B3436" s="9" t="s">
        <v>4798</v>
      </c>
      <c r="C3436" s="9"/>
      <c r="D3436" s="9" t="s">
        <v>76</v>
      </c>
      <c r="E3436" s="38">
        <v>1956</v>
      </c>
      <c r="F3436" s="39">
        <v>1574592.98</v>
      </c>
      <c r="G3436" s="40">
        <v>805.00663599181996</v>
      </c>
      <c r="H3436" s="41">
        <v>0.22491829708080199</v>
      </c>
      <c r="I3436" s="40">
        <v>92.185195279350182</v>
      </c>
      <c r="J3436" s="41">
        <v>0.1145148265340348</v>
      </c>
      <c r="K3436" s="9" t="s">
        <v>4799</v>
      </c>
    </row>
    <row r="3437" spans="1:11" x14ac:dyDescent="0.2">
      <c r="A3437" s="9" t="s">
        <v>30</v>
      </c>
      <c r="B3437" s="9" t="s">
        <v>4800</v>
      </c>
      <c r="C3437" s="9"/>
      <c r="D3437" s="9" t="s">
        <v>81</v>
      </c>
      <c r="E3437" s="38">
        <v>1663</v>
      </c>
      <c r="F3437" s="39">
        <v>0</v>
      </c>
      <c r="G3437" s="40"/>
      <c r="H3437" s="41">
        <v>-0.29494941957681048</v>
      </c>
      <c r="I3437" s="40">
        <v>86.68056948614057</v>
      </c>
      <c r="J3437" s="41"/>
      <c r="K3437" s="9" t="s">
        <v>4801</v>
      </c>
    </row>
    <row r="3438" spans="1:11" x14ac:dyDescent="0.2">
      <c r="A3438" s="9" t="s">
        <v>30</v>
      </c>
      <c r="B3438" s="9" t="s">
        <v>4802</v>
      </c>
      <c r="C3438" s="9"/>
      <c r="D3438" s="9" t="s">
        <v>81</v>
      </c>
      <c r="E3438" s="38">
        <v>2781</v>
      </c>
      <c r="F3438" s="39">
        <v>3191182.26</v>
      </c>
      <c r="G3438" s="40">
        <v>1147.4945199568499</v>
      </c>
      <c r="H3438" s="41">
        <v>0.1023445094085047</v>
      </c>
      <c r="I3438" s="40">
        <v>96.982462675054862</v>
      </c>
      <c r="J3438" s="41">
        <v>8.451671096320508E-2</v>
      </c>
      <c r="K3438" s="9" t="s">
        <v>4803</v>
      </c>
    </row>
    <row r="3439" spans="1:11" x14ac:dyDescent="0.2">
      <c r="A3439" s="9" t="s">
        <v>30</v>
      </c>
      <c r="B3439" s="9" t="s">
        <v>4804</v>
      </c>
      <c r="C3439" s="9"/>
      <c r="D3439" s="9" t="s">
        <v>76</v>
      </c>
      <c r="E3439" s="38">
        <v>2010</v>
      </c>
      <c r="F3439" s="39">
        <v>1529573</v>
      </c>
      <c r="G3439" s="40">
        <v>760.98159203980094</v>
      </c>
      <c r="H3439" s="41">
        <v>-0.1242793727784232</v>
      </c>
      <c r="I3439" s="40">
        <v>76.419869048760361</v>
      </c>
      <c r="J3439" s="41">
        <v>0.1004227564084933</v>
      </c>
      <c r="K3439" s="9" t="s">
        <v>4805</v>
      </c>
    </row>
    <row r="3440" spans="1:11" x14ac:dyDescent="0.2">
      <c r="A3440" s="9" t="s">
        <v>30</v>
      </c>
      <c r="B3440" s="9" t="s">
        <v>321</v>
      </c>
      <c r="C3440" s="9"/>
      <c r="D3440" s="9" t="s">
        <v>78</v>
      </c>
      <c r="E3440" s="38">
        <v>1520</v>
      </c>
      <c r="F3440" s="39">
        <v>0</v>
      </c>
      <c r="G3440" s="40"/>
      <c r="H3440" s="41"/>
      <c r="I3440" s="40">
        <v>93.435756434264135</v>
      </c>
      <c r="J3440" s="41"/>
      <c r="K3440" s="9" t="s">
        <v>4806</v>
      </c>
    </row>
    <row r="3441" spans="1:11" x14ac:dyDescent="0.2">
      <c r="A3441" s="9" t="s">
        <v>30</v>
      </c>
      <c r="B3441" s="9" t="s">
        <v>4807</v>
      </c>
      <c r="C3441" s="9"/>
      <c r="D3441" s="9" t="s">
        <v>83</v>
      </c>
      <c r="E3441" s="38">
        <v>2250</v>
      </c>
      <c r="F3441" s="39">
        <v>922631.19</v>
      </c>
      <c r="G3441" s="40">
        <v>410.05830666666662</v>
      </c>
      <c r="H3441" s="41">
        <v>-0.16773282439175191</v>
      </c>
      <c r="I3441" s="40">
        <v>78.048669048760388</v>
      </c>
      <c r="J3441" s="41">
        <v>0.1903355395558553</v>
      </c>
      <c r="K3441" s="9" t="s">
        <v>4808</v>
      </c>
    </row>
    <row r="3442" spans="1:11" x14ac:dyDescent="0.2">
      <c r="A3442" s="9" t="s">
        <v>30</v>
      </c>
      <c r="B3442" s="9" t="s">
        <v>4809</v>
      </c>
      <c r="C3442" s="9"/>
      <c r="D3442" s="9" t="s">
        <v>83</v>
      </c>
      <c r="E3442" s="38">
        <v>1185</v>
      </c>
      <c r="F3442" s="39">
        <v>1418193.79</v>
      </c>
      <c r="G3442" s="40">
        <v>1196.7880084388189</v>
      </c>
      <c r="H3442" s="41">
        <v>-0.1024773811993745</v>
      </c>
      <c r="I3442" s="40">
        <v>114.5869921747928</v>
      </c>
      <c r="J3442" s="41">
        <v>9.5745438094979582E-2</v>
      </c>
      <c r="K3442" s="9" t="s">
        <v>4810</v>
      </c>
    </row>
    <row r="3443" spans="1:11" x14ac:dyDescent="0.2">
      <c r="A3443" s="9" t="s">
        <v>30</v>
      </c>
      <c r="B3443" s="9" t="s">
        <v>4811</v>
      </c>
      <c r="C3443" s="9"/>
      <c r="D3443" s="9" t="s">
        <v>76</v>
      </c>
      <c r="E3443" s="38">
        <v>2698</v>
      </c>
      <c r="F3443" s="39">
        <v>3219385.41</v>
      </c>
      <c r="G3443" s="40">
        <v>1193.248854707191</v>
      </c>
      <c r="H3443" s="41"/>
      <c r="I3443" s="40">
        <v>132.99710340761899</v>
      </c>
      <c r="J3443" s="41">
        <v>0.11145797700367779</v>
      </c>
      <c r="K3443" s="9" t="s">
        <v>4812</v>
      </c>
    </row>
    <row r="3444" spans="1:11" x14ac:dyDescent="0.2">
      <c r="A3444" s="9" t="s">
        <v>30</v>
      </c>
      <c r="B3444" s="9" t="s">
        <v>607</v>
      </c>
      <c r="C3444" s="9"/>
      <c r="D3444" s="9" t="s">
        <v>85</v>
      </c>
      <c r="E3444" s="38">
        <v>15624</v>
      </c>
      <c r="F3444" s="39">
        <v>10594870.710000001</v>
      </c>
      <c r="G3444" s="40">
        <v>678.11512480798763</v>
      </c>
      <c r="H3444" s="41">
        <v>-0.1023453576884866</v>
      </c>
      <c r="I3444" s="40">
        <v>64.819407025155371</v>
      </c>
      <c r="J3444" s="41">
        <v>9.5587614335411519E-2</v>
      </c>
      <c r="K3444" s="9" t="s">
        <v>4813</v>
      </c>
    </row>
    <row r="3445" spans="1:11" x14ac:dyDescent="0.2">
      <c r="A3445" s="9" t="s">
        <v>30</v>
      </c>
      <c r="B3445" s="9" t="s">
        <v>4814</v>
      </c>
      <c r="C3445" s="9"/>
      <c r="D3445" s="9" t="s">
        <v>80</v>
      </c>
      <c r="E3445" s="38">
        <v>1896</v>
      </c>
      <c r="F3445" s="39">
        <v>1890323.84</v>
      </c>
      <c r="G3445" s="40">
        <v>997.00624472573816</v>
      </c>
      <c r="H3445" s="41">
        <v>0.43397312334508209</v>
      </c>
      <c r="I3445" s="40">
        <v>87.109465663803093</v>
      </c>
      <c r="J3445" s="41">
        <v>8.7371033155128966E-2</v>
      </c>
      <c r="K3445" s="9" t="s">
        <v>4815</v>
      </c>
    </row>
    <row r="3446" spans="1:11" x14ac:dyDescent="0.2">
      <c r="A3446" s="9" t="s">
        <v>30</v>
      </c>
      <c r="B3446" s="9" t="s">
        <v>4816</v>
      </c>
      <c r="C3446" s="9"/>
      <c r="D3446" s="9" t="s">
        <v>80</v>
      </c>
      <c r="E3446" s="38">
        <v>904</v>
      </c>
      <c r="F3446" s="39">
        <v>864246.86999999988</v>
      </c>
      <c r="G3446" s="40">
        <v>956.02529867256624</v>
      </c>
      <c r="H3446" s="41">
        <v>-0.23658826373083161</v>
      </c>
      <c r="I3446" s="40">
        <v>106.6409071194993</v>
      </c>
      <c r="J3446" s="41">
        <v>0.11154611417456151</v>
      </c>
      <c r="K3446" s="9" t="s">
        <v>4817</v>
      </c>
    </row>
    <row r="3447" spans="1:11" x14ac:dyDescent="0.2">
      <c r="A3447" s="9" t="s">
        <v>30</v>
      </c>
      <c r="B3447" s="9" t="s">
        <v>2993</v>
      </c>
      <c r="C3447" s="9"/>
      <c r="D3447" s="9" t="s">
        <v>82</v>
      </c>
      <c r="E3447" s="38">
        <v>2790</v>
      </c>
      <c r="F3447" s="39">
        <v>1307924.3</v>
      </c>
      <c r="G3447" s="40">
        <v>468.79007168458782</v>
      </c>
      <c r="H3447" s="41">
        <v>2.1323464517842179E-2</v>
      </c>
      <c r="I3447" s="40">
        <v>53.763440860215063</v>
      </c>
      <c r="J3447" s="41">
        <v>0.1146855364641516</v>
      </c>
      <c r="K3447" s="9" t="s">
        <v>4818</v>
      </c>
    </row>
    <row r="3448" spans="1:11" x14ac:dyDescent="0.2">
      <c r="A3448" s="9" t="s">
        <v>30</v>
      </c>
      <c r="B3448" s="9" t="s">
        <v>4819</v>
      </c>
      <c r="C3448" s="9"/>
      <c r="D3448" s="9" t="s">
        <v>85</v>
      </c>
      <c r="E3448" s="38">
        <v>26244</v>
      </c>
      <c r="F3448" s="39">
        <v>11512813.42</v>
      </c>
      <c r="G3448" s="40">
        <v>438.68363892699278</v>
      </c>
      <c r="H3448" s="41"/>
      <c r="I3448" s="40">
        <v>65.624484649016409</v>
      </c>
      <c r="J3448" s="41">
        <v>0.14959410113751209</v>
      </c>
      <c r="K3448" s="9" t="s">
        <v>4820</v>
      </c>
    </row>
    <row r="3449" spans="1:11" x14ac:dyDescent="0.2">
      <c r="A3449" s="9" t="s">
        <v>30</v>
      </c>
      <c r="B3449" s="9" t="s">
        <v>4821</v>
      </c>
      <c r="C3449" s="9"/>
      <c r="D3449" s="9" t="s">
        <v>76</v>
      </c>
      <c r="E3449" s="38">
        <v>1646</v>
      </c>
      <c r="F3449" s="39">
        <v>0</v>
      </c>
      <c r="G3449" s="40"/>
      <c r="H3449" s="41"/>
      <c r="I3449" s="40">
        <v>156.0297192701675</v>
      </c>
      <c r="J3449" s="41"/>
      <c r="K3449" s="9" t="s">
        <v>4822</v>
      </c>
    </row>
    <row r="3450" spans="1:11" x14ac:dyDescent="0.2">
      <c r="A3450" s="9" t="s">
        <v>30</v>
      </c>
      <c r="B3450" s="9" t="s">
        <v>4823</v>
      </c>
      <c r="C3450" s="9"/>
      <c r="D3450" s="9" t="s">
        <v>76</v>
      </c>
      <c r="E3450" s="38">
        <v>1803</v>
      </c>
      <c r="F3450" s="39">
        <v>0</v>
      </c>
      <c r="G3450" s="40"/>
      <c r="H3450" s="41"/>
      <c r="I3450" s="40">
        <v>200.6253071194993</v>
      </c>
      <c r="J3450" s="41"/>
      <c r="K3450" s="9" t="s">
        <v>4824</v>
      </c>
    </row>
    <row r="3451" spans="1:11" x14ac:dyDescent="0.2">
      <c r="A3451" s="9" t="s">
        <v>30</v>
      </c>
      <c r="B3451" s="9" t="s">
        <v>4825</v>
      </c>
      <c r="C3451" s="9"/>
      <c r="D3451" s="9" t="s">
        <v>76</v>
      </c>
      <c r="E3451" s="38">
        <v>1996</v>
      </c>
      <c r="F3451" s="39">
        <v>0</v>
      </c>
      <c r="G3451" s="40"/>
      <c r="H3451" s="41"/>
      <c r="I3451" s="40">
        <v>165.81122004008009</v>
      </c>
      <c r="J3451" s="41"/>
      <c r="K3451" s="9" t="s">
        <v>4826</v>
      </c>
    </row>
    <row r="3452" spans="1:11" x14ac:dyDescent="0.2">
      <c r="A3452" s="9" t="s">
        <v>30</v>
      </c>
      <c r="B3452" s="9" t="s">
        <v>609</v>
      </c>
      <c r="C3452" s="9"/>
      <c r="D3452" s="9" t="s">
        <v>82</v>
      </c>
      <c r="E3452" s="38">
        <v>22405</v>
      </c>
      <c r="F3452" s="39">
        <v>38239492.279999986</v>
      </c>
      <c r="G3452" s="40">
        <v>1706.739222494979</v>
      </c>
      <c r="H3452" s="41">
        <v>-0.15225541212396049</v>
      </c>
      <c r="I3452" s="40">
        <v>98.836597422853899</v>
      </c>
      <c r="J3452" s="41">
        <v>5.7909606880874667E-2</v>
      </c>
      <c r="K3452" s="9" t="s">
        <v>4827</v>
      </c>
    </row>
    <row r="3453" spans="1:11" x14ac:dyDescent="0.2">
      <c r="A3453" s="9" t="s">
        <v>30</v>
      </c>
      <c r="B3453" s="9" t="s">
        <v>611</v>
      </c>
      <c r="C3453" s="9"/>
      <c r="D3453" s="9" t="s">
        <v>78</v>
      </c>
      <c r="E3453" s="38">
        <v>1152</v>
      </c>
      <c r="F3453" s="39">
        <v>1942361.72</v>
      </c>
      <c r="G3453" s="40">
        <v>1686.077881944444</v>
      </c>
      <c r="H3453" s="41">
        <v>4.1487927704106593E-2</v>
      </c>
      <c r="I3453" s="40">
        <v>115.7848854075806</v>
      </c>
      <c r="J3453" s="41">
        <v>6.8671137109071967E-2</v>
      </c>
      <c r="K3453" s="9" t="s">
        <v>4828</v>
      </c>
    </row>
    <row r="3454" spans="1:11" x14ac:dyDescent="0.2">
      <c r="A3454" s="9" t="s">
        <v>30</v>
      </c>
      <c r="B3454" s="9" t="s">
        <v>4829</v>
      </c>
      <c r="C3454" s="9"/>
      <c r="D3454" s="9" t="s">
        <v>83</v>
      </c>
      <c r="E3454" s="38">
        <v>5750</v>
      </c>
      <c r="F3454" s="39">
        <v>0</v>
      </c>
      <c r="G3454" s="40"/>
      <c r="H3454" s="41"/>
      <c r="I3454" s="40">
        <v>47.257279654721799</v>
      </c>
      <c r="J3454" s="41"/>
      <c r="K3454" s="9" t="s">
        <v>4830</v>
      </c>
    </row>
    <row r="3455" spans="1:11" x14ac:dyDescent="0.2">
      <c r="A3455" s="9" t="s">
        <v>30</v>
      </c>
      <c r="B3455" s="9" t="s">
        <v>4831</v>
      </c>
      <c r="C3455" s="9"/>
      <c r="D3455" s="9" t="s">
        <v>83</v>
      </c>
      <c r="E3455" s="38">
        <v>4073</v>
      </c>
      <c r="F3455" s="39">
        <v>0</v>
      </c>
      <c r="G3455" s="40"/>
      <c r="H3455" s="41"/>
      <c r="I3455" s="40">
        <v>93.779202455192731</v>
      </c>
      <c r="J3455" s="41"/>
      <c r="K3455" s="9" t="s">
        <v>4832</v>
      </c>
    </row>
    <row r="3456" spans="1:11" x14ac:dyDescent="0.2">
      <c r="A3456" s="9" t="s">
        <v>30</v>
      </c>
      <c r="B3456" s="9" t="s">
        <v>343</v>
      </c>
      <c r="C3456" s="9"/>
      <c r="D3456" s="9" t="s">
        <v>79</v>
      </c>
      <c r="E3456" s="38">
        <v>5400</v>
      </c>
      <c r="F3456" s="39">
        <v>12838590.619999999</v>
      </c>
      <c r="G3456" s="40">
        <v>2377.5167814814822</v>
      </c>
      <c r="H3456" s="41">
        <v>0.26449823964056041</v>
      </c>
      <c r="I3456" s="40">
        <v>153.2185633778829</v>
      </c>
      <c r="J3456" s="41">
        <v>6.4444787339170362E-2</v>
      </c>
      <c r="K3456" s="9" t="s">
        <v>4833</v>
      </c>
    </row>
    <row r="3457" spans="1:11" x14ac:dyDescent="0.2">
      <c r="A3457" s="9" t="s">
        <v>30</v>
      </c>
      <c r="B3457" s="9" t="s">
        <v>4834</v>
      </c>
      <c r="C3457" s="9"/>
      <c r="D3457" s="9" t="s">
        <v>83</v>
      </c>
      <c r="E3457" s="38">
        <v>1125</v>
      </c>
      <c r="F3457" s="39">
        <v>1184010.26</v>
      </c>
      <c r="G3457" s="40">
        <v>1052.4535644444441</v>
      </c>
      <c r="H3457" s="41">
        <v>0.1062193605302291</v>
      </c>
      <c r="I3457" s="40">
        <v>79.542671179396478</v>
      </c>
      <c r="J3457" s="41">
        <v>7.5578318955463325E-2</v>
      </c>
      <c r="K3457" s="9" t="s">
        <v>4835</v>
      </c>
    </row>
    <row r="3458" spans="1:11" x14ac:dyDescent="0.2">
      <c r="A3458" s="9" t="s">
        <v>30</v>
      </c>
      <c r="B3458" s="9" t="s">
        <v>4836</v>
      </c>
      <c r="C3458" s="9"/>
      <c r="D3458" s="9" t="s">
        <v>83</v>
      </c>
      <c r="E3458" s="38">
        <v>1693</v>
      </c>
      <c r="F3458" s="39">
        <v>0</v>
      </c>
      <c r="G3458" s="40"/>
      <c r="H3458" s="41"/>
      <c r="I3458" s="40">
        <v>76.81157586949935</v>
      </c>
      <c r="J3458" s="41"/>
      <c r="K3458" s="9" t="s">
        <v>4837</v>
      </c>
    </row>
    <row r="3459" spans="1:11" x14ac:dyDescent="0.2">
      <c r="A3459" s="9" t="s">
        <v>30</v>
      </c>
      <c r="B3459" s="9" t="s">
        <v>4838</v>
      </c>
      <c r="C3459" s="9"/>
      <c r="D3459" s="9" t="s">
        <v>81</v>
      </c>
      <c r="E3459" s="38">
        <v>5400</v>
      </c>
      <c r="F3459" s="39">
        <v>5539120.1600000001</v>
      </c>
      <c r="G3459" s="40">
        <v>1025.762992592593</v>
      </c>
      <c r="H3459" s="41">
        <v>-2.7034603179888109E-2</v>
      </c>
      <c r="I3459" s="40">
        <v>83.826862273245709</v>
      </c>
      <c r="J3459" s="41">
        <v>8.1721472580498555E-2</v>
      </c>
      <c r="K3459" s="9" t="s">
        <v>4839</v>
      </c>
    </row>
    <row r="3460" spans="1:11" x14ac:dyDescent="0.2">
      <c r="A3460" s="9" t="s">
        <v>30</v>
      </c>
      <c r="B3460" s="9" t="s">
        <v>4840</v>
      </c>
      <c r="C3460" s="9"/>
      <c r="D3460" s="9" t="s">
        <v>83</v>
      </c>
      <c r="E3460" s="38">
        <v>1956</v>
      </c>
      <c r="F3460" s="39">
        <v>0</v>
      </c>
      <c r="G3460" s="40"/>
      <c r="H3460" s="41"/>
      <c r="I3460" s="40">
        <v>100.6253071194993</v>
      </c>
      <c r="J3460" s="41"/>
      <c r="K3460" s="9" t="s">
        <v>4841</v>
      </c>
    </row>
    <row r="3461" spans="1:11" x14ac:dyDescent="0.2">
      <c r="A3461" s="9" t="s">
        <v>30</v>
      </c>
      <c r="B3461" s="9" t="s">
        <v>4842</v>
      </c>
      <c r="C3461" s="9"/>
      <c r="D3461" s="9" t="s">
        <v>76</v>
      </c>
      <c r="E3461" s="38">
        <v>1809</v>
      </c>
      <c r="F3461" s="39">
        <v>0</v>
      </c>
      <c r="G3461" s="40"/>
      <c r="H3461" s="41"/>
      <c r="I3461" s="40">
        <v>98.044560984800583</v>
      </c>
      <c r="J3461" s="41"/>
      <c r="K3461" s="9" t="s">
        <v>4843</v>
      </c>
    </row>
    <row r="3462" spans="1:11" x14ac:dyDescent="0.2">
      <c r="A3462" s="9" t="s">
        <v>30</v>
      </c>
      <c r="B3462" s="9" t="s">
        <v>4844</v>
      </c>
      <c r="C3462" s="9"/>
      <c r="D3462" s="9" t="s">
        <v>85</v>
      </c>
      <c r="E3462" s="38">
        <v>47301</v>
      </c>
      <c r="F3462" s="39">
        <v>0</v>
      </c>
      <c r="G3462" s="40"/>
      <c r="H3462" s="41"/>
      <c r="I3462" s="40">
        <v>41.015640261305251</v>
      </c>
      <c r="J3462" s="41"/>
      <c r="K3462" s="9" t="s">
        <v>4845</v>
      </c>
    </row>
    <row r="3463" spans="1:11" x14ac:dyDescent="0.2">
      <c r="A3463" s="9" t="s">
        <v>30</v>
      </c>
      <c r="B3463" s="9" t="s">
        <v>4846</v>
      </c>
      <c r="C3463" s="9"/>
      <c r="D3463" s="9" t="s">
        <v>76</v>
      </c>
      <c r="E3463" s="38">
        <v>1285</v>
      </c>
      <c r="F3463" s="39">
        <v>3240771</v>
      </c>
      <c r="G3463" s="40">
        <v>2522.000778210117</v>
      </c>
      <c r="H3463" s="41">
        <v>0.587413392178607</v>
      </c>
      <c r="I3463" s="40">
        <v>235.47866412451361</v>
      </c>
      <c r="J3463" s="41">
        <v>9.3369782499287984E-2</v>
      </c>
      <c r="K3463" s="9" t="s">
        <v>4847</v>
      </c>
    </row>
    <row r="3464" spans="1:11" x14ac:dyDescent="0.2">
      <c r="A3464" s="9" t="s">
        <v>30</v>
      </c>
      <c r="B3464" s="9" t="s">
        <v>4848</v>
      </c>
      <c r="C3464" s="9"/>
      <c r="D3464" s="9" t="s">
        <v>76</v>
      </c>
      <c r="E3464" s="38">
        <v>5611</v>
      </c>
      <c r="F3464" s="39">
        <v>4352157</v>
      </c>
      <c r="G3464" s="40">
        <v>775.64729994653362</v>
      </c>
      <c r="H3464" s="41">
        <v>0.21860295794287679</v>
      </c>
      <c r="I3464" s="40">
        <v>81.667274308081261</v>
      </c>
      <c r="J3464" s="41">
        <v>0.1052891878998492</v>
      </c>
      <c r="K3464" s="9" t="s">
        <v>4849</v>
      </c>
    </row>
    <row r="3465" spans="1:11" x14ac:dyDescent="0.2">
      <c r="A3465" s="9" t="s">
        <v>30</v>
      </c>
      <c r="B3465" s="9" t="s">
        <v>357</v>
      </c>
      <c r="C3465" s="9"/>
      <c r="D3465" s="9" t="s">
        <v>76</v>
      </c>
      <c r="E3465" s="38">
        <v>1172</v>
      </c>
      <c r="F3465" s="39">
        <v>1597487.55</v>
      </c>
      <c r="G3465" s="40">
        <v>1363.043984641638</v>
      </c>
      <c r="H3465" s="41">
        <v>1.2541872407264679E-2</v>
      </c>
      <c r="I3465" s="40">
        <v>145.44651116213461</v>
      </c>
      <c r="J3465" s="41">
        <v>0.1067071296311647</v>
      </c>
      <c r="K3465" s="9" t="s">
        <v>4850</v>
      </c>
    </row>
    <row r="3466" spans="1:11" x14ac:dyDescent="0.2">
      <c r="A3466" s="9" t="s">
        <v>30</v>
      </c>
      <c r="B3466" s="9" t="s">
        <v>731</v>
      </c>
      <c r="C3466" s="9"/>
      <c r="D3466" s="9" t="s">
        <v>78</v>
      </c>
      <c r="E3466" s="38">
        <v>1252</v>
      </c>
      <c r="F3466" s="39">
        <v>0</v>
      </c>
      <c r="G3466" s="40"/>
      <c r="H3466" s="41"/>
      <c r="I3466" s="40">
        <v>125.6253071194993</v>
      </c>
      <c r="J3466" s="41"/>
      <c r="K3466" s="9" t="s">
        <v>4851</v>
      </c>
    </row>
    <row r="3467" spans="1:11" x14ac:dyDescent="0.2">
      <c r="A3467" s="9" t="s">
        <v>30</v>
      </c>
      <c r="B3467" s="9" t="s">
        <v>4852</v>
      </c>
      <c r="C3467" s="9"/>
      <c r="D3467" s="9" t="s">
        <v>81</v>
      </c>
      <c r="E3467" s="38">
        <v>2515</v>
      </c>
      <c r="F3467" s="39">
        <v>0</v>
      </c>
      <c r="G3467" s="40"/>
      <c r="H3467" s="41"/>
      <c r="I3467" s="40">
        <v>95.024893949424765</v>
      </c>
      <c r="J3467" s="41"/>
      <c r="K3467" s="9" t="s">
        <v>4853</v>
      </c>
    </row>
    <row r="3468" spans="1:11" x14ac:dyDescent="0.2">
      <c r="A3468" s="9" t="s">
        <v>30</v>
      </c>
      <c r="B3468" s="9" t="s">
        <v>3174</v>
      </c>
      <c r="C3468" s="9"/>
      <c r="D3468" s="9" t="s">
        <v>80</v>
      </c>
      <c r="E3468" s="38">
        <v>2848</v>
      </c>
      <c r="F3468" s="39">
        <v>0</v>
      </c>
      <c r="G3468" s="40"/>
      <c r="H3468" s="41"/>
      <c r="I3468" s="40">
        <v>89.157911162134454</v>
      </c>
      <c r="J3468" s="41"/>
      <c r="K3468" s="9" t="s">
        <v>4854</v>
      </c>
    </row>
    <row r="3469" spans="1:11" x14ac:dyDescent="0.2">
      <c r="A3469" s="9" t="s">
        <v>30</v>
      </c>
      <c r="B3469" s="9" t="s">
        <v>626</v>
      </c>
      <c r="C3469" s="9"/>
      <c r="D3469" s="9" t="s">
        <v>83</v>
      </c>
      <c r="E3469" s="38">
        <v>2566</v>
      </c>
      <c r="F3469" s="39">
        <v>2642069.0699999998</v>
      </c>
      <c r="G3469" s="40">
        <v>1029.645</v>
      </c>
      <c r="H3469" s="41">
        <v>-0.27355206068896892</v>
      </c>
      <c r="I3469" s="40">
        <v>81.347474762877951</v>
      </c>
      <c r="J3469" s="41">
        <v>7.9005360840753797E-2</v>
      </c>
      <c r="K3469" s="9" t="s">
        <v>4855</v>
      </c>
    </row>
    <row r="3470" spans="1:11" x14ac:dyDescent="0.2">
      <c r="A3470" s="9" t="s">
        <v>30</v>
      </c>
      <c r="B3470" s="9" t="s">
        <v>628</v>
      </c>
      <c r="C3470" s="9"/>
      <c r="D3470" s="9" t="s">
        <v>82</v>
      </c>
      <c r="E3470" s="38">
        <v>2306</v>
      </c>
      <c r="F3470" s="39">
        <v>4104380.65</v>
      </c>
      <c r="G3470" s="40">
        <v>1779.8701864700779</v>
      </c>
      <c r="H3470" s="41">
        <v>-4.9659148228646928E-2</v>
      </c>
      <c r="I3470" s="40">
        <v>141.02532850818841</v>
      </c>
      <c r="J3470" s="41">
        <v>7.9233491060309511E-2</v>
      </c>
      <c r="K3470" s="9" t="s">
        <v>4856</v>
      </c>
    </row>
    <row r="3471" spans="1:11" x14ac:dyDescent="0.2">
      <c r="A3471" s="9" t="s">
        <v>30</v>
      </c>
      <c r="B3471" s="9" t="s">
        <v>4857</v>
      </c>
      <c r="C3471" s="9"/>
      <c r="D3471" s="9" t="s">
        <v>83</v>
      </c>
      <c r="E3471" s="38">
        <v>1177</v>
      </c>
      <c r="F3471" s="39">
        <v>0</v>
      </c>
      <c r="G3471" s="40"/>
      <c r="H3471" s="41"/>
      <c r="I3471" s="40">
        <v>134.4635607285301</v>
      </c>
      <c r="J3471" s="41"/>
      <c r="K3471" s="9" t="s">
        <v>4858</v>
      </c>
    </row>
    <row r="3472" spans="1:11" x14ac:dyDescent="0.2">
      <c r="A3472" s="9" t="s">
        <v>30</v>
      </c>
      <c r="B3472" s="9" t="s">
        <v>632</v>
      </c>
      <c r="C3472" s="9"/>
      <c r="D3472" s="9" t="s">
        <v>81</v>
      </c>
      <c r="E3472" s="38">
        <v>4069</v>
      </c>
      <c r="F3472" s="39">
        <v>10239310.23</v>
      </c>
      <c r="G3472" s="40">
        <v>2516.4193241582698</v>
      </c>
      <c r="H3472" s="41">
        <v>3.1771776568164253E-2</v>
      </c>
      <c r="I3472" s="40">
        <v>149.204227690697</v>
      </c>
      <c r="J3472" s="41">
        <v>5.9292275440066051E-2</v>
      </c>
      <c r="K3472" s="9" t="s">
        <v>4859</v>
      </c>
    </row>
    <row r="3473" spans="1:11" x14ac:dyDescent="0.2">
      <c r="A3473" s="9" t="s">
        <v>30</v>
      </c>
      <c r="B3473" s="9" t="s">
        <v>565</v>
      </c>
      <c r="C3473" s="9"/>
      <c r="D3473" s="9" t="s">
        <v>76</v>
      </c>
      <c r="E3473" s="38">
        <v>8995</v>
      </c>
      <c r="F3473" s="39">
        <v>2084603.82</v>
      </c>
      <c r="G3473" s="40">
        <v>231.7513974430239</v>
      </c>
      <c r="H3473" s="41">
        <v>-0.31625996513534771</v>
      </c>
      <c r="I3473" s="40">
        <v>28.970000000000049</v>
      </c>
      <c r="J3473" s="41">
        <v>0.12500463997039041</v>
      </c>
      <c r="K3473" s="9" t="s">
        <v>4860</v>
      </c>
    </row>
    <row r="3474" spans="1:11" x14ac:dyDescent="0.2">
      <c r="A3474" s="9" t="s">
        <v>30</v>
      </c>
      <c r="B3474" s="9" t="s">
        <v>4861</v>
      </c>
      <c r="C3474" s="9"/>
      <c r="D3474" s="9" t="s">
        <v>83</v>
      </c>
      <c r="E3474" s="38">
        <v>1600</v>
      </c>
      <c r="F3474" s="39">
        <v>882571.33000000007</v>
      </c>
      <c r="G3474" s="40">
        <v>551.60708125000008</v>
      </c>
      <c r="H3474" s="41">
        <v>-0.28931775724635211</v>
      </c>
      <c r="I3474" s="40">
        <v>101.9032219787604</v>
      </c>
      <c r="J3474" s="41">
        <v>0.1847387849841175</v>
      </c>
      <c r="K3474" s="9" t="s">
        <v>4862</v>
      </c>
    </row>
    <row r="3475" spans="1:11" x14ac:dyDescent="0.2">
      <c r="A3475" s="9" t="s">
        <v>30</v>
      </c>
      <c r="B3475" s="9" t="s">
        <v>384</v>
      </c>
      <c r="C3475" s="9"/>
      <c r="D3475" s="9" t="s">
        <v>77</v>
      </c>
      <c r="E3475" s="38">
        <v>2936</v>
      </c>
      <c r="F3475" s="39">
        <v>1156672.95</v>
      </c>
      <c r="G3475" s="40">
        <v>393.96217643051767</v>
      </c>
      <c r="H3475" s="41">
        <v>0.73206832035083513</v>
      </c>
      <c r="I3475" s="40">
        <v>119.3589428222129</v>
      </c>
      <c r="J3475" s="41">
        <v>0.30297056408729628</v>
      </c>
      <c r="K3475" s="9" t="s">
        <v>4863</v>
      </c>
    </row>
    <row r="3476" spans="1:11" x14ac:dyDescent="0.2">
      <c r="A3476" s="9" t="s">
        <v>30</v>
      </c>
      <c r="B3476" s="9" t="s">
        <v>4864</v>
      </c>
      <c r="C3476" s="9"/>
      <c r="D3476" s="9" t="s">
        <v>76</v>
      </c>
      <c r="E3476" s="38">
        <v>1512</v>
      </c>
      <c r="F3476" s="39">
        <v>3097522.79</v>
      </c>
      <c r="G3476" s="40">
        <v>2048.6261838624341</v>
      </c>
      <c r="H3476" s="41">
        <v>8.3394471002638304E-2</v>
      </c>
      <c r="I3476" s="40">
        <v>194.86642015684359</v>
      </c>
      <c r="J3476" s="41">
        <v>9.5120535748228513E-2</v>
      </c>
      <c r="K3476" s="9" t="s">
        <v>4865</v>
      </c>
    </row>
    <row r="3477" spans="1:11" x14ac:dyDescent="0.2">
      <c r="A3477" s="9" t="s">
        <v>30</v>
      </c>
      <c r="B3477" s="9" t="s">
        <v>4866</v>
      </c>
      <c r="C3477" s="9"/>
      <c r="D3477" s="9" t="s">
        <v>76</v>
      </c>
      <c r="E3477" s="38">
        <v>2753</v>
      </c>
      <c r="F3477" s="39">
        <v>2074822.96</v>
      </c>
      <c r="G3477" s="40">
        <v>753.65890301489287</v>
      </c>
      <c r="H3477" s="41">
        <v>-0.26181130482494341</v>
      </c>
      <c r="I3477" s="40">
        <v>60.353990891073039</v>
      </c>
      <c r="J3477" s="41">
        <v>8.0081308201411114E-2</v>
      </c>
      <c r="K3477" s="9" t="s">
        <v>4867</v>
      </c>
    </row>
    <row r="3478" spans="1:11" x14ac:dyDescent="0.2">
      <c r="A3478" s="9" t="s">
        <v>30</v>
      </c>
      <c r="B3478" s="9" t="s">
        <v>3035</v>
      </c>
      <c r="C3478" s="9"/>
      <c r="D3478" s="9" t="s">
        <v>76</v>
      </c>
      <c r="E3478" s="38">
        <v>3008</v>
      </c>
      <c r="F3478" s="39">
        <v>1141755.78</v>
      </c>
      <c r="G3478" s="40">
        <v>379.57306515957453</v>
      </c>
      <c r="H3478" s="41">
        <v>-7.6099168773418088E-2</v>
      </c>
      <c r="I3478" s="40">
        <v>87.59197436790933</v>
      </c>
      <c r="J3478" s="41">
        <v>0.2307644625181326</v>
      </c>
      <c r="K3478" s="9" t="s">
        <v>4868</v>
      </c>
    </row>
    <row r="3479" spans="1:11" x14ac:dyDescent="0.2">
      <c r="A3479" s="9" t="s">
        <v>30</v>
      </c>
      <c r="B3479" s="9" t="s">
        <v>640</v>
      </c>
      <c r="C3479" s="9"/>
      <c r="D3479" s="9" t="s">
        <v>83</v>
      </c>
      <c r="E3479" s="38">
        <v>1746</v>
      </c>
      <c r="F3479" s="39">
        <v>2440162.290000001</v>
      </c>
      <c r="G3479" s="40">
        <v>1397.5729037800691</v>
      </c>
      <c r="H3479" s="41">
        <v>-5.4136880073328571E-2</v>
      </c>
      <c r="I3479" s="40">
        <v>73.533279654721781</v>
      </c>
      <c r="J3479" s="41">
        <v>5.2614986635640612E-2</v>
      </c>
      <c r="K3479" s="9" t="s">
        <v>4869</v>
      </c>
    </row>
    <row r="3480" spans="1:11" x14ac:dyDescent="0.2">
      <c r="A3480" s="9" t="s">
        <v>30</v>
      </c>
      <c r="B3480" s="9" t="s">
        <v>4202</v>
      </c>
      <c r="C3480" s="9"/>
      <c r="D3480" s="9" t="s">
        <v>82</v>
      </c>
      <c r="E3480" s="38">
        <v>15116</v>
      </c>
      <c r="F3480" s="39">
        <v>5670751.6500000004</v>
      </c>
      <c r="G3480" s="40">
        <v>375.14895805768731</v>
      </c>
      <c r="H3480" s="41">
        <v>-5.6175171699687963E-2</v>
      </c>
      <c r="I3480" s="40">
        <v>44.040232012437158</v>
      </c>
      <c r="J3480" s="41">
        <v>0.11739398728561851</v>
      </c>
      <c r="K3480" s="9" t="s">
        <v>4870</v>
      </c>
    </row>
    <row r="3481" spans="1:11" x14ac:dyDescent="0.2">
      <c r="A3481" s="9" t="s">
        <v>30</v>
      </c>
      <c r="B3481" s="9" t="s">
        <v>644</v>
      </c>
      <c r="C3481" s="9"/>
      <c r="D3481" s="9" t="s">
        <v>82</v>
      </c>
      <c r="E3481" s="38">
        <v>6804</v>
      </c>
      <c r="F3481" s="39">
        <v>0</v>
      </c>
      <c r="G3481" s="40"/>
      <c r="H3481" s="41"/>
      <c r="I3481" s="40">
        <v>66.420047031158205</v>
      </c>
      <c r="J3481" s="41"/>
      <c r="K3481" s="9" t="s">
        <v>4871</v>
      </c>
    </row>
    <row r="3482" spans="1:11" x14ac:dyDescent="0.2">
      <c r="A3482" s="9" t="s">
        <v>30</v>
      </c>
      <c r="B3482" s="9" t="s">
        <v>3047</v>
      </c>
      <c r="C3482" s="9"/>
      <c r="D3482" s="9" t="s">
        <v>82</v>
      </c>
      <c r="E3482" s="38">
        <v>3400</v>
      </c>
      <c r="F3482" s="39">
        <v>3057941</v>
      </c>
      <c r="G3482" s="40">
        <v>899.39441176470586</v>
      </c>
      <c r="H3482" s="41">
        <v>-0.20026988564534889</v>
      </c>
      <c r="I3482" s="40">
        <v>105.83768142827211</v>
      </c>
      <c r="J3482" s="41">
        <v>0.1176766055512926</v>
      </c>
      <c r="K3482" s="9" t="s">
        <v>4872</v>
      </c>
    </row>
    <row r="3483" spans="1:11" x14ac:dyDescent="0.2">
      <c r="A3483" s="9" t="s">
        <v>30</v>
      </c>
      <c r="B3483" s="9" t="s">
        <v>4873</v>
      </c>
      <c r="C3483" s="9"/>
      <c r="D3483" s="9" t="s">
        <v>81</v>
      </c>
      <c r="E3483" s="38">
        <v>3010</v>
      </c>
      <c r="F3483" s="39">
        <v>3438653.810000001</v>
      </c>
      <c r="G3483" s="40">
        <v>1142.4099036544851</v>
      </c>
      <c r="H3483" s="41">
        <v>4.9327138862335453E-2</v>
      </c>
      <c r="I3483" s="40">
        <v>105.0209843112363</v>
      </c>
      <c r="J3483" s="41">
        <v>9.1929336375045356E-2</v>
      </c>
      <c r="K3483" s="9" t="s">
        <v>4874</v>
      </c>
    </row>
    <row r="3484" spans="1:11" x14ac:dyDescent="0.2">
      <c r="A3484" s="9" t="s">
        <v>65</v>
      </c>
      <c r="B3484" s="9" t="s">
        <v>87</v>
      </c>
      <c r="C3484" s="9" t="s">
        <v>4875</v>
      </c>
      <c r="D3484" s="9" t="s">
        <v>87</v>
      </c>
      <c r="E3484" s="38">
        <v>8400</v>
      </c>
      <c r="F3484" s="39">
        <v>37271185</v>
      </c>
      <c r="G3484" s="40">
        <v>4437.0458333333336</v>
      </c>
      <c r="H3484" s="41"/>
      <c r="I3484" s="40">
        <v>39.29</v>
      </c>
      <c r="J3484" s="41">
        <v>0.89</v>
      </c>
      <c r="K3484" s="9" t="s">
        <v>4876</v>
      </c>
    </row>
    <row r="3485" spans="1:11" x14ac:dyDescent="0.2">
      <c r="A3485" s="9" t="s">
        <v>65</v>
      </c>
      <c r="B3485" s="9" t="s">
        <v>579</v>
      </c>
      <c r="C3485" s="9" t="s">
        <v>4875</v>
      </c>
      <c r="D3485" s="9" t="s">
        <v>76</v>
      </c>
      <c r="E3485" s="38">
        <v>30000</v>
      </c>
      <c r="F3485" s="39">
        <v>12535094</v>
      </c>
      <c r="G3485" s="40">
        <v>417.83646666666669</v>
      </c>
      <c r="H3485" s="41"/>
      <c r="I3485" s="40">
        <v>49.49</v>
      </c>
      <c r="J3485" s="41">
        <v>0.11840000000000001</v>
      </c>
      <c r="K3485" s="9" t="s">
        <v>4877</v>
      </c>
    </row>
    <row r="3486" spans="1:11" x14ac:dyDescent="0.2">
      <c r="A3486" s="9" t="s">
        <v>65</v>
      </c>
      <c r="B3486" s="9" t="s">
        <v>2917</v>
      </c>
      <c r="C3486" s="9" t="s">
        <v>4875</v>
      </c>
      <c r="D3486" s="9" t="s">
        <v>85</v>
      </c>
      <c r="E3486" s="38">
        <v>15312</v>
      </c>
      <c r="F3486" s="39">
        <v>9133764</v>
      </c>
      <c r="G3486" s="40">
        <v>596.51018808777428</v>
      </c>
      <c r="H3486" s="41"/>
      <c r="I3486" s="40">
        <v>58.67</v>
      </c>
      <c r="J3486" s="41">
        <v>9.8400000000000001E-2</v>
      </c>
      <c r="K3486" s="9" t="s">
        <v>4878</v>
      </c>
    </row>
    <row r="3487" spans="1:11" x14ac:dyDescent="0.2">
      <c r="A3487" s="9" t="s">
        <v>65</v>
      </c>
      <c r="B3487" s="9" t="s">
        <v>343</v>
      </c>
      <c r="C3487" s="9" t="s">
        <v>4875</v>
      </c>
      <c r="D3487" s="9" t="s">
        <v>79</v>
      </c>
      <c r="E3487" s="38">
        <v>4428</v>
      </c>
      <c r="F3487" s="39">
        <v>8413145</v>
      </c>
      <c r="G3487" s="40">
        <v>1899.9875790424569</v>
      </c>
      <c r="H3487" s="41"/>
      <c r="I3487" s="40">
        <v>158.46</v>
      </c>
      <c r="J3487" s="41">
        <v>8.2799999999999999E-2</v>
      </c>
      <c r="K3487" s="9" t="s">
        <v>4879</v>
      </c>
    </row>
    <row r="3488" spans="1:11" x14ac:dyDescent="0.2">
      <c r="A3488" s="9" t="s">
        <v>65</v>
      </c>
      <c r="B3488" s="9" t="s">
        <v>4880</v>
      </c>
      <c r="C3488" s="9" t="s">
        <v>4875</v>
      </c>
      <c r="D3488" s="9" t="s">
        <v>81</v>
      </c>
      <c r="E3488" s="38">
        <v>10382</v>
      </c>
      <c r="F3488" s="39">
        <v>5220340</v>
      </c>
      <c r="G3488" s="40">
        <v>502.82604507801972</v>
      </c>
      <c r="H3488" s="41"/>
      <c r="I3488" s="40">
        <v>53.54</v>
      </c>
      <c r="J3488" s="41">
        <v>0.13550000000000001</v>
      </c>
      <c r="K3488" s="9" t="s">
        <v>4881</v>
      </c>
    </row>
    <row r="3489" spans="1:11" x14ac:dyDescent="0.2">
      <c r="A3489" s="9" t="s">
        <v>65</v>
      </c>
      <c r="B3489" s="9" t="s">
        <v>247</v>
      </c>
      <c r="C3489" s="9" t="s">
        <v>4875</v>
      </c>
      <c r="D3489" s="9" t="s">
        <v>76</v>
      </c>
      <c r="E3489" s="38">
        <v>27239</v>
      </c>
      <c r="F3489" s="39">
        <v>4866857</v>
      </c>
      <c r="G3489" s="40">
        <v>178.67238151180291</v>
      </c>
      <c r="H3489" s="41"/>
      <c r="I3489" s="40">
        <v>15.31</v>
      </c>
      <c r="J3489" s="41">
        <v>8.5699999999999998E-2</v>
      </c>
      <c r="K3489" s="9" t="s">
        <v>4882</v>
      </c>
    </row>
    <row r="3490" spans="1:11" x14ac:dyDescent="0.2">
      <c r="A3490" s="9" t="s">
        <v>65</v>
      </c>
      <c r="B3490" s="9" t="s">
        <v>4883</v>
      </c>
      <c r="C3490" s="9" t="s">
        <v>4875</v>
      </c>
      <c r="D3490" s="9" t="s">
        <v>76</v>
      </c>
      <c r="E3490" s="38">
        <v>7506</v>
      </c>
      <c r="F3490" s="39">
        <v>3298215</v>
      </c>
      <c r="G3490" s="40">
        <v>439.41047162270178</v>
      </c>
      <c r="H3490" s="41"/>
      <c r="I3490" s="40">
        <v>43.34</v>
      </c>
      <c r="J3490" s="41">
        <v>9.8599999999999993E-2</v>
      </c>
      <c r="K3490" s="9" t="s">
        <v>4884</v>
      </c>
    </row>
    <row r="3491" spans="1:11" x14ac:dyDescent="0.2">
      <c r="A3491" s="9" t="s">
        <v>65</v>
      </c>
      <c r="B3491" s="9" t="s">
        <v>479</v>
      </c>
      <c r="C3491" s="9" t="s">
        <v>4875</v>
      </c>
      <c r="D3491" s="9" t="s">
        <v>77</v>
      </c>
      <c r="E3491" s="38">
        <v>5500</v>
      </c>
      <c r="F3491" s="39">
        <v>2877194</v>
      </c>
      <c r="G3491" s="40">
        <v>523.12618181818186</v>
      </c>
      <c r="H3491" s="41"/>
      <c r="I3491" s="40">
        <v>58.62</v>
      </c>
      <c r="J3491" s="41">
        <v>0.1111</v>
      </c>
      <c r="K3491" s="9" t="s">
        <v>4885</v>
      </c>
    </row>
    <row r="3492" spans="1:11" x14ac:dyDescent="0.2">
      <c r="A3492" s="9" t="s">
        <v>65</v>
      </c>
      <c r="B3492" s="9" t="s">
        <v>650</v>
      </c>
      <c r="C3492" s="9" t="s">
        <v>4875</v>
      </c>
      <c r="D3492" s="9" t="s">
        <v>76</v>
      </c>
      <c r="E3492" s="38">
        <v>5600</v>
      </c>
      <c r="F3492" s="39">
        <v>2727694</v>
      </c>
      <c r="G3492" s="40">
        <v>487.08821428571429</v>
      </c>
      <c r="H3492" s="41"/>
      <c r="I3492" s="40">
        <v>103.5</v>
      </c>
      <c r="J3492" s="41">
        <v>0.21249999999999999</v>
      </c>
      <c r="K3492" s="9" t="s">
        <v>4886</v>
      </c>
    </row>
    <row r="3493" spans="1:11" x14ac:dyDescent="0.2">
      <c r="A3493" s="9" t="s">
        <v>65</v>
      </c>
      <c r="B3493" s="9" t="s">
        <v>140</v>
      </c>
      <c r="C3493" s="9" t="s">
        <v>4875</v>
      </c>
      <c r="D3493" s="9" t="s">
        <v>76</v>
      </c>
      <c r="E3493" s="38">
        <v>5000</v>
      </c>
      <c r="F3493" s="39">
        <v>2635964</v>
      </c>
      <c r="G3493" s="40">
        <v>527.19280000000003</v>
      </c>
      <c r="H3493" s="41"/>
      <c r="I3493" s="40">
        <v>97.14</v>
      </c>
      <c r="J3493" s="41">
        <v>0.18429999999999999</v>
      </c>
      <c r="K3493" s="9" t="s">
        <v>4887</v>
      </c>
    </row>
    <row r="3494" spans="1:11" x14ac:dyDescent="0.2">
      <c r="A3494" s="9" t="s">
        <v>65</v>
      </c>
      <c r="B3494" s="9" t="s">
        <v>640</v>
      </c>
      <c r="C3494" s="9" t="s">
        <v>4875</v>
      </c>
      <c r="D3494" s="9" t="s">
        <v>79</v>
      </c>
      <c r="E3494" s="38">
        <v>1600</v>
      </c>
      <c r="F3494" s="39">
        <v>2334671</v>
      </c>
      <c r="G3494" s="40">
        <v>1459.1693749999999</v>
      </c>
      <c r="H3494" s="41"/>
      <c r="I3494" s="40">
        <v>24.76</v>
      </c>
      <c r="J3494" s="41">
        <v>5.33E-2</v>
      </c>
      <c r="K3494" s="9" t="s">
        <v>4888</v>
      </c>
    </row>
    <row r="3495" spans="1:11" x14ac:dyDescent="0.2">
      <c r="A3495" s="9" t="s">
        <v>65</v>
      </c>
      <c r="B3495" s="9" t="s">
        <v>164</v>
      </c>
      <c r="C3495" s="9" t="s">
        <v>4875</v>
      </c>
      <c r="D3495" s="9" t="s">
        <v>76</v>
      </c>
      <c r="E3495" s="38">
        <v>3889</v>
      </c>
      <c r="F3495" s="39">
        <v>2079642</v>
      </c>
      <c r="G3495" s="40">
        <v>534.74980714836715</v>
      </c>
      <c r="H3495" s="41"/>
      <c r="I3495" s="40">
        <v>53</v>
      </c>
      <c r="J3495" s="41">
        <v>9.9100000000000008E-2</v>
      </c>
      <c r="K3495" s="9" t="s">
        <v>4889</v>
      </c>
    </row>
    <row r="3496" spans="1:11" x14ac:dyDescent="0.2">
      <c r="A3496" s="9" t="s">
        <v>65</v>
      </c>
      <c r="B3496" s="9" t="s">
        <v>329</v>
      </c>
      <c r="C3496" s="9" t="s">
        <v>4875</v>
      </c>
      <c r="D3496" s="9" t="s">
        <v>82</v>
      </c>
      <c r="E3496" s="38">
        <v>1137</v>
      </c>
      <c r="F3496" s="39">
        <v>2019897</v>
      </c>
      <c r="G3496" s="40">
        <v>1776.514511873351</v>
      </c>
      <c r="H3496" s="41"/>
      <c r="I3496" s="40">
        <v>97.72</v>
      </c>
      <c r="J3496" s="41">
        <v>8.0100000000000005E-2</v>
      </c>
      <c r="K3496" s="9" t="s">
        <v>4890</v>
      </c>
    </row>
    <row r="3497" spans="1:11" x14ac:dyDescent="0.2">
      <c r="A3497" s="9" t="s">
        <v>65</v>
      </c>
      <c r="B3497" s="9" t="s">
        <v>179</v>
      </c>
      <c r="C3497" s="9" t="s">
        <v>4875</v>
      </c>
      <c r="D3497" s="9" t="s">
        <v>79</v>
      </c>
      <c r="E3497" s="38">
        <v>3334</v>
      </c>
      <c r="F3497" s="39">
        <v>2007127</v>
      </c>
      <c r="G3497" s="40">
        <v>602.01769646070784</v>
      </c>
      <c r="H3497" s="41"/>
      <c r="I3497" s="40">
        <v>60.4</v>
      </c>
      <c r="J3497" s="41">
        <v>0.1003</v>
      </c>
      <c r="K3497" s="9" t="s">
        <v>4891</v>
      </c>
    </row>
    <row r="3498" spans="1:11" x14ac:dyDescent="0.2">
      <c r="A3498" s="9" t="s">
        <v>65</v>
      </c>
      <c r="B3498" s="9" t="s">
        <v>169</v>
      </c>
      <c r="C3498" s="9" t="s">
        <v>4875</v>
      </c>
      <c r="D3498" s="9" t="s">
        <v>76</v>
      </c>
      <c r="E3498" s="38">
        <v>6000</v>
      </c>
      <c r="F3498" s="39">
        <v>1755850</v>
      </c>
      <c r="G3498" s="40">
        <v>292.64166666666671</v>
      </c>
      <c r="H3498" s="41"/>
      <c r="I3498" s="40">
        <v>20.62</v>
      </c>
      <c r="J3498" s="41">
        <v>7.0499999999999993E-2</v>
      </c>
      <c r="K3498" s="9" t="s">
        <v>4892</v>
      </c>
    </row>
    <row r="3499" spans="1:11" x14ac:dyDescent="0.2">
      <c r="A3499" s="9" t="s">
        <v>65</v>
      </c>
      <c r="B3499" s="9" t="s">
        <v>317</v>
      </c>
      <c r="C3499" s="9" t="s">
        <v>4875</v>
      </c>
      <c r="D3499" s="9" t="s">
        <v>76</v>
      </c>
      <c r="E3499" s="38">
        <v>5504</v>
      </c>
      <c r="F3499" s="39">
        <v>1855386</v>
      </c>
      <c r="G3499" s="40">
        <v>337.09774709302332</v>
      </c>
      <c r="H3499" s="41"/>
      <c r="I3499" s="40">
        <v>36.340000000000003</v>
      </c>
      <c r="J3499" s="41">
        <v>6.9000000000000006E-2</v>
      </c>
      <c r="K3499" s="9" t="s">
        <v>4893</v>
      </c>
    </row>
    <row r="3500" spans="1:11" x14ac:dyDescent="0.2">
      <c r="A3500" s="9" t="s">
        <v>65</v>
      </c>
      <c r="B3500" s="9" t="s">
        <v>321</v>
      </c>
      <c r="C3500" s="9" t="s">
        <v>4875</v>
      </c>
      <c r="D3500" s="9" t="s">
        <v>78</v>
      </c>
      <c r="E3500" s="38">
        <v>750</v>
      </c>
      <c r="F3500" s="39">
        <v>1606419</v>
      </c>
      <c r="G3500" s="40">
        <v>2141.8919999999998</v>
      </c>
      <c r="H3500" s="41"/>
      <c r="I3500" s="40">
        <v>124.22</v>
      </c>
      <c r="J3500" s="41">
        <v>7.5800000000000006E-2</v>
      </c>
      <c r="K3500" s="9" t="s">
        <v>4894</v>
      </c>
    </row>
    <row r="3501" spans="1:11" x14ac:dyDescent="0.2">
      <c r="A3501" s="9" t="s">
        <v>65</v>
      </c>
      <c r="B3501" s="9" t="s">
        <v>200</v>
      </c>
      <c r="C3501" s="9" t="s">
        <v>4875</v>
      </c>
      <c r="D3501" s="9" t="s">
        <v>77</v>
      </c>
      <c r="E3501" s="38">
        <v>5173</v>
      </c>
      <c r="F3501" s="39">
        <v>1475674</v>
      </c>
      <c r="G3501" s="40">
        <v>285.2646433404214</v>
      </c>
      <c r="H3501" s="41"/>
      <c r="I3501" s="40">
        <v>39.57</v>
      </c>
      <c r="J3501" s="41">
        <v>0.17760000000000001</v>
      </c>
      <c r="K3501" s="9" t="s">
        <v>4895</v>
      </c>
    </row>
    <row r="3502" spans="1:11" x14ac:dyDescent="0.2">
      <c r="A3502" s="9" t="s">
        <v>65</v>
      </c>
      <c r="B3502" s="9" t="s">
        <v>275</v>
      </c>
      <c r="C3502" s="9" t="s">
        <v>4875</v>
      </c>
      <c r="D3502" s="9" t="s">
        <v>83</v>
      </c>
      <c r="E3502" s="38">
        <v>3642</v>
      </c>
      <c r="F3502" s="39">
        <v>1415845</v>
      </c>
      <c r="G3502" s="40">
        <v>388.75480505216922</v>
      </c>
      <c r="H3502" s="41"/>
      <c r="I3502" s="40">
        <v>52</v>
      </c>
      <c r="J3502" s="41">
        <v>0.157</v>
      </c>
      <c r="K3502" s="9" t="s">
        <v>4896</v>
      </c>
    </row>
    <row r="3503" spans="1:11" x14ac:dyDescent="0.2">
      <c r="A3503" s="9" t="s">
        <v>65</v>
      </c>
      <c r="B3503" s="9" t="s">
        <v>357</v>
      </c>
      <c r="C3503" s="9" t="s">
        <v>4875</v>
      </c>
      <c r="D3503" s="9" t="s">
        <v>76</v>
      </c>
      <c r="E3503" s="38">
        <v>998</v>
      </c>
      <c r="F3503" s="39">
        <v>951357</v>
      </c>
      <c r="G3503" s="40">
        <v>953.26352705410818</v>
      </c>
      <c r="H3503" s="41"/>
      <c r="I3503" s="40">
        <v>103.4</v>
      </c>
      <c r="J3503" s="41">
        <v>0.1178</v>
      </c>
      <c r="K3503" s="9" t="s">
        <v>4897</v>
      </c>
    </row>
    <row r="3504" spans="1:11" x14ac:dyDescent="0.2">
      <c r="A3504" s="9" t="s">
        <v>65</v>
      </c>
      <c r="B3504" s="9" t="s">
        <v>271</v>
      </c>
      <c r="C3504" s="9" t="s">
        <v>4875</v>
      </c>
      <c r="D3504" s="9" t="s">
        <v>78</v>
      </c>
      <c r="E3504" s="38">
        <v>1900</v>
      </c>
      <c r="F3504" s="39">
        <v>907555</v>
      </c>
      <c r="G3504" s="40">
        <v>477.66052631578953</v>
      </c>
      <c r="H3504" s="41"/>
      <c r="I3504" s="40">
        <v>104.49</v>
      </c>
      <c r="J3504" s="41">
        <v>0.32779999999999998</v>
      </c>
      <c r="K3504" s="9" t="s">
        <v>4898</v>
      </c>
    </row>
    <row r="3505" spans="1:11" x14ac:dyDescent="0.2">
      <c r="A3505" s="9" t="s">
        <v>65</v>
      </c>
      <c r="B3505" s="9" t="s">
        <v>267</v>
      </c>
      <c r="C3505" s="9" t="s">
        <v>4875</v>
      </c>
      <c r="D3505" s="9" t="s">
        <v>77</v>
      </c>
      <c r="E3505" s="38">
        <v>1810</v>
      </c>
      <c r="F3505" s="39">
        <v>859493</v>
      </c>
      <c r="G3505" s="40">
        <v>474.85801104972381</v>
      </c>
      <c r="H3505" s="41"/>
      <c r="I3505" s="40">
        <v>69.31</v>
      </c>
      <c r="J3505" s="41">
        <v>0.19070000000000001</v>
      </c>
      <c r="K3505" s="9" t="s">
        <v>4899</v>
      </c>
    </row>
    <row r="3506" spans="1:11" x14ac:dyDescent="0.2">
      <c r="A3506" s="9" t="s">
        <v>65</v>
      </c>
      <c r="B3506" s="9" t="s">
        <v>4900</v>
      </c>
      <c r="C3506" s="9" t="s">
        <v>4875</v>
      </c>
      <c r="D3506" s="9" t="s">
        <v>79</v>
      </c>
      <c r="E3506" s="38">
        <v>2095</v>
      </c>
      <c r="F3506" s="39">
        <v>798571</v>
      </c>
      <c r="G3506" s="40">
        <v>381.1794749403341</v>
      </c>
      <c r="H3506" s="41"/>
      <c r="I3506" s="40">
        <v>54.78</v>
      </c>
      <c r="J3506" s="41">
        <v>0.14369999999999999</v>
      </c>
      <c r="K3506" s="9" t="s">
        <v>4901</v>
      </c>
    </row>
    <row r="3507" spans="1:11" x14ac:dyDescent="0.2">
      <c r="A3507" s="9" t="s">
        <v>65</v>
      </c>
      <c r="B3507" s="9" t="s">
        <v>301</v>
      </c>
      <c r="C3507" s="9" t="s">
        <v>4875</v>
      </c>
      <c r="D3507" s="9" t="s">
        <v>82</v>
      </c>
      <c r="E3507" s="38">
        <v>4492</v>
      </c>
      <c r="F3507" s="39">
        <v>744752</v>
      </c>
      <c r="G3507" s="40">
        <v>165.79519145146929</v>
      </c>
      <c r="H3507" s="41"/>
      <c r="I3507" s="40">
        <v>27.28</v>
      </c>
      <c r="J3507" s="41">
        <v>0.1633</v>
      </c>
      <c r="K3507" s="9" t="s">
        <v>4902</v>
      </c>
    </row>
    <row r="3508" spans="1:11" x14ac:dyDescent="0.2">
      <c r="A3508" s="9" t="s">
        <v>65</v>
      </c>
      <c r="B3508" s="9" t="s">
        <v>398</v>
      </c>
      <c r="C3508" s="9" t="s">
        <v>4875</v>
      </c>
      <c r="D3508" s="9" t="s">
        <v>76</v>
      </c>
      <c r="E3508" s="38">
        <v>2577</v>
      </c>
      <c r="F3508" s="39">
        <v>492148</v>
      </c>
      <c r="G3508" s="40">
        <v>190.97710516103999</v>
      </c>
      <c r="H3508" s="41"/>
      <c r="I3508" s="40">
        <v>25.87</v>
      </c>
      <c r="J3508" s="41">
        <v>0.13539999999999999</v>
      </c>
      <c r="K3508" s="9" t="s">
        <v>4903</v>
      </c>
    </row>
    <row r="3509" spans="1:11" x14ac:dyDescent="0.2">
      <c r="A3509" s="9" t="s">
        <v>65</v>
      </c>
      <c r="B3509" s="9" t="s">
        <v>256</v>
      </c>
      <c r="C3509" s="9" t="s">
        <v>4875</v>
      </c>
      <c r="D3509" s="9" t="s">
        <v>76</v>
      </c>
      <c r="E3509" s="38">
        <v>3158</v>
      </c>
      <c r="F3509" s="39">
        <v>454287</v>
      </c>
      <c r="G3509" s="40">
        <v>143.85275490816969</v>
      </c>
      <c r="H3509" s="41"/>
      <c r="I3509" s="40">
        <v>28.5</v>
      </c>
      <c r="J3509" s="41">
        <v>0.1981</v>
      </c>
      <c r="K3509" s="9" t="s">
        <v>4904</v>
      </c>
    </row>
    <row r="3510" spans="1:11" x14ac:dyDescent="0.2">
      <c r="A3510" s="9" t="s">
        <v>65</v>
      </c>
      <c r="B3510" s="9" t="s">
        <v>283</v>
      </c>
      <c r="C3510" s="9" t="s">
        <v>4875</v>
      </c>
      <c r="D3510" s="9" t="s">
        <v>78</v>
      </c>
      <c r="E3510" s="38">
        <v>733</v>
      </c>
      <c r="F3510" s="39">
        <v>341385</v>
      </c>
      <c r="G3510" s="40">
        <v>465.73669849931792</v>
      </c>
      <c r="H3510" s="41"/>
      <c r="I3510" s="40">
        <v>137.47</v>
      </c>
      <c r="J3510" s="41">
        <v>0.3271</v>
      </c>
      <c r="K3510" s="9" t="s">
        <v>4905</v>
      </c>
    </row>
    <row r="3511" spans="1:11" x14ac:dyDescent="0.2">
      <c r="A3511" s="9" t="s">
        <v>65</v>
      </c>
      <c r="B3511" s="9" t="s">
        <v>243</v>
      </c>
      <c r="C3511" s="9" t="s">
        <v>4875</v>
      </c>
      <c r="D3511" s="9" t="s">
        <v>82</v>
      </c>
      <c r="E3511" s="38">
        <v>1150</v>
      </c>
      <c r="F3511" s="39">
        <v>319468</v>
      </c>
      <c r="G3511" s="40">
        <v>277.79826086956518</v>
      </c>
      <c r="H3511" s="41"/>
      <c r="I3511" s="40">
        <v>45</v>
      </c>
      <c r="J3511" s="41">
        <v>0.32</v>
      </c>
      <c r="K3511" s="9" t="s">
        <v>4906</v>
      </c>
    </row>
    <row r="3512" spans="1:11" x14ac:dyDescent="0.2">
      <c r="A3512" s="9" t="s">
        <v>65</v>
      </c>
      <c r="B3512" s="9" t="s">
        <v>277</v>
      </c>
      <c r="C3512" s="9" t="s">
        <v>4875</v>
      </c>
      <c r="D3512" s="9" t="s">
        <v>76</v>
      </c>
      <c r="E3512" s="38">
        <v>1142</v>
      </c>
      <c r="F3512" s="39">
        <v>348960</v>
      </c>
      <c r="G3512" s="40">
        <v>305.56917688266202</v>
      </c>
      <c r="H3512" s="41"/>
      <c r="I3512" s="40">
        <v>32.840000000000003</v>
      </c>
      <c r="J3512" s="41">
        <v>0.1164</v>
      </c>
      <c r="K3512" s="9" t="s">
        <v>4907</v>
      </c>
    </row>
    <row r="3513" spans="1:11" x14ac:dyDescent="0.2">
      <c r="A3513" s="9" t="s">
        <v>65</v>
      </c>
      <c r="B3513" s="9" t="s">
        <v>4908</v>
      </c>
      <c r="C3513" s="9" t="s">
        <v>4875</v>
      </c>
      <c r="D3513" s="9" t="s">
        <v>76</v>
      </c>
      <c r="E3513" s="38">
        <v>3613</v>
      </c>
      <c r="F3513" s="39">
        <v>768361</v>
      </c>
      <c r="G3513" s="40">
        <v>212.66565181289789</v>
      </c>
      <c r="H3513" s="41"/>
      <c r="I3513" s="40">
        <v>25</v>
      </c>
      <c r="J3513" s="41">
        <v>0.1176</v>
      </c>
      <c r="K3513" s="9" t="s">
        <v>4909</v>
      </c>
    </row>
    <row r="3514" spans="1:11" x14ac:dyDescent="0.2">
      <c r="A3514" s="9" t="s">
        <v>65</v>
      </c>
      <c r="B3514" s="9" t="s">
        <v>981</v>
      </c>
      <c r="C3514" s="9" t="s">
        <v>4875</v>
      </c>
      <c r="D3514" s="9" t="s">
        <v>76</v>
      </c>
      <c r="E3514" s="38">
        <v>8029</v>
      </c>
      <c r="F3514" s="39">
        <v>2724270</v>
      </c>
      <c r="G3514" s="40">
        <v>339.30377381990291</v>
      </c>
      <c r="H3514" s="41"/>
      <c r="I3514" s="40">
        <v>37.35</v>
      </c>
      <c r="J3514" s="41">
        <v>0.1101</v>
      </c>
      <c r="K3514" s="9" t="s">
        <v>4910</v>
      </c>
    </row>
    <row r="3515" spans="1:11" x14ac:dyDescent="0.2">
      <c r="A3515" s="9" t="s">
        <v>65</v>
      </c>
      <c r="B3515" s="9" t="s">
        <v>260</v>
      </c>
      <c r="C3515" s="9" t="s">
        <v>4875</v>
      </c>
      <c r="D3515" s="9" t="s">
        <v>76</v>
      </c>
      <c r="E3515" s="38">
        <v>3500</v>
      </c>
      <c r="F3515" s="39">
        <v>629445</v>
      </c>
      <c r="G3515" s="40">
        <v>179.84142857142859</v>
      </c>
      <c r="H3515" s="41"/>
      <c r="I3515" s="40">
        <v>37.659999999999997</v>
      </c>
      <c r="J3515" s="41">
        <v>0.3221</v>
      </c>
      <c r="K3515" s="9" t="s">
        <v>4911</v>
      </c>
    </row>
    <row r="3516" spans="1:11" x14ac:dyDescent="0.2">
      <c r="A3516" s="9" t="s">
        <v>65</v>
      </c>
      <c r="B3516" s="9" t="s">
        <v>545</v>
      </c>
      <c r="C3516" s="9" t="s">
        <v>4875</v>
      </c>
      <c r="D3516" s="9" t="s">
        <v>76</v>
      </c>
      <c r="E3516" s="38">
        <v>6013</v>
      </c>
      <c r="F3516" s="39">
        <v>577162</v>
      </c>
      <c r="G3516" s="40">
        <v>95.985697655080656</v>
      </c>
      <c r="H3516" s="41"/>
      <c r="I3516" s="40">
        <v>64.3</v>
      </c>
      <c r="J3516" s="41">
        <v>0.57979999999999998</v>
      </c>
      <c r="K3516" s="9" t="s">
        <v>4912</v>
      </c>
    </row>
    <row r="3517" spans="1:11" x14ac:dyDescent="0.2">
      <c r="A3517" s="9" t="s">
        <v>65</v>
      </c>
      <c r="B3517" s="9" t="s">
        <v>1213</v>
      </c>
      <c r="C3517" s="9" t="s">
        <v>4875</v>
      </c>
      <c r="D3517" s="9" t="s">
        <v>85</v>
      </c>
      <c r="E3517" s="38">
        <v>2368</v>
      </c>
      <c r="F3517" s="39">
        <v>778560</v>
      </c>
      <c r="G3517" s="40">
        <v>328.7837837837838</v>
      </c>
      <c r="H3517" s="41"/>
      <c r="I3517" s="40">
        <v>100.85</v>
      </c>
      <c r="J3517" s="41">
        <v>0.30149999999999999</v>
      </c>
      <c r="K3517" s="9" t="s">
        <v>4913</v>
      </c>
    </row>
    <row r="3518" spans="1:11" x14ac:dyDescent="0.2">
      <c r="A3518" s="9" t="s">
        <v>65</v>
      </c>
      <c r="B3518" s="9" t="s">
        <v>4914</v>
      </c>
      <c r="C3518" s="9" t="s">
        <v>4875</v>
      </c>
      <c r="D3518" s="9" t="s">
        <v>76</v>
      </c>
      <c r="E3518" s="38">
        <v>4070</v>
      </c>
      <c r="F3518" s="39">
        <v>530658</v>
      </c>
      <c r="G3518" s="40">
        <v>130.382800982801</v>
      </c>
      <c r="H3518" s="41"/>
      <c r="I3518" s="40">
        <v>59.18</v>
      </c>
      <c r="J3518" s="41">
        <v>0.1598</v>
      </c>
      <c r="K3518" s="9" t="s">
        <v>4915</v>
      </c>
    </row>
    <row r="3519" spans="1:11" x14ac:dyDescent="0.2">
      <c r="A3519" s="9" t="s">
        <v>65</v>
      </c>
      <c r="B3519" s="9" t="s">
        <v>353</v>
      </c>
      <c r="C3519" s="9" t="s">
        <v>4875</v>
      </c>
      <c r="D3519" s="9" t="s">
        <v>76</v>
      </c>
      <c r="E3519" s="38">
        <v>1916</v>
      </c>
      <c r="F3519" s="39">
        <v>543656</v>
      </c>
      <c r="G3519" s="40">
        <v>283.74530271398748</v>
      </c>
      <c r="H3519" s="41"/>
      <c r="I3519" s="40">
        <v>19.77</v>
      </c>
      <c r="J3519" s="41">
        <v>6.9699999999999998E-2</v>
      </c>
      <c r="K3519" s="9" t="s">
        <v>4916</v>
      </c>
    </row>
    <row r="3520" spans="1:11" x14ac:dyDescent="0.2">
      <c r="A3520" s="9" t="s">
        <v>65</v>
      </c>
      <c r="B3520" s="9" t="s">
        <v>4917</v>
      </c>
      <c r="C3520" s="9" t="s">
        <v>4875</v>
      </c>
      <c r="D3520" s="9" t="s">
        <v>76</v>
      </c>
      <c r="E3520" s="38">
        <v>3860</v>
      </c>
      <c r="F3520" s="39">
        <v>602452</v>
      </c>
      <c r="G3520" s="40">
        <v>156.0756476683938</v>
      </c>
      <c r="H3520" s="41"/>
      <c r="I3520" s="40">
        <v>15.59</v>
      </c>
      <c r="J3520" s="41">
        <v>0.1167</v>
      </c>
      <c r="K3520" s="9" t="s">
        <v>4918</v>
      </c>
    </row>
    <row r="3521" spans="1:11" x14ac:dyDescent="0.2">
      <c r="A3521" s="9" t="s">
        <v>65</v>
      </c>
      <c r="B3521" s="9" t="s">
        <v>731</v>
      </c>
      <c r="C3521" s="9" t="s">
        <v>4875</v>
      </c>
      <c r="D3521" s="9" t="s">
        <v>78</v>
      </c>
      <c r="E3521" s="38">
        <v>873</v>
      </c>
      <c r="F3521" s="39">
        <v>722948</v>
      </c>
      <c r="G3521" s="40">
        <v>828.1191294387171</v>
      </c>
      <c r="H3521" s="41"/>
      <c r="I3521" s="40">
        <v>81.400000000000006</v>
      </c>
      <c r="J3521" s="41">
        <v>0.16159999999999999</v>
      </c>
      <c r="K3521" s="9" t="s">
        <v>4919</v>
      </c>
    </row>
    <row r="3522" spans="1:11" x14ac:dyDescent="0.2">
      <c r="A3522" s="9" t="s">
        <v>65</v>
      </c>
      <c r="B3522" s="9" t="s">
        <v>437</v>
      </c>
      <c r="C3522" s="9" t="s">
        <v>4875</v>
      </c>
      <c r="D3522" s="9" t="s">
        <v>77</v>
      </c>
      <c r="E3522" s="38">
        <v>1909</v>
      </c>
      <c r="F3522" s="39">
        <v>790260</v>
      </c>
      <c r="G3522" s="40">
        <v>413.96542692509172</v>
      </c>
      <c r="H3522" s="41"/>
      <c r="I3522" s="40">
        <v>86.98</v>
      </c>
      <c r="J3522" s="41">
        <v>0.20630000000000001</v>
      </c>
      <c r="K3522" s="9" t="s">
        <v>4920</v>
      </c>
    </row>
    <row r="3523" spans="1:11" x14ac:dyDescent="0.2">
      <c r="A3523" s="9" t="s">
        <v>65</v>
      </c>
      <c r="B3523" s="9" t="s">
        <v>877</v>
      </c>
      <c r="C3523" s="9" t="s">
        <v>4875</v>
      </c>
      <c r="D3523" s="9" t="s">
        <v>76</v>
      </c>
      <c r="E3523" s="38">
        <v>6165</v>
      </c>
      <c r="F3523" s="39">
        <v>744974</v>
      </c>
      <c r="G3523" s="40">
        <v>120.8392538523925</v>
      </c>
      <c r="H3523" s="41"/>
      <c r="I3523" s="40">
        <v>9.19</v>
      </c>
      <c r="J3523" s="41">
        <v>6.0999999999999999E-2</v>
      </c>
      <c r="K3523" s="9" t="s">
        <v>4921</v>
      </c>
    </row>
    <row r="3524" spans="1:11" x14ac:dyDescent="0.2">
      <c r="A3524" s="9" t="s">
        <v>65</v>
      </c>
      <c r="B3524" s="9" t="s">
        <v>652</v>
      </c>
      <c r="C3524" s="9" t="s">
        <v>4875</v>
      </c>
      <c r="D3524" s="9" t="s">
        <v>76</v>
      </c>
      <c r="E3524" s="38">
        <v>3007</v>
      </c>
      <c r="F3524" s="39">
        <v>1212022</v>
      </c>
      <c r="G3524" s="40">
        <v>403.06684403059529</v>
      </c>
      <c r="H3524" s="41"/>
      <c r="I3524" s="40">
        <v>36.229999999999997</v>
      </c>
      <c r="J3524" s="41">
        <v>8.9900000000000008E-2</v>
      </c>
      <c r="K3524" s="9" t="s">
        <v>4922</v>
      </c>
    </row>
    <row r="3525" spans="1:11" x14ac:dyDescent="0.2">
      <c r="A3525" s="9" t="s">
        <v>34</v>
      </c>
      <c r="B3525" s="9" t="s">
        <v>650</v>
      </c>
      <c r="C3525" s="9"/>
      <c r="D3525" s="9" t="s">
        <v>76</v>
      </c>
      <c r="E3525" s="38">
        <v>9318</v>
      </c>
      <c r="F3525" s="39">
        <v>2979339.74</v>
      </c>
      <c r="G3525" s="40">
        <v>319.74025971238473</v>
      </c>
      <c r="H3525" s="41">
        <v>-5.4034983563215747E-2</v>
      </c>
      <c r="I3525" s="40">
        <v>9.6587250482936255</v>
      </c>
      <c r="J3525" s="41">
        <v>3.0208035287711089E-2</v>
      </c>
      <c r="K3525" s="9" t="s">
        <v>4923</v>
      </c>
    </row>
    <row r="3526" spans="1:11" x14ac:dyDescent="0.2">
      <c r="A3526" s="9" t="s">
        <v>34</v>
      </c>
      <c r="B3526" s="9" t="s">
        <v>4924</v>
      </c>
      <c r="C3526" s="9"/>
      <c r="D3526" s="9" t="s">
        <v>82</v>
      </c>
      <c r="E3526" s="38">
        <v>15135</v>
      </c>
      <c r="F3526" s="39">
        <v>906870.42</v>
      </c>
      <c r="G3526" s="40">
        <v>59.918759167492567</v>
      </c>
      <c r="H3526" s="41"/>
      <c r="I3526" s="40">
        <v>24.149653121902869</v>
      </c>
      <c r="J3526" s="41">
        <v>0.40303994036987112</v>
      </c>
      <c r="K3526" s="9" t="s">
        <v>4925</v>
      </c>
    </row>
    <row r="3527" spans="1:11" x14ac:dyDescent="0.2">
      <c r="A3527" s="9" t="s">
        <v>34</v>
      </c>
      <c r="B3527" s="9" t="s">
        <v>164</v>
      </c>
      <c r="C3527" s="9"/>
      <c r="D3527" s="9" t="s">
        <v>76</v>
      </c>
      <c r="E3527" s="38">
        <v>4837</v>
      </c>
      <c r="F3527" s="39">
        <v>2298900.29</v>
      </c>
      <c r="G3527" s="40">
        <v>475.2739900764937</v>
      </c>
      <c r="H3527" s="41">
        <v>-5.6501790871335687E-2</v>
      </c>
      <c r="I3527" s="40">
        <v>32.655555096133973</v>
      </c>
      <c r="J3527" s="41">
        <v>6.8708904290929476E-2</v>
      </c>
      <c r="K3527" s="9" t="s">
        <v>4926</v>
      </c>
    </row>
    <row r="3528" spans="1:11" x14ac:dyDescent="0.2">
      <c r="A3528" s="9" t="s">
        <v>34</v>
      </c>
      <c r="B3528" s="9" t="s">
        <v>166</v>
      </c>
      <c r="C3528" s="9"/>
      <c r="D3528" s="9" t="s">
        <v>76</v>
      </c>
      <c r="E3528" s="38">
        <v>3428</v>
      </c>
      <c r="F3528" s="39">
        <v>1562040.79</v>
      </c>
      <c r="G3528" s="40">
        <v>455.6711756126021</v>
      </c>
      <c r="H3528" s="41">
        <v>0.28293911705294089</v>
      </c>
      <c r="I3528" s="40">
        <v>42.311901983663937</v>
      </c>
      <c r="J3528" s="41">
        <v>9.2856217922452591E-2</v>
      </c>
      <c r="K3528" s="9" t="s">
        <v>4927</v>
      </c>
    </row>
    <row r="3529" spans="1:11" x14ac:dyDescent="0.2">
      <c r="A3529" s="9" t="s">
        <v>34</v>
      </c>
      <c r="B3529" s="9" t="s">
        <v>169</v>
      </c>
      <c r="C3529" s="9"/>
      <c r="D3529" s="9" t="s">
        <v>76</v>
      </c>
      <c r="E3529" s="38">
        <v>6519</v>
      </c>
      <c r="F3529" s="39">
        <v>2820174.2</v>
      </c>
      <c r="G3529" s="40">
        <v>432.60840619726957</v>
      </c>
      <c r="H3529" s="41">
        <v>-1.743291747739982E-2</v>
      </c>
      <c r="I3529" s="40">
        <v>50.621260929590427</v>
      </c>
      <c r="J3529" s="41">
        <v>0.117014048281131</v>
      </c>
      <c r="K3529" s="9" t="s">
        <v>4928</v>
      </c>
    </row>
    <row r="3530" spans="1:11" x14ac:dyDescent="0.2">
      <c r="A3530" s="9" t="s">
        <v>34</v>
      </c>
      <c r="B3530" s="9" t="s">
        <v>408</v>
      </c>
      <c r="C3530" s="9"/>
      <c r="D3530" s="9" t="s">
        <v>76</v>
      </c>
      <c r="E3530" s="38">
        <v>5500</v>
      </c>
      <c r="F3530" s="39">
        <v>927254.72</v>
      </c>
      <c r="G3530" s="40">
        <v>168.59176727272731</v>
      </c>
      <c r="H3530" s="41">
        <v>-0.1210087387923142</v>
      </c>
      <c r="I3530" s="40">
        <v>21.81999272727273</v>
      </c>
      <c r="J3530" s="41">
        <v>0.1294250192654722</v>
      </c>
      <c r="K3530" s="9" t="s">
        <v>4929</v>
      </c>
    </row>
    <row r="3531" spans="1:11" x14ac:dyDescent="0.2">
      <c r="A3531" s="9" t="s">
        <v>34</v>
      </c>
      <c r="B3531" s="9" t="s">
        <v>4930</v>
      </c>
      <c r="C3531" s="9"/>
      <c r="D3531" s="9" t="s">
        <v>81</v>
      </c>
      <c r="E3531" s="38">
        <v>5880</v>
      </c>
      <c r="F3531" s="39">
        <v>2221791.33</v>
      </c>
      <c r="G3531" s="40">
        <v>377.85566836734688</v>
      </c>
      <c r="H3531" s="41">
        <v>2.9402253273862231E-2</v>
      </c>
      <c r="I3531" s="40">
        <v>29.649836734693881</v>
      </c>
      <c r="J3531" s="41">
        <v>7.8468683195374603E-2</v>
      </c>
      <c r="K3531" s="9" t="s">
        <v>4931</v>
      </c>
    </row>
    <row r="3532" spans="1:11" x14ac:dyDescent="0.2">
      <c r="A3532" s="9" t="s">
        <v>34</v>
      </c>
      <c r="B3532" s="9" t="s">
        <v>2328</v>
      </c>
      <c r="C3532" s="9"/>
      <c r="D3532" s="9" t="s">
        <v>76</v>
      </c>
      <c r="E3532" s="38">
        <v>1650</v>
      </c>
      <c r="F3532" s="39">
        <v>2084998.43</v>
      </c>
      <c r="G3532" s="40">
        <v>1263.6354121212121</v>
      </c>
      <c r="H3532" s="41">
        <v>0.2386104882823053</v>
      </c>
      <c r="I3532" s="40">
        <v>90.859418181818185</v>
      </c>
      <c r="J3532" s="41">
        <v>7.1903190833577754E-2</v>
      </c>
      <c r="K3532" s="9" t="s">
        <v>4932</v>
      </c>
    </row>
    <row r="3533" spans="1:11" x14ac:dyDescent="0.2">
      <c r="A3533" s="9" t="s">
        <v>34</v>
      </c>
      <c r="B3533" s="9" t="s">
        <v>4933</v>
      </c>
      <c r="C3533" s="9"/>
      <c r="D3533" s="9" t="s">
        <v>81</v>
      </c>
      <c r="E3533" s="38">
        <v>658</v>
      </c>
      <c r="F3533" s="39">
        <v>955091.41</v>
      </c>
      <c r="G3533" s="40">
        <v>1451.50670212766</v>
      </c>
      <c r="H3533" s="41">
        <v>9.7777562610980667E-2</v>
      </c>
      <c r="I3533" s="40">
        <v>180.9738601823708</v>
      </c>
      <c r="J3533" s="41">
        <v>0.124680003142317</v>
      </c>
      <c r="K3533" s="9" t="s">
        <v>4934</v>
      </c>
    </row>
    <row r="3534" spans="1:11" x14ac:dyDescent="0.2">
      <c r="A3534" s="9" t="s">
        <v>34</v>
      </c>
      <c r="B3534" s="9" t="s">
        <v>173</v>
      </c>
      <c r="C3534" s="9"/>
      <c r="D3534" s="9" t="s">
        <v>80</v>
      </c>
      <c r="E3534" s="38">
        <v>200</v>
      </c>
      <c r="F3534" s="39">
        <v>836725.55</v>
      </c>
      <c r="G3534" s="40">
        <v>4183.6277500000006</v>
      </c>
      <c r="H3534" s="41">
        <v>-7.8095518750013623E-2</v>
      </c>
      <c r="I3534" s="40">
        <v>420.7884315</v>
      </c>
      <c r="J3534" s="41">
        <v>0.10057979740190789</v>
      </c>
      <c r="K3534" s="9" t="s">
        <v>4935</v>
      </c>
    </row>
    <row r="3535" spans="1:11" x14ac:dyDescent="0.2">
      <c r="A3535" s="9" t="s">
        <v>34</v>
      </c>
      <c r="B3535" s="9" t="s">
        <v>173</v>
      </c>
      <c r="C3535" s="9"/>
      <c r="D3535" s="9" t="s">
        <v>80</v>
      </c>
      <c r="E3535" s="38">
        <v>200</v>
      </c>
      <c r="F3535" s="39">
        <v>615337.53</v>
      </c>
      <c r="G3535" s="40">
        <v>3076.6876499999998</v>
      </c>
      <c r="H3535" s="41">
        <v>5.9588716269900713E-2</v>
      </c>
      <c r="I3535" s="40">
        <v>391.38965868000003</v>
      </c>
      <c r="J3535" s="41">
        <v>0.12721137249015191</v>
      </c>
      <c r="K3535" s="9" t="s">
        <v>4935</v>
      </c>
    </row>
    <row r="3536" spans="1:11" x14ac:dyDescent="0.2">
      <c r="A3536" s="9" t="s">
        <v>34</v>
      </c>
      <c r="B3536" s="9" t="s">
        <v>173</v>
      </c>
      <c r="C3536" s="9"/>
      <c r="D3536" s="9" t="s">
        <v>80</v>
      </c>
      <c r="E3536" s="38">
        <v>750</v>
      </c>
      <c r="F3536" s="39">
        <v>674863.15</v>
      </c>
      <c r="G3536" s="40">
        <v>899.81753333333336</v>
      </c>
      <c r="H3536" s="41">
        <v>8.8911010007766217E-2</v>
      </c>
      <c r="I3536" s="40">
        <v>136.00832</v>
      </c>
      <c r="J3536" s="41">
        <v>0.15115100002126361</v>
      </c>
      <c r="K3536" s="9" t="s">
        <v>4935</v>
      </c>
    </row>
    <row r="3537" spans="1:11" x14ac:dyDescent="0.2">
      <c r="A3537" s="9" t="s">
        <v>34</v>
      </c>
      <c r="B3537" s="9" t="s">
        <v>179</v>
      </c>
      <c r="C3537" s="9"/>
      <c r="D3537" s="9" t="s">
        <v>79</v>
      </c>
      <c r="E3537" s="38">
        <v>5207</v>
      </c>
      <c r="F3537" s="39">
        <v>4370797</v>
      </c>
      <c r="G3537" s="40">
        <v>839.407912425581</v>
      </c>
      <c r="H3537" s="41">
        <v>-4.297066418862433E-2</v>
      </c>
      <c r="I3537" s="40">
        <v>72.844747455348568</v>
      </c>
      <c r="J3537" s="41">
        <v>8.6781106512153275E-2</v>
      </c>
      <c r="K3537" s="9" t="s">
        <v>4936</v>
      </c>
    </row>
    <row r="3538" spans="1:11" x14ac:dyDescent="0.2">
      <c r="A3538" s="9" t="s">
        <v>34</v>
      </c>
      <c r="B3538" s="9" t="s">
        <v>868</v>
      </c>
      <c r="C3538" s="9"/>
      <c r="D3538" s="9" t="s">
        <v>85</v>
      </c>
      <c r="E3538" s="38">
        <v>7804</v>
      </c>
      <c r="F3538" s="39">
        <v>1465611.31</v>
      </c>
      <c r="G3538" s="40">
        <v>187.80257688364941</v>
      </c>
      <c r="H3538" s="41">
        <v>4.3537841390563867E-2</v>
      </c>
      <c r="I3538" s="40">
        <v>18.999994874423368</v>
      </c>
      <c r="J3538" s="41">
        <v>0.1011700435090119</v>
      </c>
      <c r="K3538" s="9" t="s">
        <v>4937</v>
      </c>
    </row>
    <row r="3539" spans="1:11" x14ac:dyDescent="0.2">
      <c r="A3539" s="9" t="s">
        <v>34</v>
      </c>
      <c r="B3539" s="9" t="s">
        <v>3853</v>
      </c>
      <c r="C3539" s="9"/>
      <c r="D3539" s="9" t="s">
        <v>85</v>
      </c>
      <c r="E3539" s="38">
        <v>12020</v>
      </c>
      <c r="F3539" s="39">
        <v>1806970.48</v>
      </c>
      <c r="G3539" s="40">
        <v>150.33032279534109</v>
      </c>
      <c r="H3539" s="41"/>
      <c r="I3539" s="40">
        <v>20.45459900166389</v>
      </c>
      <c r="J3539" s="41">
        <v>0.13606435894846489</v>
      </c>
      <c r="K3539" s="9" t="s">
        <v>4938</v>
      </c>
    </row>
    <row r="3540" spans="1:11" x14ac:dyDescent="0.2">
      <c r="A3540" s="9" t="s">
        <v>34</v>
      </c>
      <c r="B3540" s="9" t="s">
        <v>187</v>
      </c>
      <c r="C3540" s="9"/>
      <c r="D3540" s="9" t="s">
        <v>76</v>
      </c>
      <c r="E3540" s="38">
        <v>2109</v>
      </c>
      <c r="F3540" s="39">
        <v>704120.64</v>
      </c>
      <c r="G3540" s="40">
        <v>333.86469416785212</v>
      </c>
      <c r="H3540" s="41">
        <v>9.2302371823633888E-3</v>
      </c>
      <c r="I3540" s="40">
        <v>28.449502133712659</v>
      </c>
      <c r="J3540" s="41">
        <v>8.5212670374213151E-2</v>
      </c>
      <c r="K3540" s="9" t="s">
        <v>4939</v>
      </c>
    </row>
    <row r="3541" spans="1:11" x14ac:dyDescent="0.2">
      <c r="A3541" s="9" t="s">
        <v>34</v>
      </c>
      <c r="B3541" s="9" t="s">
        <v>422</v>
      </c>
      <c r="C3541" s="9"/>
      <c r="D3541" s="9" t="s">
        <v>83</v>
      </c>
      <c r="E3541" s="38">
        <v>1135</v>
      </c>
      <c r="F3541" s="39">
        <v>146749.54</v>
      </c>
      <c r="G3541" s="40">
        <v>129.29474889867839</v>
      </c>
      <c r="H3541" s="41">
        <v>5.1673635444701833E-2</v>
      </c>
      <c r="I3541" s="40">
        <v>65.232149772687222</v>
      </c>
      <c r="J3541" s="41">
        <v>0.50452280798972182</v>
      </c>
      <c r="K3541" s="9" t="s">
        <v>4940</v>
      </c>
    </row>
    <row r="3542" spans="1:11" x14ac:dyDescent="0.2">
      <c r="A3542" s="9" t="s">
        <v>34</v>
      </c>
      <c r="B3542" s="9" t="s">
        <v>4941</v>
      </c>
      <c r="C3542" s="9"/>
      <c r="D3542" s="9" t="s">
        <v>80</v>
      </c>
      <c r="E3542" s="38">
        <v>293</v>
      </c>
      <c r="F3542" s="39">
        <v>87330.12</v>
      </c>
      <c r="G3542" s="40">
        <v>298.05501706484642</v>
      </c>
      <c r="H3542" s="41">
        <v>2.137334444134292E-2</v>
      </c>
      <c r="I3542" s="40">
        <v>172.3752901023891</v>
      </c>
      <c r="J3542" s="41">
        <v>0.57833379823593511</v>
      </c>
      <c r="K3542" s="9" t="s">
        <v>4942</v>
      </c>
    </row>
    <row r="3543" spans="1:11" x14ac:dyDescent="0.2">
      <c r="A3543" s="9" t="s">
        <v>34</v>
      </c>
      <c r="B3543" s="9" t="s">
        <v>4941</v>
      </c>
      <c r="C3543" s="9"/>
      <c r="D3543" s="9" t="s">
        <v>80</v>
      </c>
      <c r="E3543" s="38">
        <v>598</v>
      </c>
      <c r="F3543" s="39">
        <v>237108.26</v>
      </c>
      <c r="G3543" s="40">
        <v>396.50210702341138</v>
      </c>
      <c r="H3543" s="41">
        <v>1.4225536279107691E-2</v>
      </c>
      <c r="I3543" s="40">
        <v>126.2173244147157</v>
      </c>
      <c r="J3543" s="41">
        <v>0.31832699544081677</v>
      </c>
      <c r="K3543" s="9" t="s">
        <v>4942</v>
      </c>
    </row>
    <row r="3544" spans="1:11" x14ac:dyDescent="0.2">
      <c r="A3544" s="9" t="s">
        <v>34</v>
      </c>
      <c r="B3544" s="9" t="s">
        <v>191</v>
      </c>
      <c r="C3544" s="9"/>
      <c r="D3544" s="9" t="s">
        <v>76</v>
      </c>
      <c r="E3544" s="38">
        <v>4547</v>
      </c>
      <c r="F3544" s="39">
        <v>1539467.27</v>
      </c>
      <c r="G3544" s="40">
        <v>338.56768638662862</v>
      </c>
      <c r="H3544" s="41">
        <v>0.11934167931360611</v>
      </c>
      <c r="I3544" s="40">
        <v>24.48</v>
      </c>
      <c r="J3544" s="41">
        <v>7.23045966414083E-2</v>
      </c>
      <c r="K3544" s="9" t="s">
        <v>4943</v>
      </c>
    </row>
    <row r="3545" spans="1:11" x14ac:dyDescent="0.2">
      <c r="A3545" s="9" t="s">
        <v>34</v>
      </c>
      <c r="B3545" s="9" t="s">
        <v>193</v>
      </c>
      <c r="C3545" s="9"/>
      <c r="D3545" s="9" t="s">
        <v>82</v>
      </c>
      <c r="E3545" s="38">
        <v>3000</v>
      </c>
      <c r="F3545" s="39">
        <v>1536656.88</v>
      </c>
      <c r="G3545" s="40">
        <v>512.21895999999992</v>
      </c>
      <c r="H3545" s="41">
        <v>4.3126441191029229E-2</v>
      </c>
      <c r="I3545" s="40">
        <v>68.333320000000001</v>
      </c>
      <c r="J3545" s="41">
        <v>0.13340646351708649</v>
      </c>
      <c r="K3545" s="9" t="s">
        <v>4944</v>
      </c>
    </row>
    <row r="3546" spans="1:11" x14ac:dyDescent="0.2">
      <c r="A3546" s="9" t="s">
        <v>34</v>
      </c>
      <c r="B3546" s="9" t="s">
        <v>4945</v>
      </c>
      <c r="C3546" s="9"/>
      <c r="D3546" s="9" t="s">
        <v>81</v>
      </c>
      <c r="E3546" s="38">
        <v>278</v>
      </c>
      <c r="F3546" s="39">
        <v>67608.97</v>
      </c>
      <c r="G3546" s="40">
        <v>243.19773381294971</v>
      </c>
      <c r="H3546" s="41">
        <v>-0.60994232412377036</v>
      </c>
      <c r="I3546" s="40">
        <v>148.2302158273381</v>
      </c>
      <c r="J3546" s="41">
        <v>0.60950492220189123</v>
      </c>
      <c r="K3546" s="9" t="s">
        <v>4946</v>
      </c>
    </row>
    <row r="3547" spans="1:11" x14ac:dyDescent="0.2">
      <c r="A3547" s="9" t="s">
        <v>34</v>
      </c>
      <c r="B3547" s="9" t="s">
        <v>4947</v>
      </c>
      <c r="C3547" s="9"/>
      <c r="D3547" s="9" t="s">
        <v>79</v>
      </c>
      <c r="E3547" s="38">
        <v>2130</v>
      </c>
      <c r="F3547" s="39">
        <v>213094</v>
      </c>
      <c r="G3547" s="40">
        <v>100.0441314553991</v>
      </c>
      <c r="H3547" s="41">
        <v>-0.14899242018833719</v>
      </c>
      <c r="I3547" s="40">
        <v>29.014084507042249</v>
      </c>
      <c r="J3547" s="41">
        <v>0.2900128581752654</v>
      </c>
      <c r="K3547" s="9" t="s">
        <v>4948</v>
      </c>
    </row>
    <row r="3548" spans="1:11" x14ac:dyDescent="0.2">
      <c r="A3548" s="9" t="s">
        <v>34</v>
      </c>
      <c r="B3548" s="9" t="s">
        <v>197</v>
      </c>
      <c r="C3548" s="9"/>
      <c r="D3548" s="9" t="s">
        <v>76</v>
      </c>
      <c r="E3548" s="38">
        <v>3970</v>
      </c>
      <c r="F3548" s="39">
        <v>1098449.54</v>
      </c>
      <c r="G3548" s="40">
        <v>276.68754156171292</v>
      </c>
      <c r="H3548" s="41">
        <v>-1.679113251477065E-2</v>
      </c>
      <c r="I3548" s="40">
        <v>15.238005037783379</v>
      </c>
      <c r="J3548" s="41">
        <v>5.5072971308267833E-2</v>
      </c>
      <c r="K3548" s="9" t="s">
        <v>4949</v>
      </c>
    </row>
    <row r="3549" spans="1:11" x14ac:dyDescent="0.2">
      <c r="A3549" s="9" t="s">
        <v>34</v>
      </c>
      <c r="B3549" s="9" t="s">
        <v>3639</v>
      </c>
      <c r="C3549" s="9"/>
      <c r="D3549" s="9" t="s">
        <v>84</v>
      </c>
      <c r="E3549" s="38">
        <v>150</v>
      </c>
      <c r="F3549" s="39"/>
      <c r="G3549" s="40"/>
      <c r="H3549" s="41"/>
      <c r="I3549" s="40">
        <v>543.63440000000003</v>
      </c>
      <c r="J3549" s="41"/>
      <c r="K3549" s="9" t="s">
        <v>4950</v>
      </c>
    </row>
    <row r="3550" spans="1:11" x14ac:dyDescent="0.2">
      <c r="A3550" s="9" t="s">
        <v>34</v>
      </c>
      <c r="B3550" s="9" t="s">
        <v>200</v>
      </c>
      <c r="C3550" s="9"/>
      <c r="D3550" s="9" t="s">
        <v>77</v>
      </c>
      <c r="E3550" s="38">
        <v>4967</v>
      </c>
      <c r="F3550" s="39">
        <v>1419793.43</v>
      </c>
      <c r="G3550" s="40">
        <v>285.84526474733241</v>
      </c>
      <c r="H3550" s="41">
        <v>-6.6206342453473066E-2</v>
      </c>
      <c r="I3550" s="40">
        <v>20.132868934970809</v>
      </c>
      <c r="J3550" s="41">
        <v>7.0432753023797284E-2</v>
      </c>
      <c r="K3550" s="9" t="s">
        <v>4951</v>
      </c>
    </row>
    <row r="3551" spans="1:11" x14ac:dyDescent="0.2">
      <c r="A3551" s="9" t="s">
        <v>34</v>
      </c>
      <c r="B3551" s="9" t="s">
        <v>202</v>
      </c>
      <c r="C3551" s="9"/>
      <c r="D3551" s="9" t="s">
        <v>81</v>
      </c>
      <c r="E3551" s="38">
        <v>692</v>
      </c>
      <c r="F3551" s="39">
        <v>1419047.67</v>
      </c>
      <c r="G3551" s="40">
        <v>2050.6469219653181</v>
      </c>
      <c r="H3551" s="41">
        <v>-7.88357669785167E-2</v>
      </c>
      <c r="I3551" s="40">
        <v>333.47497109826588</v>
      </c>
      <c r="J3551" s="41">
        <v>0.16261939953010879</v>
      </c>
      <c r="K3551" s="9" t="s">
        <v>4952</v>
      </c>
    </row>
    <row r="3552" spans="1:11" x14ac:dyDescent="0.2">
      <c r="A3552" s="9" t="s">
        <v>34</v>
      </c>
      <c r="B3552" s="9" t="s">
        <v>877</v>
      </c>
      <c r="C3552" s="9"/>
      <c r="D3552" s="9" t="s">
        <v>76</v>
      </c>
      <c r="E3552" s="38">
        <v>5397</v>
      </c>
      <c r="F3552" s="39">
        <v>1200055.58</v>
      </c>
      <c r="G3552" s="40">
        <v>222.35604595145449</v>
      </c>
      <c r="H3552" s="41">
        <v>0.30318211474073969</v>
      </c>
      <c r="I3552" s="40">
        <v>17.509727626459149</v>
      </c>
      <c r="J3552" s="41">
        <v>7.8746352731429312E-2</v>
      </c>
      <c r="K3552" s="9" t="s">
        <v>4953</v>
      </c>
    </row>
    <row r="3553" spans="1:11" x14ac:dyDescent="0.2">
      <c r="A3553" s="9" t="s">
        <v>34</v>
      </c>
      <c r="B3553" s="9" t="s">
        <v>759</v>
      </c>
      <c r="C3553" s="9"/>
      <c r="D3553" s="9" t="s">
        <v>76</v>
      </c>
      <c r="E3553" s="38">
        <v>4500</v>
      </c>
      <c r="F3553" s="39">
        <v>750623.55</v>
      </c>
      <c r="G3553" s="40">
        <v>166.80523333333329</v>
      </c>
      <c r="H3553" s="41">
        <v>-0.15465819120029481</v>
      </c>
      <c r="I3553" s="40">
        <v>0</v>
      </c>
      <c r="J3553" s="41">
        <v>0</v>
      </c>
      <c r="K3553" s="9" t="s">
        <v>4954</v>
      </c>
    </row>
    <row r="3554" spans="1:11" x14ac:dyDescent="0.2">
      <c r="A3554" s="9" t="s">
        <v>34</v>
      </c>
      <c r="B3554" s="9" t="s">
        <v>1096</v>
      </c>
      <c r="C3554" s="9"/>
      <c r="D3554" s="9" t="s">
        <v>85</v>
      </c>
      <c r="E3554" s="38">
        <v>50000</v>
      </c>
      <c r="F3554" s="39">
        <v>6523915.4199999999</v>
      </c>
      <c r="G3554" s="40">
        <v>130.4783084</v>
      </c>
      <c r="H3554" s="41">
        <v>-5.4918113981831213E-4</v>
      </c>
      <c r="I3554" s="40">
        <v>22.000000799999999</v>
      </c>
      <c r="J3554" s="41">
        <v>0.168610407889071</v>
      </c>
      <c r="K3554" s="9" t="s">
        <v>4955</v>
      </c>
    </row>
    <row r="3555" spans="1:11" x14ac:dyDescent="0.2">
      <c r="A3555" s="9" t="s">
        <v>34</v>
      </c>
      <c r="B3555" s="9" t="s">
        <v>206</v>
      </c>
      <c r="C3555" s="9"/>
      <c r="D3555" s="9" t="s">
        <v>80</v>
      </c>
      <c r="E3555" s="38">
        <v>275</v>
      </c>
      <c r="F3555" s="39">
        <v>483322.59</v>
      </c>
      <c r="G3555" s="40">
        <v>1757.536690909091</v>
      </c>
      <c r="H3555" s="41">
        <v>2.4939756059622741E-2</v>
      </c>
      <c r="I3555" s="40">
        <v>266.62684049454549</v>
      </c>
      <c r="J3555" s="41">
        <v>0.15170485024505059</v>
      </c>
      <c r="K3555" s="9" t="s">
        <v>4956</v>
      </c>
    </row>
    <row r="3556" spans="1:11" x14ac:dyDescent="0.2">
      <c r="A3556" s="9" t="s">
        <v>34</v>
      </c>
      <c r="B3556" s="9" t="s">
        <v>208</v>
      </c>
      <c r="C3556" s="9"/>
      <c r="D3556" s="9" t="s">
        <v>78</v>
      </c>
      <c r="E3556" s="38">
        <v>1032</v>
      </c>
      <c r="F3556" s="39">
        <v>427906.24</v>
      </c>
      <c r="G3556" s="40">
        <v>414.63782945736432</v>
      </c>
      <c r="H3556" s="41">
        <v>-0.26842673094524327</v>
      </c>
      <c r="I3556" s="40">
        <v>39.221860465116279</v>
      </c>
      <c r="J3556" s="41">
        <v>9.4593058516744224E-2</v>
      </c>
      <c r="K3556" s="9" t="s">
        <v>4957</v>
      </c>
    </row>
    <row r="3557" spans="1:11" x14ac:dyDescent="0.2">
      <c r="A3557" s="9" t="s">
        <v>34</v>
      </c>
      <c r="B3557" s="9" t="s">
        <v>4958</v>
      </c>
      <c r="C3557" s="9"/>
      <c r="D3557" s="9" t="s">
        <v>76</v>
      </c>
      <c r="E3557" s="38">
        <v>2071</v>
      </c>
      <c r="F3557" s="39">
        <v>574768.53</v>
      </c>
      <c r="G3557" s="40">
        <v>277.53188314823763</v>
      </c>
      <c r="H3557" s="41">
        <v>-0.11269874039084481</v>
      </c>
      <c r="I3557" s="40">
        <v>52.333266055045883</v>
      </c>
      <c r="J3557" s="41">
        <v>0.18856668092110049</v>
      </c>
      <c r="K3557" s="9" t="s">
        <v>4959</v>
      </c>
    </row>
    <row r="3558" spans="1:11" x14ac:dyDescent="0.2">
      <c r="A3558" s="9" t="s">
        <v>34</v>
      </c>
      <c r="B3558" s="9" t="s">
        <v>4960</v>
      </c>
      <c r="C3558" s="9"/>
      <c r="D3558" s="9" t="s">
        <v>80</v>
      </c>
      <c r="E3558" s="38">
        <v>946</v>
      </c>
      <c r="F3558" s="39">
        <v>249433.46</v>
      </c>
      <c r="G3558" s="40">
        <v>263.67173361522202</v>
      </c>
      <c r="H3558" s="41">
        <v>-0.13661318851702811</v>
      </c>
      <c r="I3558" s="40">
        <v>49.994714587737853</v>
      </c>
      <c r="J3558" s="41">
        <v>0.1896096858857669</v>
      </c>
      <c r="K3558" s="9" t="s">
        <v>4961</v>
      </c>
    </row>
    <row r="3559" spans="1:11" x14ac:dyDescent="0.2">
      <c r="A3559" s="9" t="s">
        <v>34</v>
      </c>
      <c r="B3559" s="9" t="s">
        <v>4962</v>
      </c>
      <c r="C3559" s="9"/>
      <c r="D3559" s="9" t="s">
        <v>79</v>
      </c>
      <c r="E3559" s="38">
        <v>180</v>
      </c>
      <c r="F3559" s="39">
        <v>313431.95</v>
      </c>
      <c r="G3559" s="40">
        <v>1741.2886111111111</v>
      </c>
      <c r="H3559" s="41">
        <v>3.8255819785364339E-3</v>
      </c>
      <c r="I3559" s="40">
        <v>199</v>
      </c>
      <c r="J3559" s="41">
        <v>0.11428318012889239</v>
      </c>
      <c r="K3559" s="9" t="s">
        <v>4963</v>
      </c>
    </row>
    <row r="3560" spans="1:11" x14ac:dyDescent="0.2">
      <c r="A3560" s="9" t="s">
        <v>34</v>
      </c>
      <c r="B3560" s="9" t="s">
        <v>4964</v>
      </c>
      <c r="C3560" s="9"/>
      <c r="D3560" s="9" t="s">
        <v>79</v>
      </c>
      <c r="E3560" s="38">
        <v>1240</v>
      </c>
      <c r="F3560" s="39">
        <v>356213</v>
      </c>
      <c r="G3560" s="40">
        <v>287.26854838709681</v>
      </c>
      <c r="H3560" s="41">
        <v>-0.15316442726216539</v>
      </c>
      <c r="I3560" s="40">
        <v>33.561290322580653</v>
      </c>
      <c r="J3560" s="41">
        <v>0.11682897592170979</v>
      </c>
      <c r="K3560" s="9" t="s">
        <v>4965</v>
      </c>
    </row>
    <row r="3561" spans="1:11" x14ac:dyDescent="0.2">
      <c r="A3561" s="9" t="s">
        <v>34</v>
      </c>
      <c r="B3561" s="9" t="s">
        <v>1001</v>
      </c>
      <c r="C3561" s="9"/>
      <c r="D3561" s="9" t="s">
        <v>76</v>
      </c>
      <c r="E3561" s="38">
        <v>4223</v>
      </c>
      <c r="F3561" s="39">
        <v>913771.09</v>
      </c>
      <c r="G3561" s="40">
        <v>216.37960928250061</v>
      </c>
      <c r="H3561" s="41">
        <v>-4.4732310847459038E-2</v>
      </c>
      <c r="I3561" s="40">
        <v>40.706313047596488</v>
      </c>
      <c r="J3561" s="41">
        <v>0.18812453346494029</v>
      </c>
      <c r="K3561" s="9" t="s">
        <v>4966</v>
      </c>
    </row>
    <row r="3562" spans="1:11" x14ac:dyDescent="0.2">
      <c r="A3562" s="9" t="s">
        <v>34</v>
      </c>
      <c r="B3562" s="9" t="s">
        <v>1359</v>
      </c>
      <c r="C3562" s="9"/>
      <c r="D3562" s="9" t="s">
        <v>77</v>
      </c>
      <c r="E3562" s="38">
        <v>4681</v>
      </c>
      <c r="F3562" s="39">
        <v>1725574.55</v>
      </c>
      <c r="G3562" s="40">
        <v>368.63374279000209</v>
      </c>
      <c r="H3562" s="41"/>
      <c r="I3562" s="40">
        <v>48.11000213629567</v>
      </c>
      <c r="J3562" s="41">
        <v>0.13050894845429889</v>
      </c>
      <c r="K3562" s="9" t="s">
        <v>4967</v>
      </c>
    </row>
    <row r="3563" spans="1:11" x14ac:dyDescent="0.2">
      <c r="A3563" s="9" t="s">
        <v>34</v>
      </c>
      <c r="B3563" s="9" t="s">
        <v>445</v>
      </c>
      <c r="C3563" s="9"/>
      <c r="D3563" s="9" t="s">
        <v>82</v>
      </c>
      <c r="E3563" s="38">
        <v>2672</v>
      </c>
      <c r="F3563" s="39">
        <v>487487.97</v>
      </c>
      <c r="G3563" s="40">
        <v>182.4431025449102</v>
      </c>
      <c r="H3563" s="41">
        <v>-1.322089914089399E-2</v>
      </c>
      <c r="I3563" s="40">
        <v>33.682544910179637</v>
      </c>
      <c r="J3563" s="41">
        <v>0.18461944814761269</v>
      </c>
      <c r="K3563" s="9" t="s">
        <v>4968</v>
      </c>
    </row>
    <row r="3564" spans="1:11" x14ac:dyDescent="0.2">
      <c r="A3564" s="9" t="s">
        <v>34</v>
      </c>
      <c r="B3564" s="9" t="s">
        <v>4969</v>
      </c>
      <c r="C3564" s="9"/>
      <c r="D3564" s="9" t="s">
        <v>83</v>
      </c>
      <c r="E3564" s="38">
        <v>7529</v>
      </c>
      <c r="F3564" s="39"/>
      <c r="G3564" s="40"/>
      <c r="H3564" s="41"/>
      <c r="I3564" s="40">
        <v>9.9614822685615625</v>
      </c>
      <c r="J3564" s="41"/>
      <c r="K3564" s="9" t="s">
        <v>4970</v>
      </c>
    </row>
    <row r="3565" spans="1:11" x14ac:dyDescent="0.2">
      <c r="A3565" s="9" t="s">
        <v>34</v>
      </c>
      <c r="B3565" s="9" t="s">
        <v>231</v>
      </c>
      <c r="C3565" s="9"/>
      <c r="D3565" s="9" t="s">
        <v>76</v>
      </c>
      <c r="E3565" s="38">
        <v>8000</v>
      </c>
      <c r="F3565" s="39">
        <v>1329824.96</v>
      </c>
      <c r="G3565" s="40">
        <v>166.22811999999999</v>
      </c>
      <c r="H3565" s="41">
        <v>-2.8018392394402013E-4</v>
      </c>
      <c r="I3565" s="40">
        <v>0</v>
      </c>
      <c r="J3565" s="41">
        <v>0</v>
      </c>
      <c r="K3565" s="9" t="s">
        <v>4971</v>
      </c>
    </row>
    <row r="3566" spans="1:11" x14ac:dyDescent="0.2">
      <c r="A3566" s="9" t="s">
        <v>34</v>
      </c>
      <c r="B3566" s="9" t="s">
        <v>895</v>
      </c>
      <c r="C3566" s="9"/>
      <c r="D3566" s="9" t="s">
        <v>77</v>
      </c>
      <c r="E3566" s="38">
        <v>7978</v>
      </c>
      <c r="F3566" s="39">
        <v>1945835.77</v>
      </c>
      <c r="G3566" s="40">
        <v>243.90019679117569</v>
      </c>
      <c r="H3566" s="41">
        <v>-7.6281009557780707E-2</v>
      </c>
      <c r="I3566" s="40">
        <v>40.269912258711457</v>
      </c>
      <c r="J3566" s="41">
        <v>0.1651081581258011</v>
      </c>
      <c r="K3566" s="9" t="s">
        <v>4972</v>
      </c>
    </row>
    <row r="3567" spans="1:11" x14ac:dyDescent="0.2">
      <c r="A3567" s="9" t="s">
        <v>34</v>
      </c>
      <c r="B3567" s="9" t="s">
        <v>235</v>
      </c>
      <c r="C3567" s="9"/>
      <c r="D3567" s="9" t="s">
        <v>77</v>
      </c>
      <c r="E3567" s="38">
        <v>12408</v>
      </c>
      <c r="F3567" s="39">
        <v>2379791.2599999998</v>
      </c>
      <c r="G3567" s="40">
        <v>191.79491134751771</v>
      </c>
      <c r="H3567" s="41">
        <v>-0.2156310817097849</v>
      </c>
      <c r="I3567" s="40">
        <v>31.207562862669249</v>
      </c>
      <c r="J3567" s="41">
        <v>0.16271319527410991</v>
      </c>
      <c r="K3567" s="9" t="s">
        <v>4973</v>
      </c>
    </row>
    <row r="3568" spans="1:11" x14ac:dyDescent="0.2">
      <c r="A3568" s="9" t="s">
        <v>34</v>
      </c>
      <c r="B3568" s="9" t="s">
        <v>456</v>
      </c>
      <c r="C3568" s="9"/>
      <c r="D3568" s="9" t="s">
        <v>76</v>
      </c>
      <c r="E3568" s="38">
        <v>1452</v>
      </c>
      <c r="F3568" s="39">
        <v>661704.51</v>
      </c>
      <c r="G3568" s="40">
        <v>455.71935950413223</v>
      </c>
      <c r="H3568" s="41">
        <v>0.19975047463433479</v>
      </c>
      <c r="I3568" s="40">
        <v>42.010991735537189</v>
      </c>
      <c r="J3568" s="41">
        <v>9.2186102827076094E-2</v>
      </c>
      <c r="K3568" s="9" t="s">
        <v>4974</v>
      </c>
    </row>
    <row r="3569" spans="1:11" x14ac:dyDescent="0.2">
      <c r="A3569" s="9" t="s">
        <v>34</v>
      </c>
      <c r="B3569" s="9" t="s">
        <v>242</v>
      </c>
      <c r="C3569" s="9"/>
      <c r="D3569" s="9" t="s">
        <v>82</v>
      </c>
      <c r="E3569" s="38">
        <v>5720</v>
      </c>
      <c r="F3569" s="39">
        <v>726487.94</v>
      </c>
      <c r="G3569" s="40">
        <v>127.0083811188811</v>
      </c>
      <c r="H3569" s="41">
        <v>-9.4503744666208325E-2</v>
      </c>
      <c r="I3569" s="40">
        <v>17.482510489510489</v>
      </c>
      <c r="J3569" s="41">
        <v>0.13764847906491059</v>
      </c>
      <c r="K3569" s="9" t="s">
        <v>4975</v>
      </c>
    </row>
    <row r="3570" spans="1:11" x14ac:dyDescent="0.2">
      <c r="A3570" s="9" t="s">
        <v>34</v>
      </c>
      <c r="B3570" s="9" t="s">
        <v>245</v>
      </c>
      <c r="C3570" s="9"/>
      <c r="D3570" s="9" t="s">
        <v>79</v>
      </c>
      <c r="E3570" s="38">
        <v>1066</v>
      </c>
      <c r="F3570" s="39">
        <v>316243.20000000001</v>
      </c>
      <c r="G3570" s="40">
        <v>296.66341463414642</v>
      </c>
      <c r="H3570" s="41">
        <v>8.8549863789685341E-3</v>
      </c>
      <c r="I3570" s="40">
        <v>53.470018761726081</v>
      </c>
      <c r="J3570" s="41">
        <v>0.1802379940501487</v>
      </c>
      <c r="K3570" s="9" t="s">
        <v>4976</v>
      </c>
    </row>
    <row r="3571" spans="1:11" x14ac:dyDescent="0.2">
      <c r="A3571" s="9" t="s">
        <v>34</v>
      </c>
      <c r="B3571" s="9" t="s">
        <v>247</v>
      </c>
      <c r="C3571" s="9"/>
      <c r="D3571" s="9" t="s">
        <v>76</v>
      </c>
      <c r="E3571" s="38">
        <v>24936</v>
      </c>
      <c r="F3571" s="39">
        <v>4005843.31</v>
      </c>
      <c r="G3571" s="40">
        <v>160.6449835579082</v>
      </c>
      <c r="H3571" s="41">
        <v>2.8139785172594162E-2</v>
      </c>
      <c r="I3571" s="40">
        <v>8.7889605389797882</v>
      </c>
      <c r="J3571" s="41">
        <v>5.4710457459206011E-2</v>
      </c>
      <c r="K3571" s="9" t="s">
        <v>4977</v>
      </c>
    </row>
    <row r="3572" spans="1:11" x14ac:dyDescent="0.2">
      <c r="A3572" s="9" t="s">
        <v>34</v>
      </c>
      <c r="B3572" s="9" t="s">
        <v>140</v>
      </c>
      <c r="C3572" s="9"/>
      <c r="D3572" s="9" t="s">
        <v>83</v>
      </c>
      <c r="E3572" s="38">
        <v>6110</v>
      </c>
      <c r="F3572" s="39">
        <v>3450156.82</v>
      </c>
      <c r="G3572" s="40">
        <v>564.67378396072013</v>
      </c>
      <c r="H3572" s="41">
        <v>0.22103396519311019</v>
      </c>
      <c r="I3572" s="40">
        <v>14.72995090016367</v>
      </c>
      <c r="J3572" s="41">
        <v>2.6085770791137549E-2</v>
      </c>
      <c r="K3572" s="9" t="s">
        <v>4978</v>
      </c>
    </row>
    <row r="3573" spans="1:11" x14ac:dyDescent="0.2">
      <c r="A3573" s="9" t="s">
        <v>34</v>
      </c>
      <c r="B3573" s="9" t="s">
        <v>4979</v>
      </c>
      <c r="C3573" s="9"/>
      <c r="D3573" s="9" t="s">
        <v>81</v>
      </c>
      <c r="E3573" s="38">
        <v>7148</v>
      </c>
      <c r="F3573" s="39">
        <v>2348133.4900000002</v>
      </c>
      <c r="G3573" s="40">
        <v>328.50216703973138</v>
      </c>
      <c r="H3573" s="41">
        <v>6.6930963035883667E-2</v>
      </c>
      <c r="I3573" s="40">
        <v>27.08209289311695</v>
      </c>
      <c r="J3573" s="41">
        <v>8.2441139238638411E-2</v>
      </c>
      <c r="K3573" s="9" t="s">
        <v>4980</v>
      </c>
    </row>
    <row r="3574" spans="1:11" x14ac:dyDescent="0.2">
      <c r="A3574" s="9" t="s">
        <v>34</v>
      </c>
      <c r="B3574" s="9" t="s">
        <v>256</v>
      </c>
      <c r="C3574" s="9"/>
      <c r="D3574" s="9" t="s">
        <v>76</v>
      </c>
      <c r="E3574" s="38">
        <v>1963</v>
      </c>
      <c r="F3574" s="39">
        <v>1457057.98</v>
      </c>
      <c r="G3574" s="40">
        <v>742.26081507896072</v>
      </c>
      <c r="H3574" s="41">
        <v>0.1426906969009705</v>
      </c>
      <c r="I3574" s="40">
        <v>61.130922058074383</v>
      </c>
      <c r="J3574" s="41">
        <v>8.2357738433991495E-2</v>
      </c>
      <c r="K3574" s="9" t="s">
        <v>4981</v>
      </c>
    </row>
    <row r="3575" spans="1:11" x14ac:dyDescent="0.2">
      <c r="A3575" s="9" t="s">
        <v>34</v>
      </c>
      <c r="B3575" s="9" t="s">
        <v>4982</v>
      </c>
      <c r="C3575" s="9"/>
      <c r="D3575" s="9" t="s">
        <v>81</v>
      </c>
      <c r="E3575" s="38">
        <v>733</v>
      </c>
      <c r="F3575" s="39">
        <v>174417.73</v>
      </c>
      <c r="G3575" s="40">
        <v>237.95051841746249</v>
      </c>
      <c r="H3575" s="41">
        <v>-0.33305680692412443</v>
      </c>
      <c r="I3575" s="40">
        <v>140.0902989085948</v>
      </c>
      <c r="J3575" s="41">
        <v>0.58873710316032657</v>
      </c>
      <c r="K3575" s="9" t="s">
        <v>4983</v>
      </c>
    </row>
    <row r="3576" spans="1:11" x14ac:dyDescent="0.2">
      <c r="A3576" s="9" t="s">
        <v>34</v>
      </c>
      <c r="B3576" s="9" t="s">
        <v>260</v>
      </c>
      <c r="C3576" s="9"/>
      <c r="D3576" s="9" t="s">
        <v>76</v>
      </c>
      <c r="E3576" s="38">
        <v>3800</v>
      </c>
      <c r="F3576" s="39">
        <v>1234242.26</v>
      </c>
      <c r="G3576" s="40">
        <v>324.80059473684207</v>
      </c>
      <c r="H3576" s="41">
        <v>-1.017275318472142E-2</v>
      </c>
      <c r="I3576" s="40">
        <v>56.230600559999999</v>
      </c>
      <c r="J3576" s="41">
        <v>0.17312345319305461</v>
      </c>
      <c r="K3576" s="9" t="s">
        <v>4984</v>
      </c>
    </row>
    <row r="3577" spans="1:11" x14ac:dyDescent="0.2">
      <c r="A3577" s="9" t="s">
        <v>34</v>
      </c>
      <c r="B3577" s="9" t="s">
        <v>481</v>
      </c>
      <c r="C3577" s="9"/>
      <c r="D3577" s="9" t="s">
        <v>77</v>
      </c>
      <c r="E3577" s="38">
        <v>1082</v>
      </c>
      <c r="F3577" s="39">
        <v>559907.94999999995</v>
      </c>
      <c r="G3577" s="40">
        <v>517.47499999999991</v>
      </c>
      <c r="H3577" s="41">
        <v>3.8438712593901622E-2</v>
      </c>
      <c r="I3577" s="40">
        <v>35.120184842883553</v>
      </c>
      <c r="J3577" s="41">
        <v>6.7868370149057541E-2</v>
      </c>
      <c r="K3577" s="9" t="s">
        <v>4985</v>
      </c>
    </row>
    <row r="3578" spans="1:11" x14ac:dyDescent="0.2">
      <c r="A3578" s="9" t="s">
        <v>34</v>
      </c>
      <c r="B3578" s="9" t="s">
        <v>267</v>
      </c>
      <c r="C3578" s="9"/>
      <c r="D3578" s="9" t="s">
        <v>77</v>
      </c>
      <c r="E3578" s="38">
        <v>3338</v>
      </c>
      <c r="F3578" s="39">
        <v>1779502.05</v>
      </c>
      <c r="G3578" s="40">
        <v>533.10426902336735</v>
      </c>
      <c r="H3578" s="41">
        <v>0.22550950008085119</v>
      </c>
      <c r="I3578" s="40">
        <v>65.835170760934687</v>
      </c>
      <c r="J3578" s="41">
        <v>0.123493985297741</v>
      </c>
      <c r="K3578" s="9" t="s">
        <v>4986</v>
      </c>
    </row>
    <row r="3579" spans="1:11" x14ac:dyDescent="0.2">
      <c r="A3579" s="9" t="s">
        <v>34</v>
      </c>
      <c r="B3579" s="9" t="s">
        <v>271</v>
      </c>
      <c r="C3579" s="9"/>
      <c r="D3579" s="9" t="s">
        <v>78</v>
      </c>
      <c r="E3579" s="38">
        <v>1537</v>
      </c>
      <c r="F3579" s="39">
        <v>2686960.46</v>
      </c>
      <c r="G3579" s="40">
        <v>1748.18507482108</v>
      </c>
      <c r="H3579" s="41">
        <v>4.6668227144967874E-3</v>
      </c>
      <c r="I3579" s="40">
        <v>225.50256343526351</v>
      </c>
      <c r="J3579" s="41">
        <v>0.12899238569368451</v>
      </c>
      <c r="K3579" s="9" t="s">
        <v>4987</v>
      </c>
    </row>
    <row r="3580" spans="1:11" x14ac:dyDescent="0.2">
      <c r="A3580" s="9" t="s">
        <v>34</v>
      </c>
      <c r="B3580" s="9" t="s">
        <v>4988</v>
      </c>
      <c r="C3580" s="9"/>
      <c r="D3580" s="9" t="s">
        <v>83</v>
      </c>
      <c r="E3580" s="38">
        <v>5353</v>
      </c>
      <c r="F3580" s="39"/>
      <c r="G3580" s="40"/>
      <c r="H3580" s="41"/>
      <c r="I3580" s="40">
        <v>28.862477115636089</v>
      </c>
      <c r="J3580" s="41"/>
      <c r="K3580" s="9" t="s">
        <v>4989</v>
      </c>
    </row>
    <row r="3581" spans="1:11" x14ac:dyDescent="0.2">
      <c r="A3581" s="9" t="s">
        <v>34</v>
      </c>
      <c r="B3581" s="9" t="s">
        <v>3337</v>
      </c>
      <c r="C3581" s="9"/>
      <c r="D3581" s="9" t="s">
        <v>85</v>
      </c>
      <c r="E3581" s="38">
        <v>9524</v>
      </c>
      <c r="F3581" s="39">
        <v>726907.7</v>
      </c>
      <c r="G3581" s="40">
        <v>76.323782024359502</v>
      </c>
      <c r="H3581" s="41"/>
      <c r="I3581" s="40">
        <v>34.630004199916009</v>
      </c>
      <c r="J3581" s="41">
        <v>0.45372495022407938</v>
      </c>
      <c r="K3581" s="9" t="s">
        <v>4990</v>
      </c>
    </row>
    <row r="3582" spans="1:11" x14ac:dyDescent="0.2">
      <c r="A3582" s="9" t="s">
        <v>34</v>
      </c>
      <c r="B3582" s="9" t="s">
        <v>487</v>
      </c>
      <c r="C3582" s="9"/>
      <c r="D3582" s="9" t="s">
        <v>77</v>
      </c>
      <c r="E3582" s="38">
        <v>4004</v>
      </c>
      <c r="F3582" s="39">
        <v>1001710.01</v>
      </c>
      <c r="G3582" s="40">
        <v>250.1773251748252</v>
      </c>
      <c r="H3582" s="41">
        <v>-0.16896838498455291</v>
      </c>
      <c r="I3582" s="40">
        <v>64.433796203796206</v>
      </c>
      <c r="J3582" s="41">
        <v>0.25755250264495211</v>
      </c>
      <c r="K3582" s="9" t="s">
        <v>4991</v>
      </c>
    </row>
    <row r="3583" spans="1:11" x14ac:dyDescent="0.2">
      <c r="A3583" s="9" t="s">
        <v>34</v>
      </c>
      <c r="B3583" s="9" t="s">
        <v>4992</v>
      </c>
      <c r="C3583" s="9"/>
      <c r="D3583" s="9" t="s">
        <v>86</v>
      </c>
      <c r="E3583" s="38">
        <v>86506</v>
      </c>
      <c r="F3583" s="39">
        <v>13004013.810000001</v>
      </c>
      <c r="G3583" s="40">
        <v>150.32499260166929</v>
      </c>
      <c r="H3583" s="41">
        <v>-2.2201099713103911E-2</v>
      </c>
      <c r="I3583" s="40">
        <v>5.7481534228839619</v>
      </c>
      <c r="J3583" s="41">
        <v>3.8238175325345951E-2</v>
      </c>
      <c r="K3583" s="9" t="s">
        <v>4993</v>
      </c>
    </row>
    <row r="3584" spans="1:11" x14ac:dyDescent="0.2">
      <c r="A3584" s="9" t="s">
        <v>34</v>
      </c>
      <c r="B3584" s="9" t="s">
        <v>1911</v>
      </c>
      <c r="C3584" s="9"/>
      <c r="D3584" s="9" t="s">
        <v>81</v>
      </c>
      <c r="E3584" s="38">
        <v>7479</v>
      </c>
      <c r="F3584" s="39">
        <v>4505871.62</v>
      </c>
      <c r="G3584" s="40">
        <v>602.46979810135042</v>
      </c>
      <c r="H3584" s="41">
        <v>0.11044581260775831</v>
      </c>
      <c r="I3584" s="40">
        <v>34.600016044925788</v>
      </c>
      <c r="J3584" s="41">
        <v>5.7430291367244937E-2</v>
      </c>
      <c r="K3584" s="9" t="s">
        <v>4994</v>
      </c>
    </row>
    <row r="3585" spans="1:11" x14ac:dyDescent="0.2">
      <c r="A3585" s="9" t="s">
        <v>34</v>
      </c>
      <c r="B3585" s="9" t="s">
        <v>4995</v>
      </c>
      <c r="C3585" s="9"/>
      <c r="D3585" s="9" t="s">
        <v>81</v>
      </c>
      <c r="E3585" s="38">
        <v>4794</v>
      </c>
      <c r="F3585" s="39">
        <v>1798369.52</v>
      </c>
      <c r="G3585" s="40">
        <v>375.12922820191909</v>
      </c>
      <c r="H3585" s="41"/>
      <c r="I3585" s="40">
        <v>47.86883604505632</v>
      </c>
      <c r="J3585" s="41">
        <v>0.12760625524836519</v>
      </c>
      <c r="K3585" s="9" t="s">
        <v>4996</v>
      </c>
    </row>
    <row r="3586" spans="1:11" x14ac:dyDescent="0.2">
      <c r="A3586" s="9" t="s">
        <v>34</v>
      </c>
      <c r="B3586" s="9" t="s">
        <v>4997</v>
      </c>
      <c r="C3586" s="9"/>
      <c r="D3586" s="9" t="s">
        <v>81</v>
      </c>
      <c r="E3586" s="38">
        <v>8445</v>
      </c>
      <c r="F3586" s="39"/>
      <c r="G3586" s="40"/>
      <c r="H3586" s="41"/>
      <c r="I3586" s="40">
        <v>31.870920071047951</v>
      </c>
      <c r="J3586" s="41"/>
      <c r="K3586" s="9" t="s">
        <v>4998</v>
      </c>
    </row>
    <row r="3587" spans="1:11" x14ac:dyDescent="0.2">
      <c r="A3587" s="9" t="s">
        <v>34</v>
      </c>
      <c r="B3587" s="9" t="s">
        <v>4999</v>
      </c>
      <c r="C3587" s="9"/>
      <c r="D3587" s="9" t="s">
        <v>79</v>
      </c>
      <c r="E3587" s="38">
        <v>2179</v>
      </c>
      <c r="F3587" s="39">
        <v>337339</v>
      </c>
      <c r="G3587" s="40">
        <v>154.81367599816431</v>
      </c>
      <c r="H3587" s="41">
        <v>-2.244381078230228E-2</v>
      </c>
      <c r="I3587" s="40">
        <v>24.888737953189541</v>
      </c>
      <c r="J3587" s="41">
        <v>0.1607657578874663</v>
      </c>
      <c r="K3587" s="9" t="s">
        <v>5000</v>
      </c>
    </row>
    <row r="3588" spans="1:11" x14ac:dyDescent="0.2">
      <c r="A3588" s="9" t="s">
        <v>34</v>
      </c>
      <c r="B3588" s="9" t="s">
        <v>277</v>
      </c>
      <c r="C3588" s="9"/>
      <c r="D3588" s="9" t="s">
        <v>76</v>
      </c>
      <c r="E3588" s="38">
        <v>1236</v>
      </c>
      <c r="F3588" s="39">
        <v>520312.23</v>
      </c>
      <c r="G3588" s="40">
        <v>420.96458737864077</v>
      </c>
      <c r="H3588" s="41">
        <v>2.5127932981850831E-3</v>
      </c>
      <c r="I3588" s="40">
        <v>33.980582524271853</v>
      </c>
      <c r="J3588" s="41">
        <v>8.0720762608251589E-2</v>
      </c>
      <c r="K3588" s="9" t="s">
        <v>5001</v>
      </c>
    </row>
    <row r="3589" spans="1:11" x14ac:dyDescent="0.2">
      <c r="A3589" s="9" t="s">
        <v>34</v>
      </c>
      <c r="B3589" s="9" t="s">
        <v>2536</v>
      </c>
      <c r="C3589" s="9"/>
      <c r="D3589" s="9" t="s">
        <v>76</v>
      </c>
      <c r="E3589" s="38">
        <v>3136</v>
      </c>
      <c r="F3589" s="39">
        <v>517989.43</v>
      </c>
      <c r="G3589" s="40">
        <v>165.17520089285711</v>
      </c>
      <c r="H3589" s="41">
        <v>-7.9690906284700547E-2</v>
      </c>
      <c r="I3589" s="40">
        <v>13.392857142857141</v>
      </c>
      <c r="J3589" s="41">
        <v>8.1082735607172524E-2</v>
      </c>
      <c r="K3589" s="9" t="s">
        <v>5002</v>
      </c>
    </row>
    <row r="3590" spans="1:11" x14ac:dyDescent="0.2">
      <c r="A3590" s="9" t="s">
        <v>34</v>
      </c>
      <c r="B3590" s="9" t="s">
        <v>1919</v>
      </c>
      <c r="C3590" s="9"/>
      <c r="D3590" s="9" t="s">
        <v>81</v>
      </c>
      <c r="E3590" s="38">
        <v>7425</v>
      </c>
      <c r="F3590" s="39">
        <v>5846651.5499999998</v>
      </c>
      <c r="G3590" s="40">
        <v>787.42781818181811</v>
      </c>
      <c r="H3590" s="41">
        <v>8.8844789071043151E-2</v>
      </c>
      <c r="I3590" s="40">
        <v>29.792662626262629</v>
      </c>
      <c r="J3590" s="41">
        <v>3.7835420515183599E-2</v>
      </c>
      <c r="K3590" s="9" t="s">
        <v>5003</v>
      </c>
    </row>
    <row r="3591" spans="1:11" x14ac:dyDescent="0.2">
      <c r="A3591" s="9" t="s">
        <v>34</v>
      </c>
      <c r="B3591" s="9" t="s">
        <v>283</v>
      </c>
      <c r="C3591" s="9"/>
      <c r="D3591" s="9" t="s">
        <v>78</v>
      </c>
      <c r="E3591" s="38">
        <v>936</v>
      </c>
      <c r="F3591" s="39">
        <v>567584.17000000004</v>
      </c>
      <c r="G3591" s="40">
        <v>606.39334401709402</v>
      </c>
      <c r="H3591" s="41">
        <v>0.17247867500099989</v>
      </c>
      <c r="I3591" s="40">
        <v>111.6251557692308</v>
      </c>
      <c r="J3591" s="41">
        <v>0.18408044361068071</v>
      </c>
      <c r="K3591" s="9" t="s">
        <v>5004</v>
      </c>
    </row>
    <row r="3592" spans="1:11" x14ac:dyDescent="0.2">
      <c r="A3592" s="9" t="s">
        <v>34</v>
      </c>
      <c r="B3592" s="9" t="s">
        <v>5005</v>
      </c>
      <c r="C3592" s="9"/>
      <c r="D3592" s="9" t="s">
        <v>77</v>
      </c>
      <c r="E3592" s="38">
        <v>7934</v>
      </c>
      <c r="F3592" s="39">
        <v>1771385.71</v>
      </c>
      <c r="G3592" s="40">
        <v>223.26515124779431</v>
      </c>
      <c r="H3592" s="41">
        <v>-7.7221128143414128E-2</v>
      </c>
      <c r="I3592" s="40">
        <v>16.230007562389719</v>
      </c>
      <c r="J3592" s="41">
        <v>7.2693868575918461E-2</v>
      </c>
      <c r="K3592" s="9" t="s">
        <v>5006</v>
      </c>
    </row>
    <row r="3593" spans="1:11" x14ac:dyDescent="0.2">
      <c r="A3593" s="9" t="s">
        <v>34</v>
      </c>
      <c r="B3593" s="9" t="s">
        <v>2695</v>
      </c>
      <c r="C3593" s="9"/>
      <c r="D3593" s="9" t="s">
        <v>83</v>
      </c>
      <c r="E3593" s="38">
        <v>3677</v>
      </c>
      <c r="F3593" s="39">
        <v>1611273.68</v>
      </c>
      <c r="G3593" s="40">
        <v>438.20333967908618</v>
      </c>
      <c r="H3593" s="41">
        <v>-3.9965747315429179E-2</v>
      </c>
      <c r="I3593" s="40">
        <v>40.013815610552079</v>
      </c>
      <c r="J3593" s="41">
        <v>9.131335155924597E-2</v>
      </c>
      <c r="K3593" s="9" t="s">
        <v>5007</v>
      </c>
    </row>
    <row r="3594" spans="1:11" x14ac:dyDescent="0.2">
      <c r="A3594" s="9" t="s">
        <v>34</v>
      </c>
      <c r="B3594" s="9" t="s">
        <v>5008</v>
      </c>
      <c r="C3594" s="9"/>
      <c r="D3594" s="9" t="s">
        <v>76</v>
      </c>
      <c r="E3594" s="38">
        <v>3171</v>
      </c>
      <c r="F3594" s="39">
        <v>351613</v>
      </c>
      <c r="G3594" s="40">
        <v>110.8839482812993</v>
      </c>
      <c r="H3594" s="41"/>
      <c r="I3594" s="40">
        <v>25.228647114474931</v>
      </c>
      <c r="J3594" s="41">
        <v>0.22752298692027881</v>
      </c>
      <c r="K3594" s="9" t="s">
        <v>5009</v>
      </c>
    </row>
    <row r="3595" spans="1:11" x14ac:dyDescent="0.2">
      <c r="A3595" s="9" t="s">
        <v>34</v>
      </c>
      <c r="B3595" s="9" t="s">
        <v>301</v>
      </c>
      <c r="C3595" s="9"/>
      <c r="D3595" s="9" t="s">
        <v>82</v>
      </c>
      <c r="E3595" s="38">
        <v>2752</v>
      </c>
      <c r="F3595" s="39">
        <v>799768.54</v>
      </c>
      <c r="G3595" s="40">
        <v>290.61356831395352</v>
      </c>
      <c r="H3595" s="41">
        <v>2.1764975215155809E-2</v>
      </c>
      <c r="I3595" s="40">
        <v>41.102049418604651</v>
      </c>
      <c r="J3595" s="41">
        <v>0.14143196980466369</v>
      </c>
      <c r="K3595" s="9" t="s">
        <v>5010</v>
      </c>
    </row>
    <row r="3596" spans="1:11" x14ac:dyDescent="0.2">
      <c r="A3596" s="9" t="s">
        <v>34</v>
      </c>
      <c r="B3596" s="9" t="s">
        <v>1663</v>
      </c>
      <c r="C3596" s="9"/>
      <c r="D3596" s="9" t="s">
        <v>76</v>
      </c>
      <c r="E3596" s="38">
        <v>4330</v>
      </c>
      <c r="F3596" s="39"/>
      <c r="G3596" s="40"/>
      <c r="H3596" s="41"/>
      <c r="I3596" s="40">
        <v>30.023085450346422</v>
      </c>
      <c r="J3596" s="41"/>
      <c r="K3596" s="9" t="s">
        <v>5011</v>
      </c>
    </row>
    <row r="3597" spans="1:11" x14ac:dyDescent="0.2">
      <c r="A3597" s="9" t="s">
        <v>34</v>
      </c>
      <c r="B3597" s="9" t="s">
        <v>5012</v>
      </c>
      <c r="C3597" s="9"/>
      <c r="D3597" s="9" t="s">
        <v>81</v>
      </c>
      <c r="E3597" s="38">
        <v>750</v>
      </c>
      <c r="F3597" s="39">
        <v>481388.83</v>
      </c>
      <c r="G3597" s="40">
        <v>641.85177333333331</v>
      </c>
      <c r="H3597" s="41">
        <v>-1.118991717321759E-2</v>
      </c>
      <c r="I3597" s="40">
        <v>90.544480000000007</v>
      </c>
      <c r="J3597" s="41">
        <v>0.14106758563550381</v>
      </c>
      <c r="K3597" s="9" t="s">
        <v>5013</v>
      </c>
    </row>
    <row r="3598" spans="1:11" x14ac:dyDescent="0.2">
      <c r="A3598" s="9" t="s">
        <v>34</v>
      </c>
      <c r="B3598" s="9" t="s">
        <v>5014</v>
      </c>
      <c r="C3598" s="9"/>
      <c r="D3598" s="9" t="s">
        <v>79</v>
      </c>
      <c r="E3598" s="38">
        <v>2036</v>
      </c>
      <c r="F3598" s="39"/>
      <c r="G3598" s="40"/>
      <c r="H3598" s="41"/>
      <c r="I3598" s="40">
        <v>43.652770137524563</v>
      </c>
      <c r="J3598" s="41"/>
      <c r="K3598" s="9" t="s">
        <v>5015</v>
      </c>
    </row>
    <row r="3599" spans="1:11" x14ac:dyDescent="0.2">
      <c r="A3599" s="9" t="s">
        <v>34</v>
      </c>
      <c r="B3599" s="9" t="s">
        <v>4418</v>
      </c>
      <c r="C3599" s="9"/>
      <c r="D3599" s="9" t="s">
        <v>83</v>
      </c>
      <c r="E3599" s="38">
        <v>2512</v>
      </c>
      <c r="F3599" s="39"/>
      <c r="G3599" s="40"/>
      <c r="H3599" s="41"/>
      <c r="I3599" s="40">
        <v>27.05421974522293</v>
      </c>
      <c r="J3599" s="41"/>
      <c r="K3599" s="9" t="s">
        <v>5016</v>
      </c>
    </row>
    <row r="3600" spans="1:11" x14ac:dyDescent="0.2">
      <c r="A3600" s="9" t="s">
        <v>34</v>
      </c>
      <c r="B3600" s="9" t="s">
        <v>317</v>
      </c>
      <c r="C3600" s="9"/>
      <c r="D3600" s="9" t="s">
        <v>76</v>
      </c>
      <c r="E3600" s="38">
        <v>4483</v>
      </c>
      <c r="F3600" s="39">
        <v>1885728.22</v>
      </c>
      <c r="G3600" s="40">
        <v>420.63979924157928</v>
      </c>
      <c r="H3600" s="41">
        <v>0.21615045301780961</v>
      </c>
      <c r="I3600" s="40">
        <v>35.690376979701092</v>
      </c>
      <c r="J3600" s="41">
        <v>8.4847836662273635E-2</v>
      </c>
      <c r="K3600" s="9" t="s">
        <v>5017</v>
      </c>
    </row>
    <row r="3601" spans="1:11" x14ac:dyDescent="0.2">
      <c r="A3601" s="9" t="s">
        <v>34</v>
      </c>
      <c r="B3601" s="9" t="s">
        <v>321</v>
      </c>
      <c r="C3601" s="9"/>
      <c r="D3601" s="9" t="s">
        <v>78</v>
      </c>
      <c r="E3601" s="38">
        <v>1370</v>
      </c>
      <c r="F3601" s="39">
        <v>2111407.4300000002</v>
      </c>
      <c r="G3601" s="40">
        <v>1541.1733065693429</v>
      </c>
      <c r="H3601" s="41">
        <v>2.5830006466680641E-2</v>
      </c>
      <c r="I3601" s="40">
        <v>127.9600291970803</v>
      </c>
      <c r="J3601" s="41">
        <v>8.3027670315624483E-2</v>
      </c>
      <c r="K3601" s="9" t="s">
        <v>5018</v>
      </c>
    </row>
    <row r="3602" spans="1:11" x14ac:dyDescent="0.2">
      <c r="A3602" s="9" t="s">
        <v>34</v>
      </c>
      <c r="B3602" s="9" t="s">
        <v>5019</v>
      </c>
      <c r="C3602" s="9"/>
      <c r="D3602" s="9" t="s">
        <v>83</v>
      </c>
      <c r="E3602" s="38">
        <v>2634</v>
      </c>
      <c r="F3602" s="39">
        <v>2787080.22</v>
      </c>
      <c r="G3602" s="40">
        <v>1058.11701594533</v>
      </c>
      <c r="H3602" s="41">
        <v>0.2156624583478573</v>
      </c>
      <c r="I3602" s="40">
        <v>66.154441913439626</v>
      </c>
      <c r="J3602" s="41">
        <v>6.2520913014839585E-2</v>
      </c>
      <c r="K3602" s="9" t="s">
        <v>5020</v>
      </c>
    </row>
    <row r="3603" spans="1:11" x14ac:dyDescent="0.2">
      <c r="A3603" s="9" t="s">
        <v>34</v>
      </c>
      <c r="B3603" s="9" t="s">
        <v>3596</v>
      </c>
      <c r="C3603" s="9"/>
      <c r="D3603" s="9" t="s">
        <v>78</v>
      </c>
      <c r="E3603" s="38">
        <v>180</v>
      </c>
      <c r="F3603" s="39">
        <v>763665.64</v>
      </c>
      <c r="G3603" s="40">
        <v>4242.586888888889</v>
      </c>
      <c r="H3603" s="41">
        <v>4.5049807049942813E-3</v>
      </c>
      <c r="I3603" s="40">
        <v>444.44466666666659</v>
      </c>
      <c r="J3603" s="41">
        <v>0.10475794092294111</v>
      </c>
      <c r="K3603" s="9" t="s">
        <v>5021</v>
      </c>
    </row>
    <row r="3604" spans="1:11" x14ac:dyDescent="0.2">
      <c r="A3604" s="9" t="s">
        <v>34</v>
      </c>
      <c r="B3604" s="9" t="s">
        <v>5022</v>
      </c>
      <c r="C3604" s="9"/>
      <c r="D3604" s="9" t="s">
        <v>78</v>
      </c>
      <c r="E3604" s="38">
        <v>1312</v>
      </c>
      <c r="F3604" s="39">
        <v>248952.86</v>
      </c>
      <c r="G3604" s="40">
        <v>189.75065548780489</v>
      </c>
      <c r="H3604" s="41">
        <v>1.22046943368735E-2</v>
      </c>
      <c r="I3604" s="40">
        <v>53.948318597560977</v>
      </c>
      <c r="J3604" s="41">
        <v>0.28431163233071521</v>
      </c>
      <c r="K3604" s="9" t="s">
        <v>5023</v>
      </c>
    </row>
    <row r="3605" spans="1:11" x14ac:dyDescent="0.2">
      <c r="A3605" s="9" t="s">
        <v>34</v>
      </c>
      <c r="B3605" s="9" t="s">
        <v>715</v>
      </c>
      <c r="C3605" s="9"/>
      <c r="D3605" s="9" t="s">
        <v>76</v>
      </c>
      <c r="E3605" s="38">
        <v>4948</v>
      </c>
      <c r="F3605" s="39">
        <v>1661933.48</v>
      </c>
      <c r="G3605" s="40">
        <v>335.87984640258691</v>
      </c>
      <c r="H3605" s="41">
        <v>0.1177176803301174</v>
      </c>
      <c r="I3605" s="40">
        <v>29.2253354890865</v>
      </c>
      <c r="J3605" s="41">
        <v>8.7011280379284489E-2</v>
      </c>
      <c r="K3605" s="9" t="s">
        <v>5024</v>
      </c>
    </row>
    <row r="3606" spans="1:11" x14ac:dyDescent="0.2">
      <c r="A3606" s="9" t="s">
        <v>34</v>
      </c>
      <c r="B3606" s="9" t="s">
        <v>331</v>
      </c>
      <c r="C3606" s="9"/>
      <c r="D3606" s="9" t="s">
        <v>81</v>
      </c>
      <c r="E3606" s="38">
        <v>634</v>
      </c>
      <c r="F3606" s="39">
        <v>1150361.1100000001</v>
      </c>
      <c r="G3606" s="40">
        <v>1814.4497003154579</v>
      </c>
      <c r="H3606" s="41">
        <v>8.5395044116309271E-2</v>
      </c>
      <c r="I3606" s="40">
        <v>231.17753943217659</v>
      </c>
      <c r="J3606" s="41">
        <v>0.12740917501983351</v>
      </c>
      <c r="K3606" s="9" t="s">
        <v>5025</v>
      </c>
    </row>
    <row r="3607" spans="1:11" x14ac:dyDescent="0.2">
      <c r="A3607" s="9" t="s">
        <v>34</v>
      </c>
      <c r="B3607" s="9" t="s">
        <v>2851</v>
      </c>
      <c r="C3607" s="9"/>
      <c r="D3607" s="9" t="s">
        <v>80</v>
      </c>
      <c r="E3607" s="38">
        <v>721</v>
      </c>
      <c r="F3607" s="39">
        <v>460781.32</v>
      </c>
      <c r="G3607" s="40">
        <v>639.08643550624129</v>
      </c>
      <c r="H3607" s="41">
        <v>5.6575563521212929E-2</v>
      </c>
      <c r="I3607" s="40">
        <v>197.2901525658807</v>
      </c>
      <c r="J3607" s="41">
        <v>0.30870652482179622</v>
      </c>
      <c r="K3607" s="9" t="s">
        <v>5026</v>
      </c>
    </row>
    <row r="3608" spans="1:11" x14ac:dyDescent="0.2">
      <c r="A3608" s="9" t="s">
        <v>34</v>
      </c>
      <c r="B3608" s="9" t="s">
        <v>950</v>
      </c>
      <c r="C3608" s="9"/>
      <c r="D3608" s="9" t="s">
        <v>80</v>
      </c>
      <c r="E3608" s="38">
        <v>577</v>
      </c>
      <c r="F3608" s="39">
        <v>1596473.28</v>
      </c>
      <c r="G3608" s="40">
        <v>2766.8514384748701</v>
      </c>
      <c r="H3608" s="41">
        <v>-6.0110791743599491E-2</v>
      </c>
      <c r="I3608" s="40">
        <v>449.92180242634322</v>
      </c>
      <c r="J3608" s="41">
        <v>0.1626114782202932</v>
      </c>
      <c r="K3608" s="9" t="s">
        <v>5027</v>
      </c>
    </row>
    <row r="3609" spans="1:11" x14ac:dyDescent="0.2">
      <c r="A3609" s="9" t="s">
        <v>34</v>
      </c>
      <c r="B3609" s="9" t="s">
        <v>339</v>
      </c>
      <c r="C3609" s="9"/>
      <c r="D3609" s="9" t="s">
        <v>80</v>
      </c>
      <c r="E3609" s="38">
        <v>1161</v>
      </c>
      <c r="F3609" s="39">
        <v>814536.22</v>
      </c>
      <c r="G3609" s="40">
        <v>701.58158484065461</v>
      </c>
      <c r="H3609" s="41">
        <v>-1.6484092413058621E-2</v>
      </c>
      <c r="I3609" s="40">
        <v>104.3085271317829</v>
      </c>
      <c r="J3609" s="41">
        <v>0.14867626144359791</v>
      </c>
      <c r="K3609" s="9" t="s">
        <v>5028</v>
      </c>
    </row>
    <row r="3610" spans="1:11" x14ac:dyDescent="0.2">
      <c r="A3610" s="9" t="s">
        <v>34</v>
      </c>
      <c r="B3610" s="9" t="s">
        <v>1412</v>
      </c>
      <c r="C3610" s="9"/>
      <c r="D3610" s="9" t="s">
        <v>77</v>
      </c>
      <c r="E3610" s="38">
        <v>20000</v>
      </c>
      <c r="F3610" s="39">
        <v>3062930.37</v>
      </c>
      <c r="G3610" s="40">
        <v>153.14651850000001</v>
      </c>
      <c r="H3610" s="41">
        <v>4.7146918237074079E-2</v>
      </c>
      <c r="I3610" s="40">
        <v>16.000001999999999</v>
      </c>
      <c r="J3610" s="41">
        <v>0.1044751271965742</v>
      </c>
      <c r="K3610" s="9" t="s">
        <v>5029</v>
      </c>
    </row>
    <row r="3611" spans="1:11" x14ac:dyDescent="0.2">
      <c r="A3611" s="9" t="s">
        <v>34</v>
      </c>
      <c r="B3611" s="9" t="s">
        <v>355</v>
      </c>
      <c r="C3611" s="9"/>
      <c r="D3611" s="9" t="s">
        <v>82</v>
      </c>
      <c r="E3611" s="38">
        <v>1944</v>
      </c>
      <c r="F3611" s="39">
        <v>1015429.07</v>
      </c>
      <c r="G3611" s="40">
        <v>522.34005658436206</v>
      </c>
      <c r="H3611" s="41">
        <v>7.2212042620444436E-3</v>
      </c>
      <c r="I3611" s="40">
        <v>60.563580246913581</v>
      </c>
      <c r="J3611" s="41">
        <v>0.11594665100537251</v>
      </c>
      <c r="K3611" s="9" t="s">
        <v>5030</v>
      </c>
    </row>
    <row r="3612" spans="1:11" x14ac:dyDescent="0.2">
      <c r="A3612" s="9" t="s">
        <v>34</v>
      </c>
      <c r="B3612" s="9" t="s">
        <v>538</v>
      </c>
      <c r="C3612" s="9"/>
      <c r="D3612" s="9" t="s">
        <v>80</v>
      </c>
      <c r="E3612" s="38">
        <v>330</v>
      </c>
      <c r="F3612" s="39">
        <v>1041661.39</v>
      </c>
      <c r="G3612" s="40">
        <v>3156.5496666666668</v>
      </c>
      <c r="H3612" s="41">
        <v>-3.2465588244789431E-3</v>
      </c>
      <c r="I3612" s="40">
        <v>291.62472727272723</v>
      </c>
      <c r="J3612" s="41">
        <v>9.2387181596507079E-2</v>
      </c>
      <c r="K3612" s="9" t="s">
        <v>5031</v>
      </c>
    </row>
    <row r="3613" spans="1:11" x14ac:dyDescent="0.2">
      <c r="A3613" s="9" t="s">
        <v>34</v>
      </c>
      <c r="B3613" s="9" t="s">
        <v>357</v>
      </c>
      <c r="C3613" s="9"/>
      <c r="D3613" s="9" t="s">
        <v>76</v>
      </c>
      <c r="E3613" s="38">
        <v>1121</v>
      </c>
      <c r="F3613" s="39">
        <v>760560.01</v>
      </c>
      <c r="G3613" s="40">
        <v>678.4656645851918</v>
      </c>
      <c r="H3613" s="41">
        <v>1.9055340428203661E-2</v>
      </c>
      <c r="I3613" s="40">
        <v>93.4442462087422</v>
      </c>
      <c r="J3613" s="41">
        <v>0.13772877698368599</v>
      </c>
      <c r="K3613" s="9" t="s">
        <v>5032</v>
      </c>
    </row>
    <row r="3614" spans="1:11" x14ac:dyDescent="0.2">
      <c r="A3614" s="9" t="s">
        <v>34</v>
      </c>
      <c r="B3614" s="9" t="s">
        <v>550</v>
      </c>
      <c r="C3614" s="9"/>
      <c r="D3614" s="9" t="s">
        <v>76</v>
      </c>
      <c r="E3614" s="38">
        <v>3979</v>
      </c>
      <c r="F3614" s="39">
        <v>868780.68</v>
      </c>
      <c r="G3614" s="40">
        <v>218.3414626790651</v>
      </c>
      <c r="H3614" s="41">
        <v>9.7726948374413827E-2</v>
      </c>
      <c r="I3614" s="40">
        <v>22.618748429253579</v>
      </c>
      <c r="J3614" s="41">
        <v>0.1035934638878019</v>
      </c>
      <c r="K3614" s="9" t="s">
        <v>5033</v>
      </c>
    </row>
    <row r="3615" spans="1:11" x14ac:dyDescent="0.2">
      <c r="A3615" s="9" t="s">
        <v>34</v>
      </c>
      <c r="B3615" s="9" t="s">
        <v>5034</v>
      </c>
      <c r="C3615" s="9"/>
      <c r="D3615" s="9" t="s">
        <v>76</v>
      </c>
      <c r="E3615" s="38">
        <v>1798</v>
      </c>
      <c r="F3615" s="39">
        <v>569724.07999999996</v>
      </c>
      <c r="G3615" s="40">
        <v>316.86545050055622</v>
      </c>
      <c r="H3615" s="41">
        <v>-0.13650328469542911</v>
      </c>
      <c r="I3615" s="40">
        <v>48.456640711902111</v>
      </c>
      <c r="J3615" s="41">
        <v>0.15292497378731121</v>
      </c>
      <c r="K3615" s="9" t="s">
        <v>5035</v>
      </c>
    </row>
    <row r="3616" spans="1:11" x14ac:dyDescent="0.2">
      <c r="A3616" s="9" t="s">
        <v>34</v>
      </c>
      <c r="B3616" s="9" t="s">
        <v>5036</v>
      </c>
      <c r="C3616" s="9"/>
      <c r="D3616" s="9" t="s">
        <v>76</v>
      </c>
      <c r="E3616" s="38">
        <v>3000</v>
      </c>
      <c r="F3616" s="39">
        <v>1638892.93</v>
      </c>
      <c r="G3616" s="40">
        <v>546.29764333333333</v>
      </c>
      <c r="H3616" s="41">
        <v>-4.5868882618626393E-2</v>
      </c>
      <c r="I3616" s="40">
        <v>50.122439999999997</v>
      </c>
      <c r="J3616" s="41">
        <v>9.1749324954376377E-2</v>
      </c>
      <c r="K3616" s="9" t="s">
        <v>5037</v>
      </c>
    </row>
    <row r="3617" spans="1:11" x14ac:dyDescent="0.2">
      <c r="A3617" s="9" t="s">
        <v>34</v>
      </c>
      <c r="B3617" s="9" t="s">
        <v>367</v>
      </c>
      <c r="C3617" s="9"/>
      <c r="D3617" s="9" t="s">
        <v>76</v>
      </c>
      <c r="E3617" s="38">
        <v>6007</v>
      </c>
      <c r="F3617" s="39">
        <v>1219857.71</v>
      </c>
      <c r="G3617" s="40">
        <v>203.07270018311971</v>
      </c>
      <c r="H3617" s="41">
        <v>8.5958041022238599E-2</v>
      </c>
      <c r="I3617" s="40">
        <v>24.690134842683541</v>
      </c>
      <c r="J3617" s="41">
        <v>0.1215827377112696</v>
      </c>
      <c r="K3617" s="9" t="s">
        <v>5038</v>
      </c>
    </row>
    <row r="3618" spans="1:11" x14ac:dyDescent="0.2">
      <c r="A3618" s="9" t="s">
        <v>34</v>
      </c>
      <c r="B3618" s="9" t="s">
        <v>371</v>
      </c>
      <c r="C3618" s="9"/>
      <c r="D3618" s="9" t="s">
        <v>76</v>
      </c>
      <c r="E3618" s="38">
        <v>3321</v>
      </c>
      <c r="F3618" s="39">
        <v>908658.96</v>
      </c>
      <c r="G3618" s="40">
        <v>273.6100451671183</v>
      </c>
      <c r="H3618" s="41">
        <v>-0.14009973268451761</v>
      </c>
      <c r="I3618" s="40">
        <v>32.941897018970188</v>
      </c>
      <c r="J3618" s="41">
        <v>0.1203972500309687</v>
      </c>
      <c r="K3618" s="9" t="s">
        <v>5039</v>
      </c>
    </row>
    <row r="3619" spans="1:11" x14ac:dyDescent="0.2">
      <c r="A3619" s="9" t="s">
        <v>34</v>
      </c>
      <c r="B3619" s="9" t="s">
        <v>969</v>
      </c>
      <c r="C3619" s="9"/>
      <c r="D3619" s="9" t="s">
        <v>78</v>
      </c>
      <c r="E3619" s="38">
        <v>816</v>
      </c>
      <c r="F3619" s="39">
        <v>286121.26</v>
      </c>
      <c r="G3619" s="40">
        <v>350.63879901960792</v>
      </c>
      <c r="H3619" s="41">
        <v>1.252868847973517E-2</v>
      </c>
      <c r="I3619" s="40">
        <v>28.67647058823529</v>
      </c>
      <c r="J3619" s="41">
        <v>8.1783506755142898E-2</v>
      </c>
      <c r="K3619" s="9" t="s">
        <v>5040</v>
      </c>
    </row>
    <row r="3620" spans="1:11" x14ac:dyDescent="0.2">
      <c r="A3620" s="9" t="s">
        <v>34</v>
      </c>
      <c r="B3620" s="9" t="s">
        <v>384</v>
      </c>
      <c r="C3620" s="9"/>
      <c r="D3620" s="9" t="s">
        <v>77</v>
      </c>
      <c r="E3620" s="38">
        <v>3409</v>
      </c>
      <c r="F3620" s="39">
        <v>607830.53</v>
      </c>
      <c r="G3620" s="40">
        <v>178.30171017893809</v>
      </c>
      <c r="H3620" s="41">
        <v>-0.1053399177675293</v>
      </c>
      <c r="I3620" s="40">
        <v>29.605519092989152</v>
      </c>
      <c r="J3620" s="41">
        <v>0.1660417001232235</v>
      </c>
      <c r="K3620" s="9" t="s">
        <v>5041</v>
      </c>
    </row>
    <row r="3621" spans="1:11" x14ac:dyDescent="0.2">
      <c r="A3621" s="9" t="s">
        <v>34</v>
      </c>
      <c r="B3621" s="9" t="s">
        <v>388</v>
      </c>
      <c r="C3621" s="9"/>
      <c r="D3621" s="9" t="s">
        <v>76</v>
      </c>
      <c r="E3621" s="38">
        <v>10922</v>
      </c>
      <c r="F3621" s="39">
        <v>2797143.55</v>
      </c>
      <c r="G3621" s="40">
        <v>256.10177165354332</v>
      </c>
      <c r="H3621" s="41">
        <v>6.3457410189956306E-2</v>
      </c>
      <c r="I3621" s="40">
        <v>23.47830433986449</v>
      </c>
      <c r="J3621" s="41">
        <v>9.167568107114131E-2</v>
      </c>
      <c r="K3621" s="9" t="s">
        <v>5042</v>
      </c>
    </row>
    <row r="3622" spans="1:11" x14ac:dyDescent="0.2">
      <c r="A3622" s="9" t="s">
        <v>34</v>
      </c>
      <c r="B3622" s="9" t="s">
        <v>5043</v>
      </c>
      <c r="C3622" s="9"/>
      <c r="D3622" s="9" t="s">
        <v>76</v>
      </c>
      <c r="E3622" s="38">
        <v>1283</v>
      </c>
      <c r="F3622" s="39">
        <v>372507.07</v>
      </c>
      <c r="G3622" s="40">
        <v>290.3406625097428</v>
      </c>
      <c r="H3622" s="41">
        <v>-6.5082876006491264E-2</v>
      </c>
      <c r="I3622" s="40">
        <v>245.9602494154326</v>
      </c>
      <c r="J3622" s="41">
        <v>0.84714365287080318</v>
      </c>
      <c r="K3622" s="9" t="s">
        <v>5044</v>
      </c>
    </row>
    <row r="3623" spans="1:11" x14ac:dyDescent="0.2">
      <c r="A3623" s="9" t="s">
        <v>34</v>
      </c>
      <c r="B3623" s="9" t="s">
        <v>392</v>
      </c>
      <c r="C3623" s="9"/>
      <c r="D3623" s="9" t="s">
        <v>76</v>
      </c>
      <c r="E3623" s="38">
        <v>3617</v>
      </c>
      <c r="F3623" s="39">
        <v>1488147.65</v>
      </c>
      <c r="G3623" s="40">
        <v>411.43147636162558</v>
      </c>
      <c r="H3623" s="41">
        <v>0.31160375199557933</v>
      </c>
      <c r="I3623" s="40">
        <v>44.235543267901583</v>
      </c>
      <c r="J3623" s="41">
        <v>0.1075161863139051</v>
      </c>
      <c r="K3623" s="9" t="s">
        <v>5045</v>
      </c>
    </row>
    <row r="3624" spans="1:11" x14ac:dyDescent="0.2">
      <c r="A3624" s="9" t="s">
        <v>34</v>
      </c>
      <c r="B3624" s="9" t="s">
        <v>574</v>
      </c>
      <c r="C3624" s="9"/>
      <c r="D3624" s="9" t="s">
        <v>82</v>
      </c>
      <c r="E3624" s="38">
        <v>1262</v>
      </c>
      <c r="F3624" s="39">
        <v>393479</v>
      </c>
      <c r="G3624" s="40">
        <v>311.79001584786062</v>
      </c>
      <c r="H3624" s="41">
        <v>-0.1206780191293466</v>
      </c>
      <c r="I3624" s="40">
        <v>67.578161648177513</v>
      </c>
      <c r="J3624" s="41">
        <v>0.216742545345495</v>
      </c>
      <c r="K3624" s="9" t="s">
        <v>5046</v>
      </c>
    </row>
    <row r="3625" spans="1:11" x14ac:dyDescent="0.2">
      <c r="A3625" s="9" t="s">
        <v>34</v>
      </c>
      <c r="B3625" s="9" t="s">
        <v>396</v>
      </c>
      <c r="C3625" s="9"/>
      <c r="D3625" s="9" t="s">
        <v>78</v>
      </c>
      <c r="E3625" s="38">
        <v>1500</v>
      </c>
      <c r="F3625" s="39">
        <v>1149169.8500000001</v>
      </c>
      <c r="G3625" s="40">
        <v>766.11323333333337</v>
      </c>
      <c r="H3625" s="41">
        <v>-4.1924913388723527E-2</v>
      </c>
      <c r="I3625" s="40">
        <v>111.67464</v>
      </c>
      <c r="J3625" s="41">
        <v>0.14576779925091141</v>
      </c>
      <c r="K3625" s="9" t="s">
        <v>5047</v>
      </c>
    </row>
    <row r="3626" spans="1:11" x14ac:dyDescent="0.2">
      <c r="A3626" s="9" t="s">
        <v>34</v>
      </c>
      <c r="B3626" s="9" t="s">
        <v>5048</v>
      </c>
      <c r="C3626" s="9"/>
      <c r="D3626" s="9" t="s">
        <v>78</v>
      </c>
      <c r="E3626" s="38">
        <v>1171</v>
      </c>
      <c r="F3626" s="39">
        <v>1112903.43</v>
      </c>
      <c r="G3626" s="40">
        <v>950.38721605465412</v>
      </c>
      <c r="H3626" s="41"/>
      <c r="I3626" s="40">
        <v>87.106063193851412</v>
      </c>
      <c r="J3626" s="41">
        <v>9.1653235357536819E-2</v>
      </c>
      <c r="K3626" s="9" t="s">
        <v>5049</v>
      </c>
    </row>
    <row r="3627" spans="1:11" x14ac:dyDescent="0.2">
      <c r="A3627" s="9" t="s">
        <v>34</v>
      </c>
      <c r="B3627" s="9" t="s">
        <v>398</v>
      </c>
      <c r="C3627" s="9"/>
      <c r="D3627" s="9" t="s">
        <v>76</v>
      </c>
      <c r="E3627" s="38">
        <v>2910</v>
      </c>
      <c r="F3627" s="39">
        <v>708141.13</v>
      </c>
      <c r="G3627" s="40">
        <v>243.34746735395191</v>
      </c>
      <c r="H3627" s="41">
        <v>1.8857872964242949E-3</v>
      </c>
      <c r="I3627" s="40">
        <v>38.506020618556697</v>
      </c>
      <c r="J3627" s="41">
        <v>0.1582347292834127</v>
      </c>
      <c r="K3627" s="9" t="s">
        <v>5050</v>
      </c>
    </row>
    <row r="3628" spans="1:11" x14ac:dyDescent="0.2">
      <c r="A3628" s="9" t="s">
        <v>48</v>
      </c>
      <c r="B3628" s="9" t="s">
        <v>403</v>
      </c>
      <c r="C3628" s="9"/>
      <c r="D3628" s="9" t="s">
        <v>86</v>
      </c>
      <c r="E3628" s="38">
        <v>47827</v>
      </c>
      <c r="F3628" s="39">
        <v>4418104.4399999985</v>
      </c>
      <c r="G3628" s="40">
        <v>92.376783825036057</v>
      </c>
      <c r="H3628" s="41">
        <v>0.75728169894045527</v>
      </c>
      <c r="I3628" s="40">
        <v>21.420001254521509</v>
      </c>
      <c r="J3628" s="41">
        <v>0.23187645604864879</v>
      </c>
      <c r="K3628" s="9" t="s">
        <v>5051</v>
      </c>
    </row>
    <row r="3629" spans="1:11" x14ac:dyDescent="0.2">
      <c r="A3629" s="9" t="s">
        <v>48</v>
      </c>
      <c r="B3629" s="9" t="s">
        <v>169</v>
      </c>
      <c r="C3629" s="9"/>
      <c r="D3629" s="9" t="s">
        <v>76</v>
      </c>
      <c r="E3629" s="38">
        <v>6403</v>
      </c>
      <c r="F3629" s="39">
        <v>1606961.84</v>
      </c>
      <c r="G3629" s="40">
        <v>250.9701452444167</v>
      </c>
      <c r="H3629" s="41">
        <v>0.76061162507145141</v>
      </c>
      <c r="I3629" s="40">
        <v>20.077611619553331</v>
      </c>
      <c r="J3629" s="41">
        <v>0.08</v>
      </c>
      <c r="K3629" s="9" t="s">
        <v>5052</v>
      </c>
    </row>
    <row r="3630" spans="1:11" x14ac:dyDescent="0.2">
      <c r="A3630" s="9" t="s">
        <v>48</v>
      </c>
      <c r="B3630" s="9" t="s">
        <v>749</v>
      </c>
      <c r="C3630" s="9"/>
      <c r="D3630" s="9" t="s">
        <v>76</v>
      </c>
      <c r="E3630" s="38">
        <v>1825</v>
      </c>
      <c r="F3630" s="39">
        <v>491932</v>
      </c>
      <c r="G3630" s="40">
        <v>269.55178082191782</v>
      </c>
      <c r="H3630" s="41">
        <v>0.41914594190469912</v>
      </c>
      <c r="I3630" s="40">
        <v>26.404493150684932</v>
      </c>
      <c r="J3630" s="41">
        <v>9.7957034712114671E-2</v>
      </c>
      <c r="K3630" s="9" t="s">
        <v>5053</v>
      </c>
    </row>
    <row r="3631" spans="1:11" x14ac:dyDescent="0.2">
      <c r="A3631" s="9" t="s">
        <v>48</v>
      </c>
      <c r="B3631" s="9" t="s">
        <v>985</v>
      </c>
      <c r="C3631" s="9"/>
      <c r="D3631" s="9" t="s">
        <v>76</v>
      </c>
      <c r="E3631" s="38">
        <v>3428</v>
      </c>
      <c r="F3631" s="39">
        <v>817580.16</v>
      </c>
      <c r="G3631" s="40">
        <v>238.50063010501751</v>
      </c>
      <c r="H3631" s="41">
        <v>0.37592408987902481</v>
      </c>
      <c r="I3631" s="40">
        <v>11.92503150525088</v>
      </c>
      <c r="J3631" s="41">
        <v>0.05</v>
      </c>
      <c r="K3631" s="9" t="s">
        <v>5054</v>
      </c>
    </row>
    <row r="3632" spans="1:11" x14ac:dyDescent="0.2">
      <c r="A3632" s="9" t="s">
        <v>48</v>
      </c>
      <c r="B3632" s="9" t="s">
        <v>173</v>
      </c>
      <c r="C3632" s="9"/>
      <c r="D3632" s="9" t="s">
        <v>80</v>
      </c>
      <c r="E3632" s="38">
        <v>1289</v>
      </c>
      <c r="F3632" s="39">
        <v>459758.99</v>
      </c>
      <c r="G3632" s="40">
        <v>356.67881303335918</v>
      </c>
      <c r="H3632" s="41">
        <v>0.89521705132303586</v>
      </c>
      <c r="I3632" s="40">
        <v>55.38479441427463</v>
      </c>
      <c r="J3632" s="41">
        <v>0.15527918225155321</v>
      </c>
      <c r="K3632" s="9" t="s">
        <v>5055</v>
      </c>
    </row>
    <row r="3633" spans="1:11" x14ac:dyDescent="0.2">
      <c r="A3633" s="9" t="s">
        <v>48</v>
      </c>
      <c r="B3633" s="9" t="s">
        <v>179</v>
      </c>
      <c r="C3633" s="9"/>
      <c r="D3633" s="9" t="s">
        <v>79</v>
      </c>
      <c r="E3633" s="38">
        <v>3196</v>
      </c>
      <c r="F3633" s="39">
        <v>2083841</v>
      </c>
      <c r="G3633" s="40">
        <v>652.01533166458069</v>
      </c>
      <c r="H3633" s="41">
        <v>0.42327405377139521</v>
      </c>
      <c r="I3633" s="40">
        <v>41.178488735919913</v>
      </c>
      <c r="J3633" s="41">
        <v>6.315570621750892E-2</v>
      </c>
      <c r="K3633" s="9" t="s">
        <v>5056</v>
      </c>
    </row>
    <row r="3634" spans="1:11" x14ac:dyDescent="0.2">
      <c r="A3634" s="9" t="s">
        <v>48</v>
      </c>
      <c r="B3634" s="9" t="s">
        <v>5057</v>
      </c>
      <c r="C3634" s="9"/>
      <c r="D3634" s="9" t="s">
        <v>83</v>
      </c>
      <c r="E3634" s="38">
        <v>8224</v>
      </c>
      <c r="F3634" s="39">
        <v>292245.95</v>
      </c>
      <c r="G3634" s="40">
        <v>35.535742947470823</v>
      </c>
      <c r="H3634" s="41">
        <v>0.60696622394093147</v>
      </c>
      <c r="I3634" s="40">
        <v>23.561016536964981</v>
      </c>
      <c r="J3634" s="41">
        <v>0.66302304617052854</v>
      </c>
      <c r="K3634" s="9" t="s">
        <v>5058</v>
      </c>
    </row>
    <row r="3635" spans="1:11" x14ac:dyDescent="0.2">
      <c r="A3635" s="9" t="s">
        <v>48</v>
      </c>
      <c r="B3635" s="9" t="s">
        <v>5059</v>
      </c>
      <c r="C3635" s="9"/>
      <c r="D3635" s="9" t="s">
        <v>80</v>
      </c>
      <c r="E3635" s="38">
        <v>1769</v>
      </c>
      <c r="F3635" s="39">
        <v>625111.67000000004</v>
      </c>
      <c r="G3635" s="40">
        <v>353.37007914075753</v>
      </c>
      <c r="H3635" s="41"/>
      <c r="I3635" s="40">
        <v>50.082324137931032</v>
      </c>
      <c r="J3635" s="41">
        <v>0.1417276874706242</v>
      </c>
      <c r="K3635" s="9" t="s">
        <v>5060</v>
      </c>
    </row>
    <row r="3636" spans="1:11" x14ac:dyDescent="0.2">
      <c r="A3636" s="9" t="s">
        <v>48</v>
      </c>
      <c r="B3636" s="9" t="s">
        <v>191</v>
      </c>
      <c r="C3636" s="9"/>
      <c r="D3636" s="9" t="s">
        <v>76</v>
      </c>
      <c r="E3636" s="38">
        <v>5571</v>
      </c>
      <c r="F3636" s="39">
        <v>2503998.52</v>
      </c>
      <c r="G3636" s="40">
        <v>449.47020642613529</v>
      </c>
      <c r="H3636" s="41">
        <v>0.43006716264372169</v>
      </c>
      <c r="I3636" s="40">
        <v>64.50944686770778</v>
      </c>
      <c r="J3636" s="41">
        <v>0.1435232990872535</v>
      </c>
      <c r="K3636" s="9" t="s">
        <v>5061</v>
      </c>
    </row>
    <row r="3637" spans="1:11" x14ac:dyDescent="0.2">
      <c r="A3637" s="9" t="s">
        <v>48</v>
      </c>
      <c r="B3637" s="9" t="s">
        <v>759</v>
      </c>
      <c r="C3637" s="9"/>
      <c r="D3637" s="9" t="s">
        <v>76</v>
      </c>
      <c r="E3637" s="38">
        <v>2578</v>
      </c>
      <c r="F3637" s="39">
        <v>328367.28999999998</v>
      </c>
      <c r="G3637" s="40">
        <v>127.3728820791311</v>
      </c>
      <c r="H3637" s="41">
        <v>0.8237430256536078</v>
      </c>
      <c r="I3637" s="40">
        <v>18.61908456167572</v>
      </c>
      <c r="J3637" s="41">
        <v>0.14617777550254779</v>
      </c>
      <c r="K3637" s="9" t="s">
        <v>5062</v>
      </c>
    </row>
    <row r="3638" spans="1:11" x14ac:dyDescent="0.2">
      <c r="A3638" s="9" t="s">
        <v>48</v>
      </c>
      <c r="B3638" s="9" t="s">
        <v>208</v>
      </c>
      <c r="C3638" s="9"/>
      <c r="D3638" s="9" t="s">
        <v>78</v>
      </c>
      <c r="E3638" s="38">
        <v>1464</v>
      </c>
      <c r="F3638" s="39">
        <v>592625.43000000005</v>
      </c>
      <c r="G3638" s="40">
        <v>404.79879098360658</v>
      </c>
      <c r="H3638" s="41">
        <v>0.44560818976277938</v>
      </c>
      <c r="I3638" s="40">
        <v>60.719819262295097</v>
      </c>
      <c r="J3638" s="41">
        <v>0.15000000151866591</v>
      </c>
      <c r="K3638" s="9" t="s">
        <v>5063</v>
      </c>
    </row>
    <row r="3639" spans="1:11" x14ac:dyDescent="0.2">
      <c r="A3639" s="9" t="s">
        <v>48</v>
      </c>
      <c r="B3639" s="9" t="s">
        <v>216</v>
      </c>
      <c r="C3639" s="9"/>
      <c r="D3639" s="9" t="s">
        <v>84</v>
      </c>
      <c r="E3639" s="38">
        <v>465</v>
      </c>
      <c r="F3639" s="39">
        <v>0</v>
      </c>
      <c r="G3639" s="40"/>
      <c r="H3639" s="41"/>
      <c r="I3639" s="40">
        <v>103.4547096774194</v>
      </c>
      <c r="J3639" s="41"/>
      <c r="K3639" s="9" t="s">
        <v>5064</v>
      </c>
    </row>
    <row r="3640" spans="1:11" x14ac:dyDescent="0.2">
      <c r="A3640" s="9" t="s">
        <v>48</v>
      </c>
      <c r="B3640" s="9" t="s">
        <v>888</v>
      </c>
      <c r="C3640" s="9"/>
      <c r="D3640" s="9" t="s">
        <v>86</v>
      </c>
      <c r="E3640" s="38">
        <v>76873</v>
      </c>
      <c r="F3640" s="39">
        <v>3324247.62</v>
      </c>
      <c r="G3640" s="40">
        <v>43.243370494191723</v>
      </c>
      <c r="H3640" s="41">
        <v>0.45735168833995232</v>
      </c>
      <c r="I3640" s="40">
        <v>1.72222221846422</v>
      </c>
      <c r="J3640" s="41">
        <v>3.9826271606084512E-2</v>
      </c>
      <c r="K3640" s="9" t="s">
        <v>5065</v>
      </c>
    </row>
    <row r="3641" spans="1:11" x14ac:dyDescent="0.2">
      <c r="A3641" s="9" t="s">
        <v>48</v>
      </c>
      <c r="B3641" s="9" t="s">
        <v>888</v>
      </c>
      <c r="C3641" s="9"/>
      <c r="D3641" s="9" t="s">
        <v>86</v>
      </c>
      <c r="E3641" s="38">
        <v>27115</v>
      </c>
      <c r="F3641" s="39">
        <v>0</v>
      </c>
      <c r="G3641" s="40"/>
      <c r="H3641" s="41">
        <v>-1</v>
      </c>
      <c r="I3641" s="40">
        <v>0.41199998524801767</v>
      </c>
      <c r="J3641" s="41"/>
      <c r="K3641" s="9" t="s">
        <v>5065</v>
      </c>
    </row>
    <row r="3642" spans="1:11" x14ac:dyDescent="0.2">
      <c r="A3642" s="9" t="s">
        <v>48</v>
      </c>
      <c r="B3642" s="9" t="s">
        <v>5066</v>
      </c>
      <c r="C3642" s="9"/>
      <c r="D3642" s="9" t="s">
        <v>81</v>
      </c>
      <c r="E3642" s="38">
        <v>8131</v>
      </c>
      <c r="F3642" s="39">
        <v>1845734.81</v>
      </c>
      <c r="G3642" s="40">
        <v>226.99973066043529</v>
      </c>
      <c r="H3642" s="41"/>
      <c r="I3642" s="40">
        <v>36.170001229861029</v>
      </c>
      <c r="J3642" s="41">
        <v>0.15933940152540119</v>
      </c>
      <c r="K3642" s="9" t="s">
        <v>5067</v>
      </c>
    </row>
    <row r="3643" spans="1:11" x14ac:dyDescent="0.2">
      <c r="A3643" s="9" t="s">
        <v>48</v>
      </c>
      <c r="B3643" s="9" t="s">
        <v>3876</v>
      </c>
      <c r="C3643" s="9"/>
      <c r="D3643" s="9" t="s">
        <v>82</v>
      </c>
      <c r="E3643" s="38">
        <v>8610</v>
      </c>
      <c r="F3643" s="39">
        <v>902353.5</v>
      </c>
      <c r="G3643" s="40">
        <v>104.8029616724739</v>
      </c>
      <c r="H3643" s="41"/>
      <c r="I3643" s="40">
        <v>8.3739790940766561</v>
      </c>
      <c r="J3643" s="41">
        <v>7.9902122616025764E-2</v>
      </c>
      <c r="K3643" s="9" t="s">
        <v>5068</v>
      </c>
    </row>
    <row r="3644" spans="1:11" x14ac:dyDescent="0.2">
      <c r="A3644" s="9" t="s">
        <v>48</v>
      </c>
      <c r="B3644" s="9" t="s">
        <v>5069</v>
      </c>
      <c r="C3644" s="9"/>
      <c r="D3644" s="9" t="s">
        <v>83</v>
      </c>
      <c r="E3644" s="38">
        <v>3324</v>
      </c>
      <c r="F3644" s="39">
        <v>0</v>
      </c>
      <c r="G3644" s="40"/>
      <c r="H3644" s="41"/>
      <c r="I3644" s="40">
        <v>35.308772563176888</v>
      </c>
      <c r="J3644" s="41"/>
      <c r="K3644" s="9" t="s">
        <v>5070</v>
      </c>
    </row>
    <row r="3645" spans="1:11" x14ac:dyDescent="0.2">
      <c r="A3645" s="9" t="s">
        <v>48</v>
      </c>
      <c r="B3645" s="9" t="s">
        <v>233</v>
      </c>
      <c r="C3645" s="9"/>
      <c r="D3645" s="9" t="s">
        <v>77</v>
      </c>
      <c r="E3645" s="38">
        <v>4937</v>
      </c>
      <c r="F3645" s="39">
        <v>1232897.17</v>
      </c>
      <c r="G3645" s="40">
        <v>249.72598136520151</v>
      </c>
      <c r="H3645" s="41">
        <v>0.64848310113655128</v>
      </c>
      <c r="I3645" s="40">
        <v>30.06</v>
      </c>
      <c r="J3645" s="41">
        <v>0.1203719366149571</v>
      </c>
      <c r="K3645" s="9" t="s">
        <v>5071</v>
      </c>
    </row>
    <row r="3646" spans="1:11" x14ac:dyDescent="0.2">
      <c r="A3646" s="9" t="s">
        <v>48</v>
      </c>
      <c r="B3646" s="9" t="s">
        <v>5072</v>
      </c>
      <c r="C3646" s="9"/>
      <c r="D3646" s="9" t="s">
        <v>80</v>
      </c>
      <c r="E3646" s="38">
        <v>1304</v>
      </c>
      <c r="F3646" s="39">
        <v>517690.37</v>
      </c>
      <c r="G3646" s="40">
        <v>397.00181748466258</v>
      </c>
      <c r="H3646" s="41">
        <v>0.5889925521039</v>
      </c>
      <c r="I3646" s="40">
        <v>52.590145398772997</v>
      </c>
      <c r="J3646" s="41">
        <v>0.13246827365168101</v>
      </c>
      <c r="K3646" s="9" t="s">
        <v>5073</v>
      </c>
    </row>
    <row r="3647" spans="1:11" x14ac:dyDescent="0.2">
      <c r="A3647" s="9" t="s">
        <v>48</v>
      </c>
      <c r="B3647" s="9" t="s">
        <v>243</v>
      </c>
      <c r="C3647" s="9"/>
      <c r="D3647" s="9" t="s">
        <v>82</v>
      </c>
      <c r="E3647" s="38">
        <v>2631</v>
      </c>
      <c r="F3647" s="39">
        <v>1575914.64</v>
      </c>
      <c r="G3647" s="40">
        <v>598.97933865450409</v>
      </c>
      <c r="H3647" s="41">
        <v>0.34361959702098099</v>
      </c>
      <c r="I3647" s="40">
        <v>82.459201824401376</v>
      </c>
      <c r="J3647" s="41">
        <v>0.13766618730060151</v>
      </c>
      <c r="K3647" s="9" t="s">
        <v>5074</v>
      </c>
    </row>
    <row r="3648" spans="1:11" x14ac:dyDescent="0.2">
      <c r="A3648" s="9" t="s">
        <v>48</v>
      </c>
      <c r="B3648" s="9" t="s">
        <v>5075</v>
      </c>
      <c r="C3648" s="9"/>
      <c r="D3648" s="9" t="s">
        <v>81</v>
      </c>
      <c r="E3648" s="38">
        <v>735</v>
      </c>
      <c r="F3648" s="39">
        <v>383217.06</v>
      </c>
      <c r="G3648" s="40">
        <v>521.38375510204082</v>
      </c>
      <c r="H3648" s="41">
        <v>0.62202749688193548</v>
      </c>
      <c r="I3648" s="40">
        <v>49.944000000000003</v>
      </c>
      <c r="J3648" s="41">
        <v>9.5791246871942487E-2</v>
      </c>
      <c r="K3648" s="9" t="s">
        <v>5076</v>
      </c>
    </row>
    <row r="3649" spans="1:11" x14ac:dyDescent="0.2">
      <c r="A3649" s="9" t="s">
        <v>48</v>
      </c>
      <c r="B3649" s="9" t="s">
        <v>247</v>
      </c>
      <c r="C3649" s="9"/>
      <c r="D3649" s="9" t="s">
        <v>76</v>
      </c>
      <c r="E3649" s="38">
        <v>21956</v>
      </c>
      <c r="F3649" s="39">
        <v>1755534.2</v>
      </c>
      <c r="G3649" s="40">
        <v>79.956922936782661</v>
      </c>
      <c r="H3649" s="41">
        <v>0.48558979680781372</v>
      </c>
      <c r="I3649" s="40">
        <v>3.9978461468391329</v>
      </c>
      <c r="J3649" s="41">
        <v>0.05</v>
      </c>
      <c r="K3649" s="9" t="s">
        <v>5077</v>
      </c>
    </row>
    <row r="3650" spans="1:11" x14ac:dyDescent="0.2">
      <c r="A3650" s="9" t="s">
        <v>48</v>
      </c>
      <c r="B3650" s="9" t="s">
        <v>5078</v>
      </c>
      <c r="C3650" s="9"/>
      <c r="D3650" s="9" t="s">
        <v>79</v>
      </c>
      <c r="E3650" s="38">
        <v>795</v>
      </c>
      <c r="F3650" s="39">
        <v>288963</v>
      </c>
      <c r="G3650" s="40">
        <v>363.47547169811321</v>
      </c>
      <c r="H3650" s="41">
        <v>1.016091658084449E-2</v>
      </c>
      <c r="I3650" s="40">
        <v>69.640452830188678</v>
      </c>
      <c r="J3650" s="41">
        <v>0.1915960174832072</v>
      </c>
      <c r="K3650" s="9" t="s">
        <v>5079</v>
      </c>
    </row>
    <row r="3651" spans="1:11" x14ac:dyDescent="0.2">
      <c r="A3651" s="9" t="s">
        <v>48</v>
      </c>
      <c r="B3651" s="9" t="s">
        <v>5080</v>
      </c>
      <c r="C3651" s="9"/>
      <c r="D3651" s="9" t="s">
        <v>81</v>
      </c>
      <c r="E3651" s="38">
        <v>1250</v>
      </c>
      <c r="F3651" s="39">
        <v>1128680.74</v>
      </c>
      <c r="G3651" s="40">
        <v>902.94459199999983</v>
      </c>
      <c r="H3651" s="41">
        <v>0.92936261336901449</v>
      </c>
      <c r="I3651" s="40">
        <v>88.748935039999978</v>
      </c>
      <c r="J3651" s="41">
        <v>9.8288351053106474E-2</v>
      </c>
      <c r="K3651" s="9" t="s">
        <v>5081</v>
      </c>
    </row>
    <row r="3652" spans="1:11" x14ac:dyDescent="0.2">
      <c r="A3652" s="9" t="s">
        <v>48</v>
      </c>
      <c r="B3652" s="9" t="s">
        <v>779</v>
      </c>
      <c r="C3652" s="9"/>
      <c r="D3652" s="9" t="s">
        <v>86</v>
      </c>
      <c r="E3652" s="38">
        <v>51668</v>
      </c>
      <c r="F3652" s="39">
        <v>0</v>
      </c>
      <c r="G3652" s="40"/>
      <c r="H3652" s="41"/>
      <c r="I3652" s="40">
        <v>9.2800007741735708</v>
      </c>
      <c r="J3652" s="41"/>
      <c r="K3652" s="9" t="s">
        <v>5082</v>
      </c>
    </row>
    <row r="3653" spans="1:11" x14ac:dyDescent="0.2">
      <c r="A3653" s="9" t="s">
        <v>48</v>
      </c>
      <c r="B3653" s="9" t="s">
        <v>140</v>
      </c>
      <c r="C3653" s="9"/>
      <c r="D3653" s="9" t="s">
        <v>83</v>
      </c>
      <c r="E3653" s="38">
        <v>5847</v>
      </c>
      <c r="F3653" s="39">
        <v>1957873.28</v>
      </c>
      <c r="G3653" s="40">
        <v>334.85091157858727</v>
      </c>
      <c r="H3653" s="41">
        <v>1.0465109977240461E-2</v>
      </c>
      <c r="I3653" s="40">
        <v>16.74254557892937</v>
      </c>
      <c r="J3653" s="41">
        <v>0.05</v>
      </c>
      <c r="K3653" s="9" t="s">
        <v>5083</v>
      </c>
    </row>
    <row r="3654" spans="1:11" x14ac:dyDescent="0.2">
      <c r="A3654" s="9" t="s">
        <v>48</v>
      </c>
      <c r="B3654" s="9" t="s">
        <v>262</v>
      </c>
      <c r="C3654" s="9"/>
      <c r="D3654" s="9" t="s">
        <v>76</v>
      </c>
      <c r="E3654" s="38">
        <v>4294</v>
      </c>
      <c r="F3654" s="39">
        <v>807980.65999999992</v>
      </c>
      <c r="G3654" s="40">
        <v>188.1650349324639</v>
      </c>
      <c r="H3654" s="41">
        <v>0.99962929695499447</v>
      </c>
      <c r="I3654" s="40">
        <v>40.164648346530043</v>
      </c>
      <c r="J3654" s="41">
        <v>0.2134543665933786</v>
      </c>
      <c r="K3654" s="9" t="s">
        <v>5084</v>
      </c>
    </row>
    <row r="3655" spans="1:11" x14ac:dyDescent="0.2">
      <c r="A3655" s="9" t="s">
        <v>48</v>
      </c>
      <c r="B3655" s="9" t="s">
        <v>267</v>
      </c>
      <c r="C3655" s="9"/>
      <c r="D3655" s="9" t="s">
        <v>77</v>
      </c>
      <c r="E3655" s="38">
        <v>2053</v>
      </c>
      <c r="F3655" s="39">
        <v>841684.76999999979</v>
      </c>
      <c r="G3655" s="40">
        <v>409.97796882610811</v>
      </c>
      <c r="H3655" s="41">
        <v>0.58262983061891094</v>
      </c>
      <c r="I3655" s="40">
        <v>44.687111544081823</v>
      </c>
      <c r="J3655" s="41">
        <v>0.10899881198990929</v>
      </c>
      <c r="K3655" s="9" t="s">
        <v>5085</v>
      </c>
    </row>
    <row r="3656" spans="1:11" x14ac:dyDescent="0.2">
      <c r="A3656" s="9" t="s">
        <v>48</v>
      </c>
      <c r="B3656" s="9" t="s">
        <v>275</v>
      </c>
      <c r="C3656" s="9"/>
      <c r="D3656" s="9" t="s">
        <v>83</v>
      </c>
      <c r="E3656" s="38">
        <v>3432</v>
      </c>
      <c r="F3656" s="39">
        <v>852958.39</v>
      </c>
      <c r="G3656" s="40">
        <v>248.5309994172494</v>
      </c>
      <c r="H3656" s="41">
        <v>0.80158627131682658</v>
      </c>
      <c r="I3656" s="40">
        <v>20.068960139860138</v>
      </c>
      <c r="J3656" s="41">
        <v>8.0750329684898217E-2</v>
      </c>
      <c r="K3656" s="9" t="s">
        <v>5086</v>
      </c>
    </row>
    <row r="3657" spans="1:11" x14ac:dyDescent="0.2">
      <c r="A3657" s="9" t="s">
        <v>48</v>
      </c>
      <c r="B3657" s="9" t="s">
        <v>277</v>
      </c>
      <c r="C3657" s="9"/>
      <c r="D3657" s="9" t="s">
        <v>76</v>
      </c>
      <c r="E3657" s="38">
        <v>980</v>
      </c>
      <c r="F3657" s="39">
        <v>405147.82</v>
      </c>
      <c r="G3657" s="40">
        <v>413.41614285714292</v>
      </c>
      <c r="H3657" s="41"/>
      <c r="I3657" s="40">
        <v>45.918367346938773</v>
      </c>
      <c r="J3657" s="41">
        <v>0.1110705717236736</v>
      </c>
      <c r="K3657" s="9" t="s">
        <v>5087</v>
      </c>
    </row>
    <row r="3658" spans="1:11" x14ac:dyDescent="0.2">
      <c r="A3658" s="9" t="s">
        <v>48</v>
      </c>
      <c r="B3658" s="9" t="s">
        <v>285</v>
      </c>
      <c r="C3658" s="9"/>
      <c r="D3658" s="9" t="s">
        <v>76</v>
      </c>
      <c r="E3658" s="38">
        <v>4501</v>
      </c>
      <c r="F3658" s="39">
        <v>3603512.51</v>
      </c>
      <c r="G3658" s="40">
        <v>800.60264607864917</v>
      </c>
      <c r="H3658" s="41">
        <v>0.37477680275771269</v>
      </c>
      <c r="I3658" s="40">
        <v>32.194499000222173</v>
      </c>
      <c r="J3658" s="41">
        <v>4.0212831119046118E-2</v>
      </c>
      <c r="K3658" s="9" t="s">
        <v>5088</v>
      </c>
    </row>
    <row r="3659" spans="1:11" x14ac:dyDescent="0.2">
      <c r="A3659" s="9" t="s">
        <v>48</v>
      </c>
      <c r="B3659" s="9" t="s">
        <v>295</v>
      </c>
      <c r="C3659" s="9"/>
      <c r="D3659" s="9" t="s">
        <v>76</v>
      </c>
      <c r="E3659" s="38">
        <v>5764</v>
      </c>
      <c r="F3659" s="39">
        <v>1031253.42</v>
      </c>
      <c r="G3659" s="40">
        <v>178.91280707841781</v>
      </c>
      <c r="H3659" s="41">
        <v>0.43851635954853929</v>
      </c>
      <c r="I3659" s="40">
        <v>26.55062456627342</v>
      </c>
      <c r="J3659" s="41">
        <v>0.14839979876139461</v>
      </c>
      <c r="K3659" s="9" t="s">
        <v>5089</v>
      </c>
    </row>
    <row r="3660" spans="1:11" x14ac:dyDescent="0.2">
      <c r="A3660" s="9" t="s">
        <v>48</v>
      </c>
      <c r="B3660" s="9" t="s">
        <v>301</v>
      </c>
      <c r="C3660" s="9"/>
      <c r="D3660" s="9" t="s">
        <v>82</v>
      </c>
      <c r="E3660" s="38">
        <v>2607</v>
      </c>
      <c r="F3660" s="39">
        <v>406581.34</v>
      </c>
      <c r="G3660" s="40">
        <v>155.957552742616</v>
      </c>
      <c r="H3660" s="41"/>
      <c r="I3660" s="40">
        <v>33.582002301495969</v>
      </c>
      <c r="J3660" s="41">
        <v>0.2153278357536034</v>
      </c>
      <c r="K3660" s="9" t="s">
        <v>5090</v>
      </c>
    </row>
    <row r="3661" spans="1:11" x14ac:dyDescent="0.2">
      <c r="A3661" s="9" t="s">
        <v>48</v>
      </c>
      <c r="B3661" s="9" t="s">
        <v>5091</v>
      </c>
      <c r="C3661" s="9"/>
      <c r="D3661" s="9" t="s">
        <v>83</v>
      </c>
      <c r="E3661" s="38">
        <v>1179</v>
      </c>
      <c r="F3661" s="39">
        <v>251648.32</v>
      </c>
      <c r="G3661" s="40">
        <v>213.44217133163701</v>
      </c>
      <c r="H3661" s="41">
        <v>0.83069491075879975</v>
      </c>
      <c r="I3661" s="40">
        <v>38.903222391857497</v>
      </c>
      <c r="J3661" s="41">
        <v>0.18226586690505231</v>
      </c>
      <c r="K3661" s="9" t="s">
        <v>5092</v>
      </c>
    </row>
    <row r="3662" spans="1:11" x14ac:dyDescent="0.2">
      <c r="A3662" s="9" t="s">
        <v>48</v>
      </c>
      <c r="B3662" s="9" t="s">
        <v>305</v>
      </c>
      <c r="C3662" s="9"/>
      <c r="D3662" s="9" t="s">
        <v>78</v>
      </c>
      <c r="E3662" s="38">
        <v>916</v>
      </c>
      <c r="F3662" s="39">
        <v>790782.96</v>
      </c>
      <c r="G3662" s="40">
        <v>863.30017467248899</v>
      </c>
      <c r="H3662" s="41">
        <v>0.62493163554497555</v>
      </c>
      <c r="I3662" s="40">
        <v>79.2023580786026</v>
      </c>
      <c r="J3662" s="41">
        <v>9.1743706768795313E-2</v>
      </c>
      <c r="K3662" s="9" t="s">
        <v>5093</v>
      </c>
    </row>
    <row r="3663" spans="1:11" x14ac:dyDescent="0.2">
      <c r="A3663" s="9" t="s">
        <v>48</v>
      </c>
      <c r="B3663" s="9" t="s">
        <v>5094</v>
      </c>
      <c r="C3663" s="9"/>
      <c r="D3663" s="9" t="s">
        <v>76</v>
      </c>
      <c r="E3663" s="38">
        <v>7932</v>
      </c>
      <c r="F3663" s="39">
        <v>4206892.2300000004</v>
      </c>
      <c r="G3663" s="40">
        <v>530.36967095310138</v>
      </c>
      <c r="H3663" s="41">
        <v>0.77135670732109163</v>
      </c>
      <c r="I3663" s="40">
        <v>18.444827181038828</v>
      </c>
      <c r="J3663" s="41">
        <v>3.4777303815077758E-2</v>
      </c>
      <c r="K3663" s="9" t="s">
        <v>5095</v>
      </c>
    </row>
    <row r="3664" spans="1:11" x14ac:dyDescent="0.2">
      <c r="A3664" s="9" t="s">
        <v>48</v>
      </c>
      <c r="B3664" s="9" t="s">
        <v>2228</v>
      </c>
      <c r="C3664" s="9"/>
      <c r="D3664" s="9" t="s">
        <v>83</v>
      </c>
      <c r="E3664" s="38">
        <v>2040</v>
      </c>
      <c r="F3664" s="39">
        <v>0</v>
      </c>
      <c r="G3664" s="40"/>
      <c r="H3664" s="41">
        <v>0.6874354156881165</v>
      </c>
      <c r="I3664" s="40">
        <v>67.290000000000006</v>
      </c>
      <c r="J3664" s="41"/>
      <c r="K3664" s="9" t="s">
        <v>5096</v>
      </c>
    </row>
    <row r="3665" spans="1:11" x14ac:dyDescent="0.2">
      <c r="A3665" s="9" t="s">
        <v>48</v>
      </c>
      <c r="B3665" s="9" t="s">
        <v>5097</v>
      </c>
      <c r="C3665" s="9"/>
      <c r="D3665" s="9" t="s">
        <v>81</v>
      </c>
      <c r="E3665" s="38">
        <v>1789</v>
      </c>
      <c r="F3665" s="39">
        <v>1515736.26</v>
      </c>
      <c r="G3665" s="40">
        <v>847.25335941866967</v>
      </c>
      <c r="H3665" s="41">
        <v>0.81546055662887851</v>
      </c>
      <c r="I3665" s="40">
        <v>61.251993068753492</v>
      </c>
      <c r="J3665" s="41">
        <v>7.2294777456864426E-2</v>
      </c>
      <c r="K3665" s="9" t="s">
        <v>5098</v>
      </c>
    </row>
    <row r="3666" spans="1:11" x14ac:dyDescent="0.2">
      <c r="A3666" s="9" t="s">
        <v>48</v>
      </c>
      <c r="B3666" s="9" t="s">
        <v>5099</v>
      </c>
      <c r="C3666" s="9"/>
      <c r="D3666" s="9" t="s">
        <v>83</v>
      </c>
      <c r="E3666" s="38">
        <v>7219</v>
      </c>
      <c r="F3666" s="39">
        <v>0</v>
      </c>
      <c r="G3666" s="40"/>
      <c r="H3666" s="41"/>
      <c r="I3666" s="40">
        <v>25.368289236736391</v>
      </c>
      <c r="J3666" s="41"/>
      <c r="K3666" s="9" t="s">
        <v>5100</v>
      </c>
    </row>
    <row r="3667" spans="1:11" x14ac:dyDescent="0.2">
      <c r="A3667" s="9" t="s">
        <v>48</v>
      </c>
      <c r="B3667" s="9" t="s">
        <v>321</v>
      </c>
      <c r="C3667" s="9"/>
      <c r="D3667" s="9" t="s">
        <v>78</v>
      </c>
      <c r="E3667" s="38">
        <v>1295</v>
      </c>
      <c r="F3667" s="39">
        <v>443541.6</v>
      </c>
      <c r="G3667" s="40">
        <v>342.50316602316599</v>
      </c>
      <c r="H3667" s="41"/>
      <c r="I3667" s="40">
        <v>66.059123397683408</v>
      </c>
      <c r="J3667" s="41">
        <v>0.1928715701075164</v>
      </c>
      <c r="K3667" s="9" t="s">
        <v>5101</v>
      </c>
    </row>
    <row r="3668" spans="1:11" x14ac:dyDescent="0.2">
      <c r="A3668" s="9" t="s">
        <v>48</v>
      </c>
      <c r="B3668" s="9" t="s">
        <v>335</v>
      </c>
      <c r="C3668" s="9"/>
      <c r="D3668" s="9" t="s">
        <v>76</v>
      </c>
      <c r="E3668" s="38">
        <v>1551</v>
      </c>
      <c r="F3668" s="39">
        <v>334222.76</v>
      </c>
      <c r="G3668" s="40">
        <v>215.48856221792391</v>
      </c>
      <c r="H3668" s="41">
        <v>0.30977486404399751</v>
      </c>
      <c r="I3668" s="40">
        <v>25.858627466150871</v>
      </c>
      <c r="J3668" s="41">
        <v>0.12</v>
      </c>
      <c r="K3668" s="9" t="s">
        <v>5102</v>
      </c>
    </row>
    <row r="3669" spans="1:11" x14ac:dyDescent="0.2">
      <c r="A3669" s="9" t="s">
        <v>48</v>
      </c>
      <c r="B3669" s="9" t="s">
        <v>3917</v>
      </c>
      <c r="C3669" s="9"/>
      <c r="D3669" s="9" t="s">
        <v>78</v>
      </c>
      <c r="E3669" s="38">
        <v>1367</v>
      </c>
      <c r="F3669" s="39">
        <v>2478332.959999999</v>
      </c>
      <c r="G3669" s="40">
        <v>1812.9721726408191</v>
      </c>
      <c r="H3669" s="41">
        <v>0.88754922790102386</v>
      </c>
      <c r="I3669" s="40">
        <v>132.1014753474762</v>
      </c>
      <c r="J3669" s="41">
        <v>7.2864590720691541E-2</v>
      </c>
      <c r="K3669" s="9" t="s">
        <v>5103</v>
      </c>
    </row>
    <row r="3670" spans="1:11" x14ac:dyDescent="0.2">
      <c r="A3670" s="9" t="s">
        <v>48</v>
      </c>
      <c r="B3670" s="9" t="s">
        <v>5104</v>
      </c>
      <c r="C3670" s="9"/>
      <c r="D3670" s="9" t="s">
        <v>79</v>
      </c>
      <c r="E3670" s="38">
        <v>1022</v>
      </c>
      <c r="F3670" s="39">
        <v>373583.9</v>
      </c>
      <c r="G3670" s="40">
        <v>365.54197651663412</v>
      </c>
      <c r="H3670" s="41">
        <v>0.86354615308571769</v>
      </c>
      <c r="I3670" s="40">
        <v>39.641353131115459</v>
      </c>
      <c r="J3670" s="41">
        <v>0.10844541989095351</v>
      </c>
      <c r="K3670" s="9" t="s">
        <v>5105</v>
      </c>
    </row>
    <row r="3671" spans="1:11" x14ac:dyDescent="0.2">
      <c r="A3671" s="9" t="s">
        <v>48</v>
      </c>
      <c r="B3671" s="9" t="s">
        <v>5106</v>
      </c>
      <c r="C3671" s="9"/>
      <c r="D3671" s="9" t="s">
        <v>86</v>
      </c>
      <c r="E3671" s="38">
        <v>107386</v>
      </c>
      <c r="F3671" s="39">
        <v>0</v>
      </c>
      <c r="G3671" s="40"/>
      <c r="H3671" s="41"/>
      <c r="I3671" s="40">
        <v>1.024342465498296</v>
      </c>
      <c r="J3671" s="41"/>
      <c r="K3671" s="9" t="s">
        <v>5107</v>
      </c>
    </row>
    <row r="3672" spans="1:11" x14ac:dyDescent="0.2">
      <c r="A3672" s="9" t="s">
        <v>48</v>
      </c>
      <c r="B3672" s="9" t="s">
        <v>5108</v>
      </c>
      <c r="C3672" s="9"/>
      <c r="D3672" s="9" t="s">
        <v>79</v>
      </c>
      <c r="E3672" s="38">
        <v>2808</v>
      </c>
      <c r="F3672" s="39">
        <v>2349376.9300000002</v>
      </c>
      <c r="G3672" s="40">
        <v>836.67269586894577</v>
      </c>
      <c r="H3672" s="41">
        <v>0.66609320049295573</v>
      </c>
      <c r="I3672" s="40">
        <v>61.410361752136737</v>
      </c>
      <c r="J3672" s="41">
        <v>7.3398309823362401E-2</v>
      </c>
      <c r="K3672" s="9" t="s">
        <v>5109</v>
      </c>
    </row>
    <row r="3673" spans="1:11" x14ac:dyDescent="0.2">
      <c r="A3673" s="9" t="s">
        <v>48</v>
      </c>
      <c r="B3673" s="9" t="s">
        <v>355</v>
      </c>
      <c r="C3673" s="9"/>
      <c r="D3673" s="9" t="s">
        <v>82</v>
      </c>
      <c r="E3673" s="38">
        <v>2677</v>
      </c>
      <c r="F3673" s="39">
        <v>1035101.78</v>
      </c>
      <c r="G3673" s="40">
        <v>386.66484124019428</v>
      </c>
      <c r="H3673" s="41">
        <v>0.37092363369219128</v>
      </c>
      <c r="I3673" s="40">
        <v>37.10070974971984</v>
      </c>
      <c r="J3673" s="41">
        <v>9.5950564397638258E-2</v>
      </c>
      <c r="K3673" s="9" t="s">
        <v>5110</v>
      </c>
    </row>
    <row r="3674" spans="1:11" x14ac:dyDescent="0.2">
      <c r="A3674" s="9" t="s">
        <v>48</v>
      </c>
      <c r="B3674" s="9" t="s">
        <v>5111</v>
      </c>
      <c r="C3674" s="9"/>
      <c r="D3674" s="9" t="s">
        <v>83</v>
      </c>
      <c r="E3674" s="38">
        <v>1</v>
      </c>
      <c r="F3674" s="39">
        <v>0</v>
      </c>
      <c r="G3674" s="40"/>
      <c r="H3674" s="41"/>
      <c r="I3674" s="40">
        <v>15450</v>
      </c>
      <c r="J3674" s="41"/>
      <c r="K3674" s="9" t="s">
        <v>5112</v>
      </c>
    </row>
    <row r="3675" spans="1:11" x14ac:dyDescent="0.2">
      <c r="A3675" s="9" t="s">
        <v>48</v>
      </c>
      <c r="B3675" s="9" t="s">
        <v>1551</v>
      </c>
      <c r="C3675" s="9"/>
      <c r="D3675" s="9" t="s">
        <v>81</v>
      </c>
      <c r="E3675" s="38">
        <v>9097</v>
      </c>
      <c r="F3675" s="39">
        <v>0</v>
      </c>
      <c r="G3675" s="40"/>
      <c r="H3675" s="41"/>
      <c r="I3675" s="40">
        <v>25.645638078487419</v>
      </c>
      <c r="J3675" s="41"/>
      <c r="K3675" s="9" t="s">
        <v>5113</v>
      </c>
    </row>
    <row r="3676" spans="1:11" x14ac:dyDescent="0.2">
      <c r="A3676" s="9" t="s">
        <v>48</v>
      </c>
      <c r="B3676" s="9" t="s">
        <v>369</v>
      </c>
      <c r="C3676" s="9"/>
      <c r="D3676" s="9" t="s">
        <v>84</v>
      </c>
      <c r="E3676" s="38">
        <v>1033</v>
      </c>
      <c r="F3676" s="39">
        <v>256847.12</v>
      </c>
      <c r="G3676" s="40">
        <v>248.6419361084221</v>
      </c>
      <c r="H3676" s="41">
        <v>0.77360774818401934</v>
      </c>
      <c r="I3676" s="40">
        <v>62.314733785091967</v>
      </c>
      <c r="J3676" s="41">
        <v>0.25062036903508977</v>
      </c>
      <c r="K3676" s="9" t="s">
        <v>5114</v>
      </c>
    </row>
    <row r="3677" spans="1:11" x14ac:dyDescent="0.2">
      <c r="A3677" s="9" t="s">
        <v>48</v>
      </c>
      <c r="B3677" s="9" t="s">
        <v>371</v>
      </c>
      <c r="C3677" s="9"/>
      <c r="D3677" s="9" t="s">
        <v>76</v>
      </c>
      <c r="E3677" s="38">
        <v>3061</v>
      </c>
      <c r="F3677" s="39">
        <v>556979.91</v>
      </c>
      <c r="G3677" s="40">
        <v>181.96011434171839</v>
      </c>
      <c r="H3677" s="41">
        <v>0.70799043696754937</v>
      </c>
      <c r="I3677" s="40">
        <v>26.511327147990851</v>
      </c>
      <c r="J3677" s="41">
        <v>0.1456985628081271</v>
      </c>
      <c r="K3677" s="9" t="s">
        <v>5115</v>
      </c>
    </row>
    <row r="3678" spans="1:11" x14ac:dyDescent="0.2">
      <c r="A3678" s="9" t="s">
        <v>48</v>
      </c>
      <c r="B3678" s="9" t="s">
        <v>1050</v>
      </c>
      <c r="C3678" s="9"/>
      <c r="D3678" s="9" t="s">
        <v>77</v>
      </c>
      <c r="E3678" s="38">
        <v>2350</v>
      </c>
      <c r="F3678" s="39">
        <v>1005218</v>
      </c>
      <c r="G3678" s="40">
        <v>427.75234042553188</v>
      </c>
      <c r="H3678" s="41">
        <v>0.49217974614770132</v>
      </c>
      <c r="I3678" s="40">
        <v>58.663710638297871</v>
      </c>
      <c r="J3678" s="41">
        <v>0.1371441020753707</v>
      </c>
      <c r="K3678" s="9" t="s">
        <v>5116</v>
      </c>
    </row>
    <row r="3679" spans="1:11" x14ac:dyDescent="0.2">
      <c r="A3679" s="9" t="s">
        <v>48</v>
      </c>
      <c r="B3679" s="9" t="s">
        <v>386</v>
      </c>
      <c r="C3679" s="9"/>
      <c r="D3679" s="9" t="s">
        <v>84</v>
      </c>
      <c r="E3679" s="38">
        <v>1460</v>
      </c>
      <c r="F3679" s="39">
        <v>0</v>
      </c>
      <c r="G3679" s="40"/>
      <c r="H3679" s="41"/>
      <c r="I3679" s="40">
        <v>51.889972602739718</v>
      </c>
      <c r="J3679" s="41"/>
      <c r="K3679" s="9" t="s">
        <v>5117</v>
      </c>
    </row>
    <row r="3680" spans="1:11" x14ac:dyDescent="0.2">
      <c r="A3680" s="9" t="s">
        <v>48</v>
      </c>
      <c r="B3680" s="9" t="s">
        <v>388</v>
      </c>
      <c r="C3680" s="9"/>
      <c r="D3680" s="9" t="s">
        <v>76</v>
      </c>
      <c r="E3680" s="38">
        <v>7941</v>
      </c>
      <c r="F3680" s="39">
        <v>3366136.03</v>
      </c>
      <c r="G3680" s="40">
        <v>423.89321621961972</v>
      </c>
      <c r="H3680" s="41">
        <v>0.66512026591829443</v>
      </c>
      <c r="I3680" s="40">
        <v>40.310222893842081</v>
      </c>
      <c r="J3680" s="41">
        <v>9.5095230004712539E-2</v>
      </c>
      <c r="K3680" s="9" t="s">
        <v>5118</v>
      </c>
    </row>
    <row r="3681" spans="1:11" x14ac:dyDescent="0.2">
      <c r="A3681" s="9" t="s">
        <v>48</v>
      </c>
      <c r="B3681" s="9" t="s">
        <v>398</v>
      </c>
      <c r="C3681" s="9"/>
      <c r="D3681" s="9" t="s">
        <v>76</v>
      </c>
      <c r="E3681" s="38">
        <v>2570</v>
      </c>
      <c r="F3681" s="39">
        <v>890965.94</v>
      </c>
      <c r="G3681" s="40">
        <v>346.67935408560311</v>
      </c>
      <c r="H3681" s="41">
        <v>0.53600870126546851</v>
      </c>
      <c r="I3681" s="40">
        <v>37.804062256809338</v>
      </c>
      <c r="J3681" s="41">
        <v>0.1090461886792216</v>
      </c>
      <c r="K3681" s="9" t="s">
        <v>5119</v>
      </c>
    </row>
    <row r="3682" spans="1:11" x14ac:dyDescent="0.2">
      <c r="A3682" s="9" t="s">
        <v>66</v>
      </c>
      <c r="B3682" s="9" t="s">
        <v>3620</v>
      </c>
      <c r="C3682" s="9"/>
      <c r="D3682" s="9" t="s">
        <v>76</v>
      </c>
      <c r="E3682" s="38">
        <v>4807</v>
      </c>
      <c r="F3682" s="39">
        <v>1473790.24</v>
      </c>
      <c r="G3682" s="40">
        <v>306.59251924277089</v>
      </c>
      <c r="H3682" s="41">
        <v>6.5447148654725923E-2</v>
      </c>
      <c r="I3682" s="40">
        <v>6.5168979383295973</v>
      </c>
      <c r="J3682" s="41">
        <v>2.1255893504594229E-2</v>
      </c>
      <c r="K3682" s="9" t="s">
        <v>5120</v>
      </c>
    </row>
    <row r="3683" spans="1:11" x14ac:dyDescent="0.2">
      <c r="A3683" s="9" t="s">
        <v>66</v>
      </c>
      <c r="B3683" s="9" t="s">
        <v>1192</v>
      </c>
      <c r="C3683" s="9"/>
      <c r="D3683" s="9" t="s">
        <v>76</v>
      </c>
      <c r="E3683" s="38">
        <v>1904</v>
      </c>
      <c r="F3683" s="39">
        <v>643800.15</v>
      </c>
      <c r="G3683" s="40">
        <v>338.13033088235301</v>
      </c>
      <c r="H3683" s="41">
        <v>0.13429974616961571</v>
      </c>
      <c r="I3683" s="40">
        <v>33.611285236046449</v>
      </c>
      <c r="J3683" s="41">
        <v>9.9403342930927313E-2</v>
      </c>
      <c r="K3683" s="9" t="s">
        <v>5121</v>
      </c>
    </row>
    <row r="3684" spans="1:11" x14ac:dyDescent="0.2">
      <c r="A3684" s="9" t="s">
        <v>66</v>
      </c>
      <c r="B3684" s="9" t="s">
        <v>166</v>
      </c>
      <c r="C3684" s="9"/>
      <c r="D3684" s="9" t="s">
        <v>76</v>
      </c>
      <c r="E3684" s="38">
        <v>3724</v>
      </c>
      <c r="F3684" s="39">
        <v>1435825.5</v>
      </c>
      <c r="G3684" s="40">
        <v>385.56001611170791</v>
      </c>
      <c r="H3684" s="41">
        <v>-5.5879819691042901E-2</v>
      </c>
      <c r="I3684" s="40">
        <v>55.129295317423363</v>
      </c>
      <c r="J3684" s="41">
        <v>0.14298499069844109</v>
      </c>
      <c r="K3684" s="9" t="s">
        <v>5122</v>
      </c>
    </row>
    <row r="3685" spans="1:11" x14ac:dyDescent="0.2">
      <c r="A3685" s="9" t="s">
        <v>66</v>
      </c>
      <c r="B3685" s="9" t="s">
        <v>2099</v>
      </c>
      <c r="C3685" s="9"/>
      <c r="D3685" s="9" t="s">
        <v>76</v>
      </c>
      <c r="E3685" s="38">
        <v>3484</v>
      </c>
      <c r="F3685" s="39">
        <v>704543.06</v>
      </c>
      <c r="G3685" s="40">
        <v>202.22246268656721</v>
      </c>
      <c r="H3685" s="41">
        <v>-0.2929301444416913</v>
      </c>
      <c r="I3685" s="40">
        <v>101.1610165227375</v>
      </c>
      <c r="J3685" s="41">
        <v>0.50024619015510186</v>
      </c>
      <c r="K3685" s="9" t="s">
        <v>5123</v>
      </c>
    </row>
    <row r="3686" spans="1:11" x14ac:dyDescent="0.2">
      <c r="A3686" s="9" t="s">
        <v>66</v>
      </c>
      <c r="B3686" s="9" t="s">
        <v>168</v>
      </c>
      <c r="C3686" s="9"/>
      <c r="D3686" s="9" t="s">
        <v>77</v>
      </c>
      <c r="E3686" s="38">
        <v>1800</v>
      </c>
      <c r="F3686" s="39">
        <v>691915.9</v>
      </c>
      <c r="G3686" s="40">
        <v>384.39772222222223</v>
      </c>
      <c r="H3686" s="41">
        <v>1.8346635029956131E-2</v>
      </c>
      <c r="I3686" s="40">
        <v>89.817410612469672</v>
      </c>
      <c r="J3686" s="41">
        <v>0.23365749956381321</v>
      </c>
      <c r="K3686" s="9" t="s">
        <v>5124</v>
      </c>
    </row>
    <row r="3687" spans="1:11" x14ac:dyDescent="0.2">
      <c r="A3687" s="9" t="s">
        <v>66</v>
      </c>
      <c r="B3687" s="9" t="s">
        <v>403</v>
      </c>
      <c r="C3687" s="9"/>
      <c r="D3687" s="9" t="s">
        <v>86</v>
      </c>
      <c r="E3687" s="38">
        <v>54000</v>
      </c>
      <c r="F3687" s="39">
        <v>10181272.25</v>
      </c>
      <c r="G3687" s="40">
        <v>188.54207870370371</v>
      </c>
      <c r="H3687" s="41">
        <v>0.34853514983119721</v>
      </c>
      <c r="I3687" s="40">
        <v>41.777777777777779</v>
      </c>
      <c r="J3687" s="41">
        <v>0.22158330949258331</v>
      </c>
      <c r="K3687" s="9" t="s">
        <v>5125</v>
      </c>
    </row>
    <row r="3688" spans="1:11" x14ac:dyDescent="0.2">
      <c r="A3688" s="9" t="s">
        <v>66</v>
      </c>
      <c r="B3688" s="9" t="s">
        <v>169</v>
      </c>
      <c r="C3688" s="9"/>
      <c r="D3688" s="9" t="s">
        <v>76</v>
      </c>
      <c r="E3688" s="38">
        <v>9000</v>
      </c>
      <c r="F3688" s="39">
        <v>5139759.4000000004</v>
      </c>
      <c r="G3688" s="40">
        <v>571.08437777777783</v>
      </c>
      <c r="H3688" s="41">
        <v>-4.0372165299940768E-2</v>
      </c>
      <c r="I3688" s="40">
        <v>95.594679562851965</v>
      </c>
      <c r="J3688" s="41">
        <v>0.16739151565453969</v>
      </c>
      <c r="K3688" s="9" t="s">
        <v>5126</v>
      </c>
    </row>
    <row r="3689" spans="1:11" x14ac:dyDescent="0.2">
      <c r="A3689" s="9" t="s">
        <v>66</v>
      </c>
      <c r="B3689" s="9" t="s">
        <v>5127</v>
      </c>
      <c r="C3689" s="9"/>
      <c r="D3689" s="9" t="s">
        <v>81</v>
      </c>
      <c r="E3689" s="38">
        <v>6032</v>
      </c>
      <c r="F3689" s="39">
        <v>1914704</v>
      </c>
      <c r="G3689" s="40">
        <v>317.42440318302391</v>
      </c>
      <c r="H3689" s="41">
        <v>-3.1496145728778992E-2</v>
      </c>
      <c r="I3689" s="40">
        <v>64.159199257862568</v>
      </c>
      <c r="J3689" s="41">
        <v>0.20212434398394061</v>
      </c>
      <c r="K3689" s="9" t="s">
        <v>5128</v>
      </c>
    </row>
    <row r="3690" spans="1:11" x14ac:dyDescent="0.2">
      <c r="A3690" s="9" t="s">
        <v>66</v>
      </c>
      <c r="B3690" s="9" t="s">
        <v>87</v>
      </c>
      <c r="C3690" s="9"/>
      <c r="D3690" s="9" t="s">
        <v>87</v>
      </c>
      <c r="E3690" s="38">
        <v>4604</v>
      </c>
      <c r="F3690" s="39">
        <v>38249959</v>
      </c>
      <c r="G3690" s="40">
        <v>8307.9841442224151</v>
      </c>
      <c r="H3690" s="41">
        <v>1.703191418265073E-2</v>
      </c>
      <c r="I3690" s="40">
        <v>101.0262539027112</v>
      </c>
      <c r="J3690" s="41">
        <v>1.2160140432257259E-2</v>
      </c>
      <c r="K3690" s="9" t="s">
        <v>5129</v>
      </c>
    </row>
    <row r="3691" spans="1:11" x14ac:dyDescent="0.2">
      <c r="A3691" s="9" t="s">
        <v>66</v>
      </c>
      <c r="B3691" s="9" t="s">
        <v>5130</v>
      </c>
      <c r="C3691" s="9"/>
      <c r="D3691" s="9" t="s">
        <v>83</v>
      </c>
      <c r="E3691" s="38">
        <v>2481</v>
      </c>
      <c r="F3691" s="39">
        <v>0</v>
      </c>
      <c r="G3691" s="40"/>
      <c r="H3691" s="41"/>
      <c r="I3691" s="40">
        <v>169.12351968629511</v>
      </c>
      <c r="J3691" s="41"/>
      <c r="K3691" s="9" t="s">
        <v>5131</v>
      </c>
    </row>
    <row r="3692" spans="1:11" x14ac:dyDescent="0.2">
      <c r="A3692" s="9" t="s">
        <v>66</v>
      </c>
      <c r="B3692" s="9" t="s">
        <v>4930</v>
      </c>
      <c r="C3692" s="9"/>
      <c r="D3692" s="9" t="s">
        <v>81</v>
      </c>
      <c r="E3692" s="38">
        <v>5574</v>
      </c>
      <c r="F3692" s="39">
        <v>2165756.9900000002</v>
      </c>
      <c r="G3692" s="40">
        <v>388.54628453534269</v>
      </c>
      <c r="H3692" s="41">
        <v>-1.0296870148182129E-2</v>
      </c>
      <c r="I3692" s="40">
        <v>141.47798399294911</v>
      </c>
      <c r="J3692" s="41">
        <v>0.36412131481874987</v>
      </c>
      <c r="K3692" s="9" t="s">
        <v>5132</v>
      </c>
    </row>
    <row r="3693" spans="1:11" x14ac:dyDescent="0.2">
      <c r="A3693" s="9" t="s">
        <v>66</v>
      </c>
      <c r="B3693" s="9" t="s">
        <v>5133</v>
      </c>
      <c r="C3693" s="9"/>
      <c r="D3693" s="9" t="s">
        <v>76</v>
      </c>
      <c r="E3693" s="38">
        <v>2221</v>
      </c>
      <c r="F3693" s="39">
        <v>431994.24</v>
      </c>
      <c r="G3693" s="40">
        <v>194.50438541197661</v>
      </c>
      <c r="H3693" s="41">
        <v>0.26378889187349808</v>
      </c>
      <c r="I3693" s="40">
        <v>41.670013545056413</v>
      </c>
      <c r="J3693" s="41">
        <v>0.21423688446302039</v>
      </c>
      <c r="K3693" s="9" t="s">
        <v>5134</v>
      </c>
    </row>
    <row r="3694" spans="1:11" x14ac:dyDescent="0.2">
      <c r="A3694" s="9" t="s">
        <v>66</v>
      </c>
      <c r="B3694" s="9" t="s">
        <v>171</v>
      </c>
      <c r="C3694" s="9"/>
      <c r="D3694" s="9" t="s">
        <v>84</v>
      </c>
      <c r="E3694" s="38">
        <v>2529</v>
      </c>
      <c r="F3694" s="39">
        <v>0</v>
      </c>
      <c r="G3694" s="40"/>
      <c r="H3694" s="41"/>
      <c r="I3694" s="40">
        <v>160.68217307207149</v>
      </c>
      <c r="J3694" s="41"/>
      <c r="K3694" s="9" t="s">
        <v>5135</v>
      </c>
    </row>
    <row r="3695" spans="1:11" x14ac:dyDescent="0.2">
      <c r="A3695" s="9" t="s">
        <v>66</v>
      </c>
      <c r="B3695" s="9" t="s">
        <v>173</v>
      </c>
      <c r="C3695" s="9"/>
      <c r="D3695" s="9" t="s">
        <v>80</v>
      </c>
      <c r="E3695" s="38">
        <v>220</v>
      </c>
      <c r="F3695" s="39">
        <v>754692.32</v>
      </c>
      <c r="G3695" s="40">
        <v>3430.4196363636361</v>
      </c>
      <c r="H3695" s="41">
        <v>1.343300833590217E-2</v>
      </c>
      <c r="I3695" s="40">
        <v>0</v>
      </c>
      <c r="J3695" s="41">
        <v>0</v>
      </c>
      <c r="K3695" s="9" t="s">
        <v>5136</v>
      </c>
    </row>
    <row r="3696" spans="1:11" x14ac:dyDescent="0.2">
      <c r="A3696" s="9" t="s">
        <v>66</v>
      </c>
      <c r="B3696" s="9" t="s">
        <v>173</v>
      </c>
      <c r="C3696" s="9"/>
      <c r="D3696" s="9" t="s">
        <v>80</v>
      </c>
      <c r="E3696" s="38">
        <v>100</v>
      </c>
      <c r="F3696" s="39">
        <v>594535.12</v>
      </c>
      <c r="G3696" s="40">
        <v>5945.3512000000001</v>
      </c>
      <c r="H3696" s="41">
        <v>-9.733046931804866E-2</v>
      </c>
      <c r="I3696" s="40">
        <v>0</v>
      </c>
      <c r="J3696" s="41">
        <v>0</v>
      </c>
      <c r="K3696" s="9" t="s">
        <v>5136</v>
      </c>
    </row>
    <row r="3697" spans="1:11" x14ac:dyDescent="0.2">
      <c r="A3697" s="9" t="s">
        <v>66</v>
      </c>
      <c r="B3697" s="9" t="s">
        <v>173</v>
      </c>
      <c r="C3697" s="9"/>
      <c r="D3697" s="9" t="s">
        <v>80</v>
      </c>
      <c r="E3697" s="38">
        <v>240</v>
      </c>
      <c r="F3697" s="39">
        <v>666619.28</v>
      </c>
      <c r="G3697" s="40">
        <v>2777.5803333333329</v>
      </c>
      <c r="H3697" s="41"/>
      <c r="I3697" s="40">
        <v>0</v>
      </c>
      <c r="J3697" s="41">
        <v>0</v>
      </c>
      <c r="K3697" s="9" t="s">
        <v>5136</v>
      </c>
    </row>
    <row r="3698" spans="1:11" x14ac:dyDescent="0.2">
      <c r="A3698" s="9" t="s">
        <v>66</v>
      </c>
      <c r="B3698" s="9" t="s">
        <v>5137</v>
      </c>
      <c r="C3698" s="9"/>
      <c r="D3698" s="9" t="s">
        <v>78</v>
      </c>
      <c r="E3698" s="38">
        <v>938</v>
      </c>
      <c r="F3698" s="39">
        <v>250167</v>
      </c>
      <c r="G3698" s="40">
        <v>266.70255863539438</v>
      </c>
      <c r="H3698" s="41">
        <v>8.1868547061124206E-3</v>
      </c>
      <c r="I3698" s="40">
        <v>67.960042643923245</v>
      </c>
      <c r="J3698" s="41">
        <v>0.25481586300351372</v>
      </c>
      <c r="K3698" s="9" t="s">
        <v>5138</v>
      </c>
    </row>
    <row r="3699" spans="1:11" x14ac:dyDescent="0.2">
      <c r="A3699" s="9" t="s">
        <v>66</v>
      </c>
      <c r="B3699" s="9" t="s">
        <v>175</v>
      </c>
      <c r="C3699" s="9"/>
      <c r="D3699" s="9" t="s">
        <v>78</v>
      </c>
      <c r="E3699" s="38">
        <v>168</v>
      </c>
      <c r="F3699" s="39">
        <v>873064.47</v>
      </c>
      <c r="G3699" s="40">
        <v>5196.8123214285724</v>
      </c>
      <c r="H3699" s="41">
        <v>-0.25992591168017348</v>
      </c>
      <c r="I3699" s="40">
        <v>0</v>
      </c>
      <c r="J3699" s="41">
        <v>0</v>
      </c>
      <c r="K3699" s="9" t="s">
        <v>5139</v>
      </c>
    </row>
    <row r="3700" spans="1:11" x14ac:dyDescent="0.2">
      <c r="A3700" s="9" t="s">
        <v>66</v>
      </c>
      <c r="B3700" s="9" t="s">
        <v>177</v>
      </c>
      <c r="C3700" s="9"/>
      <c r="D3700" s="9" t="s">
        <v>85</v>
      </c>
      <c r="E3700" s="38">
        <v>20084</v>
      </c>
      <c r="F3700" s="39">
        <v>3756857.63</v>
      </c>
      <c r="G3700" s="40">
        <v>187.0572410874328</v>
      </c>
      <c r="H3700" s="41">
        <v>0.45914796760627902</v>
      </c>
      <c r="I3700" s="40">
        <v>42.661225818000773</v>
      </c>
      <c r="J3700" s="41">
        <v>0.22806508622705721</v>
      </c>
      <c r="K3700" s="9" t="s">
        <v>5140</v>
      </c>
    </row>
    <row r="3701" spans="1:11" x14ac:dyDescent="0.2">
      <c r="A3701" s="9" t="s">
        <v>66</v>
      </c>
      <c r="B3701" s="9" t="s">
        <v>179</v>
      </c>
      <c r="C3701" s="9"/>
      <c r="D3701" s="9" t="s">
        <v>79</v>
      </c>
      <c r="E3701" s="38">
        <v>5482</v>
      </c>
      <c r="F3701" s="39">
        <v>4350811</v>
      </c>
      <c r="G3701" s="40">
        <v>793.65395840933968</v>
      </c>
      <c r="H3701" s="41">
        <v>-0.13904657861091091</v>
      </c>
      <c r="I3701" s="40">
        <v>128.06622867450781</v>
      </c>
      <c r="J3701" s="41">
        <v>0.16136280468024281</v>
      </c>
      <c r="K3701" s="9" t="s">
        <v>5141</v>
      </c>
    </row>
    <row r="3702" spans="1:11" x14ac:dyDescent="0.2">
      <c r="A3702" s="9" t="s">
        <v>66</v>
      </c>
      <c r="B3702" s="9" t="s">
        <v>5142</v>
      </c>
      <c r="C3702" s="9"/>
      <c r="D3702" s="9" t="s">
        <v>81</v>
      </c>
      <c r="E3702" s="38">
        <v>1102</v>
      </c>
      <c r="F3702" s="39">
        <v>970742.4</v>
      </c>
      <c r="G3702" s="40">
        <v>880.89147005444647</v>
      </c>
      <c r="H3702" s="41"/>
      <c r="I3702" s="40">
        <v>230.4528554580977</v>
      </c>
      <c r="J3702" s="41">
        <v>0.26161322171033602</v>
      </c>
      <c r="K3702" s="9" t="s">
        <v>5143</v>
      </c>
    </row>
    <row r="3703" spans="1:11" x14ac:dyDescent="0.2">
      <c r="A3703" s="9" t="s">
        <v>66</v>
      </c>
      <c r="B3703" s="9" t="s">
        <v>187</v>
      </c>
      <c r="C3703" s="9"/>
      <c r="D3703" s="9" t="s">
        <v>76</v>
      </c>
      <c r="E3703" s="38">
        <v>1622</v>
      </c>
      <c r="F3703" s="39">
        <v>603475.05000000005</v>
      </c>
      <c r="G3703" s="40">
        <v>372.05613440197288</v>
      </c>
      <c r="H3703" s="41">
        <v>0.12772105443708409</v>
      </c>
      <c r="I3703" s="40">
        <v>128.25517432572289</v>
      </c>
      <c r="J3703" s="41">
        <v>0.34471995612133849</v>
      </c>
      <c r="K3703" s="9" t="s">
        <v>5144</v>
      </c>
    </row>
    <row r="3704" spans="1:11" x14ac:dyDescent="0.2">
      <c r="A3704" s="9" t="s">
        <v>66</v>
      </c>
      <c r="B3704" s="9" t="s">
        <v>420</v>
      </c>
      <c r="C3704" s="9"/>
      <c r="D3704" s="9" t="s">
        <v>78</v>
      </c>
      <c r="E3704" s="38">
        <v>1399</v>
      </c>
      <c r="F3704" s="39">
        <v>551234.06000000006</v>
      </c>
      <c r="G3704" s="40">
        <v>394.0200571837027</v>
      </c>
      <c r="H3704" s="41">
        <v>-4.2852965707420788E-2</v>
      </c>
      <c r="I3704" s="40">
        <v>70.937861527402916</v>
      </c>
      <c r="J3704" s="41">
        <v>0.1800361688042946</v>
      </c>
      <c r="K3704" s="9" t="s">
        <v>5145</v>
      </c>
    </row>
    <row r="3705" spans="1:11" x14ac:dyDescent="0.2">
      <c r="A3705" s="9" t="s">
        <v>66</v>
      </c>
      <c r="B3705" s="9" t="s">
        <v>193</v>
      </c>
      <c r="C3705" s="9"/>
      <c r="D3705" s="9" t="s">
        <v>82</v>
      </c>
      <c r="E3705" s="38">
        <v>2838</v>
      </c>
      <c r="F3705" s="39">
        <v>807089.63</v>
      </c>
      <c r="G3705" s="40">
        <v>284.38676180408743</v>
      </c>
      <c r="H3705" s="41">
        <v>0.1207657454027485</v>
      </c>
      <c r="I3705" s="40">
        <v>30.23874613190856</v>
      </c>
      <c r="J3705" s="41">
        <v>0.1063296545172517</v>
      </c>
      <c r="K3705" s="9" t="s">
        <v>5146</v>
      </c>
    </row>
    <row r="3706" spans="1:11" x14ac:dyDescent="0.2">
      <c r="A3706" s="9" t="s">
        <v>66</v>
      </c>
      <c r="B3706" s="9" t="s">
        <v>2124</v>
      </c>
      <c r="C3706" s="9"/>
      <c r="D3706" s="9" t="s">
        <v>81</v>
      </c>
      <c r="E3706" s="38">
        <v>983</v>
      </c>
      <c r="F3706" s="39">
        <v>0</v>
      </c>
      <c r="G3706" s="40"/>
      <c r="H3706" s="41">
        <v>-1</v>
      </c>
      <c r="I3706" s="40">
        <v>229.66944141788429</v>
      </c>
      <c r="J3706" s="41"/>
      <c r="K3706" s="9" t="s">
        <v>5147</v>
      </c>
    </row>
    <row r="3707" spans="1:11" x14ac:dyDescent="0.2">
      <c r="A3707" s="9" t="s">
        <v>66</v>
      </c>
      <c r="B3707" s="9" t="s">
        <v>197</v>
      </c>
      <c r="C3707" s="9"/>
      <c r="D3707" s="9" t="s">
        <v>76</v>
      </c>
      <c r="E3707" s="38">
        <v>5000</v>
      </c>
      <c r="F3707" s="39">
        <v>1213518.01</v>
      </c>
      <c r="G3707" s="40">
        <v>242.70360199999999</v>
      </c>
      <c r="H3707" s="41"/>
      <c r="I3707" s="40">
        <v>61.143946676264243</v>
      </c>
      <c r="J3707" s="41">
        <v>0.2519284681908604</v>
      </c>
      <c r="K3707" s="9" t="s">
        <v>5148</v>
      </c>
    </row>
    <row r="3708" spans="1:11" x14ac:dyDescent="0.2">
      <c r="A3708" s="9" t="s">
        <v>66</v>
      </c>
      <c r="B3708" s="9" t="s">
        <v>5149</v>
      </c>
      <c r="C3708" s="9"/>
      <c r="D3708" s="9" t="s">
        <v>80</v>
      </c>
      <c r="E3708" s="38">
        <v>1050</v>
      </c>
      <c r="F3708" s="39">
        <v>484185</v>
      </c>
      <c r="G3708" s="40">
        <v>461.12857142857138</v>
      </c>
      <c r="H3708" s="41">
        <v>5.425482109017947E-2</v>
      </c>
      <c r="I3708" s="40">
        <v>136.15492557771759</v>
      </c>
      <c r="J3708" s="41">
        <v>0.29526456180303701</v>
      </c>
      <c r="K3708" s="9" t="s">
        <v>5150</v>
      </c>
    </row>
    <row r="3709" spans="1:11" x14ac:dyDescent="0.2">
      <c r="A3709" s="9" t="s">
        <v>66</v>
      </c>
      <c r="B3709" s="9" t="s">
        <v>3536</v>
      </c>
      <c r="C3709" s="9"/>
      <c r="D3709" s="9" t="s">
        <v>84</v>
      </c>
      <c r="E3709" s="38">
        <v>927</v>
      </c>
      <c r="F3709" s="39">
        <v>235317.5</v>
      </c>
      <c r="G3709" s="40">
        <v>253.8484358144552</v>
      </c>
      <c r="H3709" s="41"/>
      <c r="I3709" s="40">
        <v>104.0930291715862</v>
      </c>
      <c r="J3709" s="41">
        <v>0.41005976198990879</v>
      </c>
      <c r="K3709" s="9" t="s">
        <v>5151</v>
      </c>
    </row>
    <row r="3710" spans="1:11" x14ac:dyDescent="0.2">
      <c r="A3710" s="9" t="s">
        <v>66</v>
      </c>
      <c r="B3710" s="9" t="s">
        <v>202</v>
      </c>
      <c r="C3710" s="9"/>
      <c r="D3710" s="9" t="s">
        <v>81</v>
      </c>
      <c r="E3710" s="38">
        <v>587</v>
      </c>
      <c r="F3710" s="39">
        <v>962933.61</v>
      </c>
      <c r="G3710" s="40">
        <v>1640.432044293015</v>
      </c>
      <c r="H3710" s="41">
        <v>0.2115896208337365</v>
      </c>
      <c r="I3710" s="40">
        <v>436.77175924156188</v>
      </c>
      <c r="J3710" s="41">
        <v>0.26625410102239228</v>
      </c>
      <c r="K3710" s="9" t="s">
        <v>5152</v>
      </c>
    </row>
    <row r="3711" spans="1:11" x14ac:dyDescent="0.2">
      <c r="A3711" s="9" t="s">
        <v>66</v>
      </c>
      <c r="B3711" s="9" t="s">
        <v>877</v>
      </c>
      <c r="C3711" s="9"/>
      <c r="D3711" s="9" t="s">
        <v>76</v>
      </c>
      <c r="E3711" s="38">
        <v>11118</v>
      </c>
      <c r="F3711" s="39">
        <v>1335161.1200000001</v>
      </c>
      <c r="G3711" s="40">
        <v>120.0900449721173</v>
      </c>
      <c r="H3711" s="41">
        <v>6.8467912708009126E-3</v>
      </c>
      <c r="I3711" s="40">
        <v>25.038371027256499</v>
      </c>
      <c r="J3711" s="41">
        <v>0.20849664127505291</v>
      </c>
      <c r="K3711" s="9" t="s">
        <v>5153</v>
      </c>
    </row>
    <row r="3712" spans="1:11" x14ac:dyDescent="0.2">
      <c r="A3712" s="9" t="s">
        <v>66</v>
      </c>
      <c r="B3712" s="9" t="s">
        <v>432</v>
      </c>
      <c r="C3712" s="9"/>
      <c r="D3712" s="9" t="s">
        <v>81</v>
      </c>
      <c r="E3712" s="38">
        <v>1219</v>
      </c>
      <c r="F3712" s="39">
        <v>5960673.5800000001</v>
      </c>
      <c r="G3712" s="40">
        <v>4889.8060541427403</v>
      </c>
      <c r="H3712" s="41">
        <v>0.14714991684305681</v>
      </c>
      <c r="I3712" s="40">
        <v>277.14172647708239</v>
      </c>
      <c r="J3712" s="41">
        <v>5.6677447614160999E-2</v>
      </c>
      <c r="K3712" s="9" t="s">
        <v>5154</v>
      </c>
    </row>
    <row r="3713" spans="1:11" x14ac:dyDescent="0.2">
      <c r="A3713" s="9" t="s">
        <v>66</v>
      </c>
      <c r="B3713" s="9" t="s">
        <v>759</v>
      </c>
      <c r="C3713" s="9"/>
      <c r="D3713" s="9" t="s">
        <v>76</v>
      </c>
      <c r="E3713" s="38">
        <v>3376</v>
      </c>
      <c r="F3713" s="39">
        <v>682116.52</v>
      </c>
      <c r="G3713" s="40">
        <v>202.04873222748819</v>
      </c>
      <c r="H3713" s="41">
        <v>0.18051806289121761</v>
      </c>
      <c r="I3713" s="40">
        <v>44.235650833395091</v>
      </c>
      <c r="J3713" s="41">
        <v>0.21893555255565689</v>
      </c>
      <c r="K3713" s="9" t="s">
        <v>5155</v>
      </c>
    </row>
    <row r="3714" spans="1:11" x14ac:dyDescent="0.2">
      <c r="A3714" s="9" t="s">
        <v>66</v>
      </c>
      <c r="B3714" s="9" t="s">
        <v>204</v>
      </c>
      <c r="C3714" s="9"/>
      <c r="D3714" s="9" t="s">
        <v>81</v>
      </c>
      <c r="E3714" s="38">
        <v>2510</v>
      </c>
      <c r="F3714" s="39">
        <v>4598338.7300000004</v>
      </c>
      <c r="G3714" s="40">
        <v>1832.007462151395</v>
      </c>
      <c r="H3714" s="41">
        <v>4.1159063352584437E-2</v>
      </c>
      <c r="I3714" s="40">
        <v>139.04512451652309</v>
      </c>
      <c r="J3714" s="41">
        <v>7.5897684583247971E-2</v>
      </c>
      <c r="K3714" s="9" t="s">
        <v>5156</v>
      </c>
    </row>
    <row r="3715" spans="1:11" x14ac:dyDescent="0.2">
      <c r="A3715" s="9" t="s">
        <v>66</v>
      </c>
      <c r="B3715" s="9" t="s">
        <v>206</v>
      </c>
      <c r="C3715" s="9"/>
      <c r="D3715" s="9" t="s">
        <v>80</v>
      </c>
      <c r="E3715" s="38">
        <v>286</v>
      </c>
      <c r="F3715" s="39">
        <v>565125.03</v>
      </c>
      <c r="G3715" s="40">
        <v>1975.961643356643</v>
      </c>
      <c r="H3715" s="41">
        <v>3.8144976054668787E-2</v>
      </c>
      <c r="I3715" s="40">
        <v>0</v>
      </c>
      <c r="J3715" s="41">
        <v>0</v>
      </c>
      <c r="K3715" s="9" t="s">
        <v>5157</v>
      </c>
    </row>
    <row r="3716" spans="1:11" x14ac:dyDescent="0.2">
      <c r="A3716" s="9" t="s">
        <v>66</v>
      </c>
      <c r="B3716" s="9" t="s">
        <v>208</v>
      </c>
      <c r="C3716" s="9"/>
      <c r="D3716" s="9" t="s">
        <v>78</v>
      </c>
      <c r="E3716" s="38">
        <v>1273</v>
      </c>
      <c r="F3716" s="39">
        <v>712448.68</v>
      </c>
      <c r="G3716" s="40">
        <v>559.66117831893166</v>
      </c>
      <c r="H3716" s="41">
        <v>7.7752687998853629E-3</v>
      </c>
      <c r="I3716" s="40">
        <v>254.94053592544401</v>
      </c>
      <c r="J3716" s="41">
        <v>0.45552656821974907</v>
      </c>
      <c r="K3716" s="9" t="s">
        <v>5158</v>
      </c>
    </row>
    <row r="3717" spans="1:11" x14ac:dyDescent="0.2">
      <c r="A3717" s="9" t="s">
        <v>66</v>
      </c>
      <c r="B3717" s="9" t="s">
        <v>5159</v>
      </c>
      <c r="C3717" s="9"/>
      <c r="D3717" s="9" t="s">
        <v>83</v>
      </c>
      <c r="E3717" s="38">
        <v>1726</v>
      </c>
      <c r="F3717" s="39">
        <v>645663.12</v>
      </c>
      <c r="G3717" s="40">
        <v>374.08060254924681</v>
      </c>
      <c r="H3717" s="41">
        <v>5.3927674531430998E-2</v>
      </c>
      <c r="I3717" s="40">
        <v>93.082756758000116</v>
      </c>
      <c r="J3717" s="41">
        <v>0.24883074963970089</v>
      </c>
      <c r="K3717" s="9" t="s">
        <v>5160</v>
      </c>
    </row>
    <row r="3718" spans="1:11" x14ac:dyDescent="0.2">
      <c r="A3718" s="9" t="s">
        <v>66</v>
      </c>
      <c r="B3718" s="9" t="s">
        <v>1225</v>
      </c>
      <c r="C3718" s="9"/>
      <c r="D3718" s="9" t="s">
        <v>83</v>
      </c>
      <c r="E3718" s="38">
        <v>951</v>
      </c>
      <c r="F3718" s="39">
        <v>1818231.56</v>
      </c>
      <c r="G3718" s="40">
        <v>1911.9154153522611</v>
      </c>
      <c r="H3718" s="41">
        <v>-5.8862569614176213E-2</v>
      </c>
      <c r="I3718" s="40">
        <v>445.23268007809401</v>
      </c>
      <c r="J3718" s="41">
        <v>0.23287258238673811</v>
      </c>
      <c r="K3718" s="9" t="s">
        <v>5161</v>
      </c>
    </row>
    <row r="3719" spans="1:11" x14ac:dyDescent="0.2">
      <c r="A3719" s="9" t="s">
        <v>66</v>
      </c>
      <c r="B3719" s="9" t="s">
        <v>884</v>
      </c>
      <c r="C3719" s="9"/>
      <c r="D3719" s="9" t="s">
        <v>76</v>
      </c>
      <c r="E3719" s="38">
        <v>3991</v>
      </c>
      <c r="F3719" s="39">
        <v>915313.01</v>
      </c>
      <c r="G3719" s="40">
        <v>229.34427712352789</v>
      </c>
      <c r="H3719" s="41">
        <v>-7.6246928108765072E-2</v>
      </c>
      <c r="I3719" s="40">
        <v>7.7285839944923156</v>
      </c>
      <c r="J3719" s="41">
        <v>3.36986128078949E-2</v>
      </c>
      <c r="K3719" s="9" t="s">
        <v>5162</v>
      </c>
    </row>
    <row r="3720" spans="1:11" x14ac:dyDescent="0.2">
      <c r="A3720" s="9" t="s">
        <v>66</v>
      </c>
      <c r="B3720" s="9" t="s">
        <v>1613</v>
      </c>
      <c r="C3720" s="9"/>
      <c r="D3720" s="9" t="s">
        <v>76</v>
      </c>
      <c r="E3720" s="38">
        <v>2387</v>
      </c>
      <c r="F3720" s="39">
        <v>0</v>
      </c>
      <c r="G3720" s="40"/>
      <c r="H3720" s="41"/>
      <c r="I3720" s="40">
        <v>48.045318865505642</v>
      </c>
      <c r="J3720" s="41"/>
      <c r="K3720" s="9" t="s">
        <v>5163</v>
      </c>
    </row>
    <row r="3721" spans="1:11" x14ac:dyDescent="0.2">
      <c r="A3721" s="9" t="s">
        <v>66</v>
      </c>
      <c r="B3721" s="9" t="s">
        <v>220</v>
      </c>
      <c r="C3721" s="9"/>
      <c r="D3721" s="9" t="s">
        <v>85</v>
      </c>
      <c r="E3721" s="38">
        <v>41241</v>
      </c>
      <c r="F3721" s="39">
        <v>7931202.9800000004</v>
      </c>
      <c r="G3721" s="40">
        <v>192.31354671322231</v>
      </c>
      <c r="H3721" s="41">
        <v>0.48273320897402289</v>
      </c>
      <c r="I3721" s="40">
        <v>58.195683937677778</v>
      </c>
      <c r="J3721" s="41">
        <v>0.30260834419771332</v>
      </c>
      <c r="K3721" s="9" t="s">
        <v>5164</v>
      </c>
    </row>
    <row r="3722" spans="1:11" x14ac:dyDescent="0.2">
      <c r="A3722" s="9" t="s">
        <v>66</v>
      </c>
      <c r="B3722" s="9" t="s">
        <v>5165</v>
      </c>
      <c r="C3722" s="9"/>
      <c r="D3722" s="9" t="s">
        <v>83</v>
      </c>
      <c r="E3722" s="38">
        <v>2367</v>
      </c>
      <c r="F3722" s="39">
        <v>1419809</v>
      </c>
      <c r="G3722" s="40">
        <v>599.8348119983101</v>
      </c>
      <c r="H3722" s="41">
        <v>-3.0074329629108248E-2</v>
      </c>
      <c r="I3722" s="40">
        <v>111.3426500812333</v>
      </c>
      <c r="J3722" s="41">
        <v>0.18562218773249031</v>
      </c>
      <c r="K3722" s="9" t="s">
        <v>5166</v>
      </c>
    </row>
    <row r="3723" spans="1:11" x14ac:dyDescent="0.2">
      <c r="A3723" s="9" t="s">
        <v>66</v>
      </c>
      <c r="B3723" s="9" t="s">
        <v>2020</v>
      </c>
      <c r="C3723" s="9"/>
      <c r="D3723" s="9" t="s">
        <v>80</v>
      </c>
      <c r="E3723" s="38">
        <v>967</v>
      </c>
      <c r="F3723" s="39">
        <v>777490.91</v>
      </c>
      <c r="G3723" s="40">
        <v>804.02369183040332</v>
      </c>
      <c r="H3723" s="41">
        <v>0.13833214344436159</v>
      </c>
      <c r="I3723" s="40">
        <v>190.7093240319609</v>
      </c>
      <c r="J3723" s="41">
        <v>0.23719366228848399</v>
      </c>
      <c r="K3723" s="9" t="s">
        <v>5167</v>
      </c>
    </row>
    <row r="3724" spans="1:11" x14ac:dyDescent="0.2">
      <c r="A3724" s="9" t="s">
        <v>66</v>
      </c>
      <c r="B3724" s="9" t="s">
        <v>5168</v>
      </c>
      <c r="C3724" s="9"/>
      <c r="D3724" s="9" t="s">
        <v>76</v>
      </c>
      <c r="E3724" s="38">
        <v>2450</v>
      </c>
      <c r="F3724" s="39">
        <v>439532.97</v>
      </c>
      <c r="G3724" s="40">
        <v>179.40121224489789</v>
      </c>
      <c r="H3724" s="41">
        <v>-0.24957689104189079</v>
      </c>
      <c r="I3724" s="40">
        <v>47.434916777354047</v>
      </c>
      <c r="J3724" s="41">
        <v>0.26440689103372023</v>
      </c>
      <c r="K3724" s="9" t="s">
        <v>5169</v>
      </c>
    </row>
    <row r="3725" spans="1:11" x14ac:dyDescent="0.2">
      <c r="A3725" s="9" t="s">
        <v>66</v>
      </c>
      <c r="B3725" s="9" t="s">
        <v>5170</v>
      </c>
      <c r="C3725" s="9"/>
      <c r="D3725" s="9" t="s">
        <v>81</v>
      </c>
      <c r="E3725" s="38">
        <v>6261</v>
      </c>
      <c r="F3725" s="39">
        <v>2200269.2799999998</v>
      </c>
      <c r="G3725" s="40">
        <v>351.42457754352341</v>
      </c>
      <c r="H3725" s="41">
        <v>0.31491036347801882</v>
      </c>
      <c r="I3725" s="40">
        <v>75.631543681624692</v>
      </c>
      <c r="J3725" s="41">
        <v>0.21521415551038919</v>
      </c>
      <c r="K3725" s="9" t="s">
        <v>5171</v>
      </c>
    </row>
    <row r="3726" spans="1:11" x14ac:dyDescent="0.2">
      <c r="A3726" s="9" t="s">
        <v>66</v>
      </c>
      <c r="B3726" s="9" t="s">
        <v>231</v>
      </c>
      <c r="C3726" s="9"/>
      <c r="D3726" s="9" t="s">
        <v>76</v>
      </c>
      <c r="E3726" s="38">
        <v>12928</v>
      </c>
      <c r="F3726" s="39">
        <v>2961824.02</v>
      </c>
      <c r="G3726" s="40">
        <v>229.10148669554459</v>
      </c>
      <c r="H3726" s="41">
        <v>-3.0798732279198781E-2</v>
      </c>
      <c r="I3726" s="40">
        <v>116.37919498525901</v>
      </c>
      <c r="J3726" s="41">
        <v>0.50798096801491543</v>
      </c>
      <c r="K3726" s="9" t="s">
        <v>5172</v>
      </c>
    </row>
    <row r="3727" spans="1:11" x14ac:dyDescent="0.2">
      <c r="A3727" s="9" t="s">
        <v>66</v>
      </c>
      <c r="B3727" s="9" t="s">
        <v>893</v>
      </c>
      <c r="C3727" s="9"/>
      <c r="D3727" s="9" t="s">
        <v>78</v>
      </c>
      <c r="E3727" s="38">
        <v>676</v>
      </c>
      <c r="F3727" s="39">
        <v>155940.54</v>
      </c>
      <c r="G3727" s="40">
        <v>230.6812721893491</v>
      </c>
      <c r="H3727" s="41">
        <v>3.8037989596565382E-2</v>
      </c>
      <c r="I3727" s="40">
        <v>96.131566594649101</v>
      </c>
      <c r="J3727" s="41">
        <v>0.41672895975596069</v>
      </c>
      <c r="K3727" s="9" t="s">
        <v>5173</v>
      </c>
    </row>
    <row r="3728" spans="1:11" x14ac:dyDescent="0.2">
      <c r="A3728" s="9" t="s">
        <v>66</v>
      </c>
      <c r="B3728" s="9" t="s">
        <v>235</v>
      </c>
      <c r="C3728" s="9"/>
      <c r="D3728" s="9" t="s">
        <v>77</v>
      </c>
      <c r="E3728" s="38">
        <v>8489</v>
      </c>
      <c r="F3728" s="39">
        <v>6716630.9199999999</v>
      </c>
      <c r="G3728" s="40">
        <v>791.21579926964307</v>
      </c>
      <c r="H3728" s="41">
        <v>-0.10460532765582151</v>
      </c>
      <c r="I3728" s="40">
        <v>113.55567458540651</v>
      </c>
      <c r="J3728" s="41">
        <v>0.14352048415897109</v>
      </c>
      <c r="K3728" s="9" t="s">
        <v>5174</v>
      </c>
    </row>
    <row r="3729" spans="1:11" x14ac:dyDescent="0.2">
      <c r="A3729" s="9" t="s">
        <v>66</v>
      </c>
      <c r="B3729" s="9" t="s">
        <v>235</v>
      </c>
      <c r="C3729" s="9"/>
      <c r="D3729" s="9" t="s">
        <v>77</v>
      </c>
      <c r="E3729" s="38">
        <v>2598</v>
      </c>
      <c r="F3729" s="39">
        <v>1955242.64</v>
      </c>
      <c r="G3729" s="40">
        <v>752.59531947652033</v>
      </c>
      <c r="H3729" s="41">
        <v>0.24164501915563211</v>
      </c>
      <c r="I3729" s="40">
        <v>59.84714975041976</v>
      </c>
      <c r="J3729" s="41">
        <v>7.9521023053993209E-2</v>
      </c>
      <c r="K3729" s="9" t="s">
        <v>5174</v>
      </c>
    </row>
    <row r="3730" spans="1:11" x14ac:dyDescent="0.2">
      <c r="A3730" s="9" t="s">
        <v>66</v>
      </c>
      <c r="B3730" s="9" t="s">
        <v>454</v>
      </c>
      <c r="C3730" s="9"/>
      <c r="D3730" s="9" t="s">
        <v>76</v>
      </c>
      <c r="E3730" s="38">
        <v>17143</v>
      </c>
      <c r="F3730" s="39">
        <v>2339786.73</v>
      </c>
      <c r="G3730" s="40">
        <v>136.48642186315121</v>
      </c>
      <c r="H3730" s="41">
        <v>-0.14009046897595859</v>
      </c>
      <c r="I3730" s="40">
        <v>0</v>
      </c>
      <c r="J3730" s="41">
        <v>0</v>
      </c>
      <c r="K3730" s="9" t="s">
        <v>5175</v>
      </c>
    </row>
    <row r="3731" spans="1:11" x14ac:dyDescent="0.2">
      <c r="A3731" s="9" t="s">
        <v>66</v>
      </c>
      <c r="B3731" s="9" t="s">
        <v>243</v>
      </c>
      <c r="C3731" s="9"/>
      <c r="D3731" s="9" t="s">
        <v>82</v>
      </c>
      <c r="E3731" s="38">
        <v>1404</v>
      </c>
      <c r="F3731" s="39">
        <v>1300079.76</v>
      </c>
      <c r="G3731" s="40">
        <v>925.98273504273504</v>
      </c>
      <c r="H3731" s="41">
        <v>0.20275295327533591</v>
      </c>
      <c r="I3731" s="40">
        <v>121.7882919717149</v>
      </c>
      <c r="J3731" s="41">
        <v>0.1315232858700052</v>
      </c>
      <c r="K3731" s="9" t="s">
        <v>5176</v>
      </c>
    </row>
    <row r="3732" spans="1:11" x14ac:dyDescent="0.2">
      <c r="A3732" s="9" t="s">
        <v>66</v>
      </c>
      <c r="B3732" s="9" t="s">
        <v>461</v>
      </c>
      <c r="C3732" s="9"/>
      <c r="D3732" s="9" t="s">
        <v>76</v>
      </c>
      <c r="E3732" s="38">
        <v>4116</v>
      </c>
      <c r="F3732" s="39">
        <v>2479238.91</v>
      </c>
      <c r="G3732" s="40">
        <v>602.3418148688047</v>
      </c>
      <c r="H3732" s="41">
        <v>2.7290274193806321E-2</v>
      </c>
      <c r="I3732" s="40">
        <v>100.43260931923091</v>
      </c>
      <c r="J3732" s="41">
        <v>0.1667369039307125</v>
      </c>
      <c r="K3732" s="9" t="s">
        <v>5177</v>
      </c>
    </row>
    <row r="3733" spans="1:11" x14ac:dyDescent="0.2">
      <c r="A3733" s="9" t="s">
        <v>66</v>
      </c>
      <c r="B3733" s="9" t="s">
        <v>5178</v>
      </c>
      <c r="C3733" s="9"/>
      <c r="D3733" s="9" t="s">
        <v>78</v>
      </c>
      <c r="E3733" s="38">
        <v>2661</v>
      </c>
      <c r="F3733" s="39">
        <v>12519729.26</v>
      </c>
      <c r="G3733" s="40">
        <v>4704.8963773017658</v>
      </c>
      <c r="H3733" s="41">
        <v>-8.9641492686843519E-3</v>
      </c>
      <c r="I3733" s="40">
        <v>262.02618054899352</v>
      </c>
      <c r="J3733" s="41">
        <v>5.5692231993271682E-2</v>
      </c>
      <c r="K3733" s="9" t="s">
        <v>5179</v>
      </c>
    </row>
    <row r="3734" spans="1:11" x14ac:dyDescent="0.2">
      <c r="A3734" s="9" t="s">
        <v>66</v>
      </c>
      <c r="B3734" s="9" t="s">
        <v>5180</v>
      </c>
      <c r="C3734" s="9"/>
      <c r="D3734" s="9" t="s">
        <v>78</v>
      </c>
      <c r="E3734" s="38">
        <v>1125</v>
      </c>
      <c r="F3734" s="39">
        <v>589402</v>
      </c>
      <c r="G3734" s="40">
        <v>523.91288888888892</v>
      </c>
      <c r="H3734" s="41">
        <v>-8.719521470375384E-2</v>
      </c>
      <c r="I3734" s="40">
        <v>121.95420322291331</v>
      </c>
      <c r="J3734" s="41">
        <v>0.23277572628830151</v>
      </c>
      <c r="K3734" s="9" t="s">
        <v>5181</v>
      </c>
    </row>
    <row r="3735" spans="1:11" x14ac:dyDescent="0.2">
      <c r="A3735" s="9" t="s">
        <v>66</v>
      </c>
      <c r="B3735" s="9" t="s">
        <v>1242</v>
      </c>
      <c r="C3735" s="9"/>
      <c r="D3735" s="9" t="s">
        <v>80</v>
      </c>
      <c r="E3735" s="38">
        <v>954</v>
      </c>
      <c r="F3735" s="39">
        <v>225948.89</v>
      </c>
      <c r="G3735" s="40">
        <v>236.8437002096436</v>
      </c>
      <c r="H3735" s="41">
        <v>3.0599209128735198E-2</v>
      </c>
      <c r="I3735" s="40">
        <v>48.169491936507832</v>
      </c>
      <c r="J3735" s="41">
        <v>0.2033809296758593</v>
      </c>
      <c r="K3735" s="9" t="s">
        <v>5182</v>
      </c>
    </row>
    <row r="3736" spans="1:11" x14ac:dyDescent="0.2">
      <c r="A3736" s="9" t="s">
        <v>66</v>
      </c>
      <c r="B3736" s="9" t="s">
        <v>5183</v>
      </c>
      <c r="C3736" s="9"/>
      <c r="D3736" s="9" t="s">
        <v>78</v>
      </c>
      <c r="E3736" s="38">
        <v>837</v>
      </c>
      <c r="F3736" s="39">
        <v>747042</v>
      </c>
      <c r="G3736" s="40">
        <v>892.52329749103944</v>
      </c>
      <c r="H3736" s="41">
        <v>-0.1130542114059138</v>
      </c>
      <c r="I3736" s="40">
        <v>178.43568742536499</v>
      </c>
      <c r="J3736" s="41">
        <v>0.199922722383789</v>
      </c>
      <c r="K3736" s="9" t="s">
        <v>5184</v>
      </c>
    </row>
    <row r="3737" spans="1:11" x14ac:dyDescent="0.2">
      <c r="A3737" s="9" t="s">
        <v>66</v>
      </c>
      <c r="B3737" s="9" t="s">
        <v>1246</v>
      </c>
      <c r="C3737" s="9"/>
      <c r="D3737" s="9" t="s">
        <v>80</v>
      </c>
      <c r="E3737" s="38">
        <v>226</v>
      </c>
      <c r="F3737" s="39">
        <v>361682.45</v>
      </c>
      <c r="G3737" s="40">
        <v>1600.364823008849</v>
      </c>
      <c r="H3737" s="41"/>
      <c r="I3737" s="40">
        <v>0</v>
      </c>
      <c r="J3737" s="41">
        <v>0</v>
      </c>
      <c r="K3737" s="9" t="s">
        <v>5185</v>
      </c>
    </row>
    <row r="3738" spans="1:11" x14ac:dyDescent="0.2">
      <c r="A3738" s="9" t="s">
        <v>66</v>
      </c>
      <c r="B3738" s="9" t="s">
        <v>5186</v>
      </c>
      <c r="C3738" s="9"/>
      <c r="D3738" s="9" t="s">
        <v>80</v>
      </c>
      <c r="E3738" s="38">
        <v>1438</v>
      </c>
      <c r="F3738" s="39">
        <v>1592868.14</v>
      </c>
      <c r="G3738" s="40">
        <v>1107.696898470097</v>
      </c>
      <c r="H3738" s="41">
        <v>-0.17222958729542889</v>
      </c>
      <c r="I3738" s="40">
        <v>290.36871123007512</v>
      </c>
      <c r="J3738" s="41">
        <v>0.26213733344484369</v>
      </c>
      <c r="K3738" s="9" t="s">
        <v>5187</v>
      </c>
    </row>
    <row r="3739" spans="1:11" x14ac:dyDescent="0.2">
      <c r="A3739" s="9" t="s">
        <v>66</v>
      </c>
      <c r="B3739" s="9" t="s">
        <v>247</v>
      </c>
      <c r="C3739" s="9"/>
      <c r="D3739" s="9" t="s">
        <v>76</v>
      </c>
      <c r="E3739" s="38">
        <v>25471</v>
      </c>
      <c r="F3739" s="39">
        <v>5666391.96</v>
      </c>
      <c r="G3739" s="40">
        <v>222.46444819598759</v>
      </c>
      <c r="H3739" s="41">
        <v>5.8178666897166463E-2</v>
      </c>
      <c r="I3739" s="40">
        <v>41.723625098286568</v>
      </c>
      <c r="J3739" s="41">
        <v>0.18755187822877981</v>
      </c>
      <c r="K3739" s="9" t="s">
        <v>5188</v>
      </c>
    </row>
    <row r="3740" spans="1:11" x14ac:dyDescent="0.2">
      <c r="A3740" s="9" t="s">
        <v>66</v>
      </c>
      <c r="B3740" s="9" t="s">
        <v>5189</v>
      </c>
      <c r="C3740" s="9"/>
      <c r="D3740" s="9" t="s">
        <v>83</v>
      </c>
      <c r="E3740" s="38">
        <v>1838</v>
      </c>
      <c r="F3740" s="39">
        <v>0</v>
      </c>
      <c r="G3740" s="40"/>
      <c r="H3740" s="41"/>
      <c r="I3740" s="40">
        <v>113.6795048651412</v>
      </c>
      <c r="J3740" s="41"/>
      <c r="K3740" s="9" t="s">
        <v>5190</v>
      </c>
    </row>
    <row r="3741" spans="1:11" x14ac:dyDescent="0.2">
      <c r="A3741" s="9" t="s">
        <v>66</v>
      </c>
      <c r="B3741" s="9" t="s">
        <v>467</v>
      </c>
      <c r="C3741" s="9"/>
      <c r="D3741" s="9" t="s">
        <v>78</v>
      </c>
      <c r="E3741" s="38">
        <v>1652</v>
      </c>
      <c r="F3741" s="39">
        <v>1807866.03</v>
      </c>
      <c r="G3741" s="40">
        <v>1094.3498970944311</v>
      </c>
      <c r="H3741" s="41">
        <v>-5.4779442587759061E-2</v>
      </c>
      <c r="I3741" s="40">
        <v>110.3337015452023</v>
      </c>
      <c r="J3741" s="41">
        <v>0.1008212289672118</v>
      </c>
      <c r="K3741" s="9" t="s">
        <v>5191</v>
      </c>
    </row>
    <row r="3742" spans="1:11" x14ac:dyDescent="0.2">
      <c r="A3742" s="9" t="s">
        <v>66</v>
      </c>
      <c r="B3742" s="9" t="s">
        <v>779</v>
      </c>
      <c r="C3742" s="9"/>
      <c r="D3742" s="9" t="s">
        <v>86</v>
      </c>
      <c r="E3742" s="38">
        <v>42768</v>
      </c>
      <c r="F3742" s="39">
        <v>0</v>
      </c>
      <c r="G3742" s="40"/>
      <c r="H3742" s="41"/>
      <c r="I3742" s="40">
        <v>22.465029337682171</v>
      </c>
      <c r="J3742" s="41"/>
      <c r="K3742" s="9" t="s">
        <v>5192</v>
      </c>
    </row>
    <row r="3743" spans="1:11" x14ac:dyDescent="0.2">
      <c r="A3743" s="9" t="s">
        <v>66</v>
      </c>
      <c r="B3743" s="9" t="s">
        <v>140</v>
      </c>
      <c r="C3743" s="9"/>
      <c r="D3743" s="9" t="s">
        <v>83</v>
      </c>
      <c r="E3743" s="38">
        <v>6826</v>
      </c>
      <c r="F3743" s="39">
        <v>3338235.56</v>
      </c>
      <c r="G3743" s="40">
        <v>489.04710811602689</v>
      </c>
      <c r="H3743" s="41">
        <v>-4.2669785125799962E-2</v>
      </c>
      <c r="I3743" s="40">
        <v>91.137309825925499</v>
      </c>
      <c r="J3743" s="41">
        <v>0.18635691391166159</v>
      </c>
      <c r="K3743" s="9" t="s">
        <v>5193</v>
      </c>
    </row>
    <row r="3744" spans="1:11" x14ac:dyDescent="0.2">
      <c r="A3744" s="9" t="s">
        <v>66</v>
      </c>
      <c r="B3744" s="9" t="s">
        <v>256</v>
      </c>
      <c r="C3744" s="9"/>
      <c r="D3744" s="9" t="s">
        <v>76</v>
      </c>
      <c r="E3744" s="38">
        <v>2051</v>
      </c>
      <c r="F3744" s="39">
        <v>912335.82</v>
      </c>
      <c r="G3744" s="40">
        <v>444.82487567040471</v>
      </c>
      <c r="H3744" s="41">
        <v>-0.17087007703902801</v>
      </c>
      <c r="I3744" s="40">
        <v>117.1040010974389</v>
      </c>
      <c r="J3744" s="41">
        <v>0.26325866088525079</v>
      </c>
      <c r="K3744" s="9" t="s">
        <v>5194</v>
      </c>
    </row>
    <row r="3745" spans="1:11" x14ac:dyDescent="0.2">
      <c r="A3745" s="9" t="s">
        <v>66</v>
      </c>
      <c r="B3745" s="9" t="s">
        <v>915</v>
      </c>
      <c r="C3745" s="9"/>
      <c r="D3745" s="9" t="s">
        <v>76</v>
      </c>
      <c r="E3745" s="38">
        <v>1043</v>
      </c>
      <c r="F3745" s="39">
        <v>288450.52</v>
      </c>
      <c r="G3745" s="40">
        <v>276.55850431447749</v>
      </c>
      <c r="H3745" s="41"/>
      <c r="I3745" s="40">
        <v>106.6434573801712</v>
      </c>
      <c r="J3745" s="41">
        <v>0.38560903286816239</v>
      </c>
      <c r="K3745" s="9" t="s">
        <v>5195</v>
      </c>
    </row>
    <row r="3746" spans="1:11" x14ac:dyDescent="0.2">
      <c r="A3746" s="9" t="s">
        <v>66</v>
      </c>
      <c r="B3746" s="9" t="s">
        <v>1010</v>
      </c>
      <c r="C3746" s="9"/>
      <c r="D3746" s="9" t="s">
        <v>84</v>
      </c>
      <c r="E3746" s="38">
        <v>1093</v>
      </c>
      <c r="F3746" s="39">
        <v>0</v>
      </c>
      <c r="G3746" s="40"/>
      <c r="H3746" s="41"/>
      <c r="I3746" s="40">
        <v>119.9763060023482</v>
      </c>
      <c r="J3746" s="41"/>
      <c r="K3746" s="9" t="s">
        <v>5196</v>
      </c>
    </row>
    <row r="3747" spans="1:11" x14ac:dyDescent="0.2">
      <c r="A3747" s="9" t="s">
        <v>66</v>
      </c>
      <c r="B3747" s="9" t="s">
        <v>473</v>
      </c>
      <c r="C3747" s="9"/>
      <c r="D3747" s="9" t="s">
        <v>86</v>
      </c>
      <c r="E3747" s="38">
        <v>177410</v>
      </c>
      <c r="F3747" s="39">
        <v>12428000</v>
      </c>
      <c r="G3747" s="40">
        <v>70.052420945831685</v>
      </c>
      <c r="H3747" s="41">
        <v>-1.9332439043636081E-2</v>
      </c>
      <c r="I3747" s="40">
        <v>0.89999932360069901</v>
      </c>
      <c r="J3747" s="41">
        <v>1.284751206952044E-2</v>
      </c>
      <c r="K3747" s="9" t="s">
        <v>5197</v>
      </c>
    </row>
    <row r="3748" spans="1:11" x14ac:dyDescent="0.2">
      <c r="A3748" s="9" t="s">
        <v>66</v>
      </c>
      <c r="B3748" s="9" t="s">
        <v>262</v>
      </c>
      <c r="C3748" s="9"/>
      <c r="D3748" s="9" t="s">
        <v>76</v>
      </c>
      <c r="E3748" s="38">
        <v>5000</v>
      </c>
      <c r="F3748" s="39">
        <v>0</v>
      </c>
      <c r="G3748" s="40"/>
      <c r="H3748" s="41"/>
      <c r="I3748" s="40">
        <v>73.380517715859455</v>
      </c>
      <c r="J3748" s="41"/>
      <c r="K3748" s="9" t="s">
        <v>5198</v>
      </c>
    </row>
    <row r="3749" spans="1:11" x14ac:dyDescent="0.2">
      <c r="A3749" s="9" t="s">
        <v>66</v>
      </c>
      <c r="B3749" s="9" t="s">
        <v>479</v>
      </c>
      <c r="C3749" s="9"/>
      <c r="D3749" s="9" t="s">
        <v>77</v>
      </c>
      <c r="E3749" s="38">
        <v>9389</v>
      </c>
      <c r="F3749" s="39">
        <v>0</v>
      </c>
      <c r="G3749" s="40"/>
      <c r="H3749" s="41"/>
      <c r="I3749" s="40">
        <v>132.76673105409159</v>
      </c>
      <c r="J3749" s="41"/>
      <c r="K3749" s="9" t="s">
        <v>5199</v>
      </c>
    </row>
    <row r="3750" spans="1:11" x14ac:dyDescent="0.2">
      <c r="A3750" s="9" t="s">
        <v>66</v>
      </c>
      <c r="B3750" s="9" t="s">
        <v>267</v>
      </c>
      <c r="C3750" s="9"/>
      <c r="D3750" s="9" t="s">
        <v>77</v>
      </c>
      <c r="E3750" s="38">
        <v>2499</v>
      </c>
      <c r="F3750" s="39">
        <v>1222001.74</v>
      </c>
      <c r="G3750" s="40">
        <v>488.99629451780709</v>
      </c>
      <c r="H3750" s="41">
        <v>5.4155438709209266E-3</v>
      </c>
      <c r="I3750" s="40">
        <v>145.11581869414471</v>
      </c>
      <c r="J3750" s="41">
        <v>0.29676261419780597</v>
      </c>
      <c r="K3750" s="9" t="s">
        <v>5200</v>
      </c>
    </row>
    <row r="3751" spans="1:11" x14ac:dyDescent="0.2">
      <c r="A3751" s="9" t="s">
        <v>66</v>
      </c>
      <c r="B3751" s="9" t="s">
        <v>271</v>
      </c>
      <c r="C3751" s="9"/>
      <c r="D3751" s="9" t="s">
        <v>78</v>
      </c>
      <c r="E3751" s="38">
        <v>2117</v>
      </c>
      <c r="F3751" s="39">
        <v>1707399.01</v>
      </c>
      <c r="G3751" s="40">
        <v>806.51819083608882</v>
      </c>
      <c r="H3751" s="41">
        <v>-0.28487228290981292</v>
      </c>
      <c r="I3751" s="40">
        <v>214.63618316840149</v>
      </c>
      <c r="J3751" s="41">
        <v>0.26612689658728678</v>
      </c>
      <c r="K3751" s="9" t="s">
        <v>5201</v>
      </c>
    </row>
    <row r="3752" spans="1:11" x14ac:dyDescent="0.2">
      <c r="A3752" s="9" t="s">
        <v>66</v>
      </c>
      <c r="B3752" s="9" t="s">
        <v>487</v>
      </c>
      <c r="C3752" s="9"/>
      <c r="D3752" s="9" t="s">
        <v>77</v>
      </c>
      <c r="E3752" s="38">
        <v>3827</v>
      </c>
      <c r="F3752" s="39">
        <v>1750257.85</v>
      </c>
      <c r="G3752" s="40">
        <v>457.34461719362429</v>
      </c>
      <c r="H3752" s="41">
        <v>-0.1743951368834841</v>
      </c>
      <c r="I3752" s="40">
        <v>143.126864259435</v>
      </c>
      <c r="J3752" s="41">
        <v>0.31295189421424818</v>
      </c>
      <c r="K3752" s="9" t="s">
        <v>5202</v>
      </c>
    </row>
    <row r="3753" spans="1:11" x14ac:dyDescent="0.2">
      <c r="A3753" s="9" t="s">
        <v>66</v>
      </c>
      <c r="B3753" s="9" t="s">
        <v>489</v>
      </c>
      <c r="C3753" s="9"/>
      <c r="D3753" s="9" t="s">
        <v>82</v>
      </c>
      <c r="E3753" s="38">
        <v>2411</v>
      </c>
      <c r="F3753" s="39">
        <v>2128430.9500000002</v>
      </c>
      <c r="G3753" s="40">
        <v>882.80006221484871</v>
      </c>
      <c r="H3753" s="41">
        <v>0.1276244878890512</v>
      </c>
      <c r="I3753" s="40">
        <v>170.3939826210524</v>
      </c>
      <c r="J3753" s="41">
        <v>0.1930153722390465</v>
      </c>
      <c r="K3753" s="9" t="s">
        <v>5203</v>
      </c>
    </row>
    <row r="3754" spans="1:11" x14ac:dyDescent="0.2">
      <c r="A3754" s="9" t="s">
        <v>66</v>
      </c>
      <c r="B3754" s="9" t="s">
        <v>275</v>
      </c>
      <c r="C3754" s="9"/>
      <c r="D3754" s="9" t="s">
        <v>83</v>
      </c>
      <c r="E3754" s="38">
        <v>3502</v>
      </c>
      <c r="F3754" s="39">
        <v>1605491.02</v>
      </c>
      <c r="G3754" s="40">
        <v>458.44974871502001</v>
      </c>
      <c r="H3754" s="41">
        <v>-0.1070687852807069</v>
      </c>
      <c r="I3754" s="40">
        <v>79.051380277506937</v>
      </c>
      <c r="J3754" s="41">
        <v>0.1724319415575612</v>
      </c>
      <c r="K3754" s="9" t="s">
        <v>5204</v>
      </c>
    </row>
    <row r="3755" spans="1:11" x14ac:dyDescent="0.2">
      <c r="A3755" s="9" t="s">
        <v>66</v>
      </c>
      <c r="B3755" s="9" t="s">
        <v>5205</v>
      </c>
      <c r="C3755" s="9"/>
      <c r="D3755" s="9" t="s">
        <v>85</v>
      </c>
      <c r="E3755" s="38">
        <v>37403</v>
      </c>
      <c r="F3755" s="39">
        <v>0</v>
      </c>
      <c r="G3755" s="40"/>
      <c r="H3755" s="41"/>
      <c r="I3755" s="40">
        <v>48.015948621950223</v>
      </c>
      <c r="J3755" s="41"/>
      <c r="K3755" s="9" t="s">
        <v>5206</v>
      </c>
    </row>
    <row r="3756" spans="1:11" x14ac:dyDescent="0.2">
      <c r="A3756" s="9" t="s">
        <v>66</v>
      </c>
      <c r="B3756" s="9" t="s">
        <v>277</v>
      </c>
      <c r="C3756" s="9"/>
      <c r="D3756" s="9" t="s">
        <v>76</v>
      </c>
      <c r="E3756" s="38">
        <v>1600</v>
      </c>
      <c r="F3756" s="39">
        <v>844555.53</v>
      </c>
      <c r="G3756" s="40">
        <v>527.84720625</v>
      </c>
      <c r="H3756" s="41">
        <v>-7.6277863968612719E-2</v>
      </c>
      <c r="I3756" s="40">
        <v>134.6776366660477</v>
      </c>
      <c r="J3756" s="41">
        <v>0.25514511599453538</v>
      </c>
      <c r="K3756" s="9" t="s">
        <v>5207</v>
      </c>
    </row>
    <row r="3757" spans="1:11" x14ac:dyDescent="0.2">
      <c r="A3757" s="9" t="s">
        <v>66</v>
      </c>
      <c r="B3757" s="9" t="s">
        <v>5208</v>
      </c>
      <c r="C3757" s="9"/>
      <c r="D3757" s="9" t="s">
        <v>81</v>
      </c>
      <c r="E3757" s="38">
        <v>8236</v>
      </c>
      <c r="F3757" s="39">
        <v>0</v>
      </c>
      <c r="G3757" s="40"/>
      <c r="H3757" s="41"/>
      <c r="I3757" s="40">
        <v>45.028670120247789</v>
      </c>
      <c r="J3757" s="41"/>
      <c r="K3757" s="9" t="s">
        <v>5209</v>
      </c>
    </row>
    <row r="3758" spans="1:11" x14ac:dyDescent="0.2">
      <c r="A3758" s="9" t="s">
        <v>66</v>
      </c>
      <c r="B3758" s="9" t="s">
        <v>494</v>
      </c>
      <c r="C3758" s="9"/>
      <c r="D3758" s="9" t="s">
        <v>85</v>
      </c>
      <c r="E3758" s="38">
        <v>1472</v>
      </c>
      <c r="F3758" s="39">
        <v>0</v>
      </c>
      <c r="G3758" s="40"/>
      <c r="H3758" s="41"/>
      <c r="I3758" s="40">
        <v>104.8680648124342</v>
      </c>
      <c r="J3758" s="41"/>
      <c r="K3758" s="9" t="s">
        <v>5210</v>
      </c>
    </row>
    <row r="3759" spans="1:11" x14ac:dyDescent="0.2">
      <c r="A3759" s="9" t="s">
        <v>66</v>
      </c>
      <c r="B3759" s="9" t="s">
        <v>283</v>
      </c>
      <c r="C3759" s="9"/>
      <c r="D3759" s="9" t="s">
        <v>78</v>
      </c>
      <c r="E3759" s="38">
        <v>840</v>
      </c>
      <c r="F3759" s="39">
        <v>426317.54</v>
      </c>
      <c r="G3759" s="40">
        <v>507.52088095238088</v>
      </c>
      <c r="H3759" s="41">
        <v>-4.9211059005992097E-2</v>
      </c>
      <c r="I3759" s="40">
        <v>138.03934191330731</v>
      </c>
      <c r="J3759" s="41">
        <v>0.27198751242366931</v>
      </c>
      <c r="K3759" s="9" t="s">
        <v>5211</v>
      </c>
    </row>
    <row r="3760" spans="1:11" x14ac:dyDescent="0.2">
      <c r="A3760" s="9" t="s">
        <v>66</v>
      </c>
      <c r="B3760" s="9" t="s">
        <v>287</v>
      </c>
      <c r="C3760" s="9"/>
      <c r="D3760" s="9" t="s">
        <v>79</v>
      </c>
      <c r="E3760" s="38">
        <v>1668</v>
      </c>
      <c r="F3760" s="39">
        <v>772046.09</v>
      </c>
      <c r="G3760" s="40">
        <v>462.85736810551549</v>
      </c>
      <c r="H3760" s="41">
        <v>-7.4013329133822581E-2</v>
      </c>
      <c r="I3760" s="40">
        <v>134.10739858573459</v>
      </c>
      <c r="J3760" s="41">
        <v>0.28973806582066292</v>
      </c>
      <c r="K3760" s="9" t="s">
        <v>5212</v>
      </c>
    </row>
    <row r="3761" spans="1:11" x14ac:dyDescent="0.2">
      <c r="A3761" s="9" t="s">
        <v>66</v>
      </c>
      <c r="B3761" s="9" t="s">
        <v>502</v>
      </c>
      <c r="C3761" s="9"/>
      <c r="D3761" s="9" t="s">
        <v>86</v>
      </c>
      <c r="E3761" s="38">
        <v>4880</v>
      </c>
      <c r="F3761" s="39">
        <v>0</v>
      </c>
      <c r="G3761" s="40"/>
      <c r="H3761" s="41"/>
      <c r="I3761" s="40">
        <v>88.692687494043966</v>
      </c>
      <c r="J3761" s="41"/>
      <c r="K3761" s="9" t="s">
        <v>5213</v>
      </c>
    </row>
    <row r="3762" spans="1:11" x14ac:dyDescent="0.2">
      <c r="A3762" s="9" t="s">
        <v>66</v>
      </c>
      <c r="B3762" s="9" t="s">
        <v>502</v>
      </c>
      <c r="C3762" s="9"/>
      <c r="D3762" s="9" t="s">
        <v>86</v>
      </c>
      <c r="E3762" s="38">
        <v>8846</v>
      </c>
      <c r="F3762" s="39">
        <v>0</v>
      </c>
      <c r="G3762" s="40"/>
      <c r="H3762" s="41"/>
      <c r="I3762" s="40">
        <v>90.982148032634981</v>
      </c>
      <c r="J3762" s="41"/>
      <c r="K3762" s="9" t="s">
        <v>5213</v>
      </c>
    </row>
    <row r="3763" spans="1:11" x14ac:dyDescent="0.2">
      <c r="A3763" s="9" t="s">
        <v>66</v>
      </c>
      <c r="B3763" s="9" t="s">
        <v>502</v>
      </c>
      <c r="C3763" s="9"/>
      <c r="D3763" s="9" t="s">
        <v>86</v>
      </c>
      <c r="E3763" s="38">
        <v>289512</v>
      </c>
      <c r="F3763" s="39">
        <v>94100000</v>
      </c>
      <c r="G3763" s="40">
        <v>325.02970515902621</v>
      </c>
      <c r="H3763" s="41">
        <v>0.1866330390920555</v>
      </c>
      <c r="I3763" s="40">
        <v>0.23665796236425429</v>
      </c>
      <c r="J3763" s="41">
        <v>7.2811179596174273E-4</v>
      </c>
      <c r="K3763" s="9" t="s">
        <v>5213</v>
      </c>
    </row>
    <row r="3764" spans="1:11" x14ac:dyDescent="0.2">
      <c r="A3764" s="9" t="s">
        <v>66</v>
      </c>
      <c r="B3764" s="9" t="s">
        <v>3464</v>
      </c>
      <c r="C3764" s="9"/>
      <c r="D3764" s="9" t="s">
        <v>76</v>
      </c>
      <c r="E3764" s="38">
        <v>6947</v>
      </c>
      <c r="F3764" s="39">
        <v>0</v>
      </c>
      <c r="G3764" s="40"/>
      <c r="H3764" s="41"/>
      <c r="I3764" s="40">
        <v>34.741930265365212</v>
      </c>
      <c r="J3764" s="41"/>
      <c r="K3764" s="9" t="s">
        <v>5214</v>
      </c>
    </row>
    <row r="3765" spans="1:11" x14ac:dyDescent="0.2">
      <c r="A3765" s="9" t="s">
        <v>66</v>
      </c>
      <c r="B3765" s="9" t="s">
        <v>2695</v>
      </c>
      <c r="C3765" s="9"/>
      <c r="D3765" s="9" t="s">
        <v>83</v>
      </c>
      <c r="E3765" s="38">
        <v>3119</v>
      </c>
      <c r="F3765" s="39">
        <v>0</v>
      </c>
      <c r="G3765" s="40"/>
      <c r="H3765" s="41"/>
      <c r="I3765" s="40">
        <v>54.867326166362872</v>
      </c>
      <c r="J3765" s="41"/>
      <c r="K3765" s="9" t="s">
        <v>5215</v>
      </c>
    </row>
    <row r="3766" spans="1:11" x14ac:dyDescent="0.2">
      <c r="A3766" s="9" t="s">
        <v>66</v>
      </c>
      <c r="B3766" s="9" t="s">
        <v>4405</v>
      </c>
      <c r="C3766" s="9"/>
      <c r="D3766" s="9" t="s">
        <v>80</v>
      </c>
      <c r="E3766" s="38">
        <v>788</v>
      </c>
      <c r="F3766" s="39">
        <v>1466896.59</v>
      </c>
      <c r="G3766" s="40">
        <v>1861.543895939086</v>
      </c>
      <c r="H3766" s="41">
        <v>0.16224548059780661</v>
      </c>
      <c r="I3766" s="40">
        <v>612.23951566899188</v>
      </c>
      <c r="J3766" s="41">
        <v>0.32888803589567661</v>
      </c>
      <c r="K3766" s="9" t="s">
        <v>5216</v>
      </c>
    </row>
    <row r="3767" spans="1:11" x14ac:dyDescent="0.2">
      <c r="A3767" s="9" t="s">
        <v>66</v>
      </c>
      <c r="B3767" s="9" t="s">
        <v>5217</v>
      </c>
      <c r="C3767" s="9"/>
      <c r="D3767" s="9" t="s">
        <v>81</v>
      </c>
      <c r="E3767" s="38">
        <v>585</v>
      </c>
      <c r="F3767" s="39">
        <v>1077308.69</v>
      </c>
      <c r="G3767" s="40">
        <v>1841.553316239316</v>
      </c>
      <c r="H3767" s="41">
        <v>0.2308786474098109</v>
      </c>
      <c r="I3767" s="40">
        <v>262.10928080275528</v>
      </c>
      <c r="J3767" s="41">
        <v>0.14233054155500399</v>
      </c>
      <c r="K3767" s="9" t="s">
        <v>5218</v>
      </c>
    </row>
    <row r="3768" spans="1:11" x14ac:dyDescent="0.2">
      <c r="A3768" s="9" t="s">
        <v>66</v>
      </c>
      <c r="B3768" s="9" t="s">
        <v>5219</v>
      </c>
      <c r="C3768" s="9"/>
      <c r="D3768" s="9" t="s">
        <v>80</v>
      </c>
      <c r="E3768" s="38">
        <v>1579</v>
      </c>
      <c r="F3768" s="39">
        <v>482447.26</v>
      </c>
      <c r="G3768" s="40">
        <v>305.53974667511079</v>
      </c>
      <c r="H3768" s="41">
        <v>0.24768029995750149</v>
      </c>
      <c r="I3768" s="40">
        <v>99.941938665756055</v>
      </c>
      <c r="J3768" s="41">
        <v>0.3270996318918441</v>
      </c>
      <c r="K3768" s="9" t="s">
        <v>5220</v>
      </c>
    </row>
    <row r="3769" spans="1:11" x14ac:dyDescent="0.2">
      <c r="A3769" s="9" t="s">
        <v>66</v>
      </c>
      <c r="B3769" s="9" t="s">
        <v>508</v>
      </c>
      <c r="C3769" s="9"/>
      <c r="D3769" s="9" t="s">
        <v>76</v>
      </c>
      <c r="E3769" s="38">
        <v>2435</v>
      </c>
      <c r="F3769" s="39">
        <v>396012.24</v>
      </c>
      <c r="G3769" s="40">
        <v>162.63336344969201</v>
      </c>
      <c r="H3769" s="41">
        <v>3.1606922925736913E-2</v>
      </c>
      <c r="I3769" s="40">
        <v>14.081812218545521</v>
      </c>
      <c r="J3769" s="41">
        <v>8.6586244789197256E-2</v>
      </c>
      <c r="K3769" s="9" t="s">
        <v>5221</v>
      </c>
    </row>
    <row r="3770" spans="1:11" x14ac:dyDescent="0.2">
      <c r="A3770" s="9" t="s">
        <v>66</v>
      </c>
      <c r="B3770" s="9" t="s">
        <v>5222</v>
      </c>
      <c r="C3770" s="9"/>
      <c r="D3770" s="9" t="s">
        <v>83</v>
      </c>
      <c r="E3770" s="38">
        <v>796</v>
      </c>
      <c r="F3770" s="39">
        <v>147607</v>
      </c>
      <c r="G3770" s="40">
        <v>185.4359296482412</v>
      </c>
      <c r="H3770" s="41">
        <v>1.998856753666902E-2</v>
      </c>
      <c r="I3770" s="40">
        <v>102.43931920062209</v>
      </c>
      <c r="J3770" s="41">
        <v>0.55242433003648339</v>
      </c>
      <c r="K3770" s="9" t="s">
        <v>5223</v>
      </c>
    </row>
    <row r="3771" spans="1:11" x14ac:dyDescent="0.2">
      <c r="A3771" s="9" t="s">
        <v>66</v>
      </c>
      <c r="B3771" s="9" t="s">
        <v>2059</v>
      </c>
      <c r="C3771" s="9"/>
      <c r="D3771" s="9" t="s">
        <v>82</v>
      </c>
      <c r="E3771" s="38">
        <v>5414</v>
      </c>
      <c r="F3771" s="39">
        <v>2158622.9900000002</v>
      </c>
      <c r="G3771" s="40">
        <v>398.71130217953458</v>
      </c>
      <c r="H3771" s="41"/>
      <c r="I3771" s="40">
        <v>38.653330695512999</v>
      </c>
      <c r="J3771" s="41">
        <v>9.694566089352516E-2</v>
      </c>
      <c r="K3771" s="9" t="s">
        <v>5224</v>
      </c>
    </row>
    <row r="3772" spans="1:11" x14ac:dyDescent="0.2">
      <c r="A3772" s="9" t="s">
        <v>66</v>
      </c>
      <c r="B3772" s="9" t="s">
        <v>4418</v>
      </c>
      <c r="C3772" s="9"/>
      <c r="D3772" s="9" t="s">
        <v>83</v>
      </c>
      <c r="E3772" s="38">
        <v>2500</v>
      </c>
      <c r="F3772" s="39">
        <v>0</v>
      </c>
      <c r="G3772" s="40"/>
      <c r="H3772" s="41"/>
      <c r="I3772" s="40">
        <v>51.994750778252943</v>
      </c>
      <c r="J3772" s="41"/>
      <c r="K3772" s="9" t="s">
        <v>5225</v>
      </c>
    </row>
    <row r="3773" spans="1:11" x14ac:dyDescent="0.2">
      <c r="A3773" s="9" t="s">
        <v>66</v>
      </c>
      <c r="B3773" s="9" t="s">
        <v>2402</v>
      </c>
      <c r="C3773" s="9"/>
      <c r="D3773" s="9" t="s">
        <v>81</v>
      </c>
      <c r="E3773" s="38">
        <v>6208</v>
      </c>
      <c r="F3773" s="39">
        <v>0</v>
      </c>
      <c r="G3773" s="40"/>
      <c r="H3773" s="41">
        <v>1.042727454808794E-2</v>
      </c>
      <c r="I3773" s="40">
        <v>29.392244698169129</v>
      </c>
      <c r="J3773" s="41"/>
      <c r="K3773" s="9" t="s">
        <v>5226</v>
      </c>
    </row>
    <row r="3774" spans="1:11" x14ac:dyDescent="0.2">
      <c r="A3774" s="9" t="s">
        <v>66</v>
      </c>
      <c r="B3774" s="9" t="s">
        <v>321</v>
      </c>
      <c r="C3774" s="9"/>
      <c r="D3774" s="9" t="s">
        <v>78</v>
      </c>
      <c r="E3774" s="38">
        <v>1343</v>
      </c>
      <c r="F3774" s="39">
        <v>2472190.5099999998</v>
      </c>
      <c r="G3774" s="40">
        <v>1840.7971034996281</v>
      </c>
      <c r="H3774" s="41">
        <v>-9.393590223245997E-2</v>
      </c>
      <c r="I3774" s="40">
        <v>271.38791340621452</v>
      </c>
      <c r="J3774" s="41">
        <v>0.14742956347023031</v>
      </c>
      <c r="K3774" s="9" t="s">
        <v>5227</v>
      </c>
    </row>
    <row r="3775" spans="1:11" x14ac:dyDescent="0.2">
      <c r="A3775" s="9" t="s">
        <v>66</v>
      </c>
      <c r="B3775" s="9" t="s">
        <v>323</v>
      </c>
      <c r="C3775" s="9"/>
      <c r="D3775" s="9" t="s">
        <v>81</v>
      </c>
      <c r="E3775" s="38">
        <v>4523</v>
      </c>
      <c r="F3775" s="39">
        <v>2016341.49</v>
      </c>
      <c r="G3775" s="40">
        <v>445.79736679195219</v>
      </c>
      <c r="H3775" s="41">
        <v>-0.31058899364364217</v>
      </c>
      <c r="I3775" s="40">
        <v>92.448147069217796</v>
      </c>
      <c r="J3775" s="41">
        <v>0.207377059524809</v>
      </c>
      <c r="K3775" s="9" t="s">
        <v>5228</v>
      </c>
    </row>
    <row r="3776" spans="1:11" x14ac:dyDescent="0.2">
      <c r="A3776" s="9" t="s">
        <v>66</v>
      </c>
      <c r="B3776" s="9" t="s">
        <v>4430</v>
      </c>
      <c r="C3776" s="9"/>
      <c r="D3776" s="9" t="s">
        <v>79</v>
      </c>
      <c r="E3776" s="38">
        <v>1339</v>
      </c>
      <c r="F3776" s="39">
        <v>372984.3</v>
      </c>
      <c r="G3776" s="40">
        <v>278.55436893203881</v>
      </c>
      <c r="H3776" s="41">
        <v>-5.7998153733769389E-2</v>
      </c>
      <c r="I3776" s="40">
        <v>120.2787921912186</v>
      </c>
      <c r="J3776" s="41">
        <v>0.43179646635003582</v>
      </c>
      <c r="K3776" s="9" t="s">
        <v>5229</v>
      </c>
    </row>
    <row r="3777" spans="1:11" x14ac:dyDescent="0.2">
      <c r="A3777" s="9" t="s">
        <v>66</v>
      </c>
      <c r="B3777" s="9" t="s">
        <v>3596</v>
      </c>
      <c r="C3777" s="9"/>
      <c r="D3777" s="9" t="s">
        <v>78</v>
      </c>
      <c r="E3777" s="38">
        <v>260</v>
      </c>
      <c r="F3777" s="39">
        <v>1193684.42</v>
      </c>
      <c r="G3777" s="40">
        <v>4591.0939230769227</v>
      </c>
      <c r="H3777" s="41">
        <v>-0.17901773326244941</v>
      </c>
      <c r="I3777" s="40">
        <v>0</v>
      </c>
      <c r="J3777" s="41">
        <v>0</v>
      </c>
      <c r="K3777" s="9" t="s">
        <v>5230</v>
      </c>
    </row>
    <row r="3778" spans="1:11" x14ac:dyDescent="0.2">
      <c r="A3778" s="9" t="s">
        <v>66</v>
      </c>
      <c r="B3778" s="9" t="s">
        <v>715</v>
      </c>
      <c r="C3778" s="9"/>
      <c r="D3778" s="9" t="s">
        <v>76</v>
      </c>
      <c r="E3778" s="38">
        <v>4399</v>
      </c>
      <c r="F3778" s="39">
        <v>2525052</v>
      </c>
      <c r="G3778" s="40">
        <v>574.00591043418956</v>
      </c>
      <c r="H3778" s="41">
        <v>-0.16360702652524259</v>
      </c>
      <c r="I3778" s="40">
        <v>128.5101996422853</v>
      </c>
      <c r="J3778" s="41">
        <v>0.2238830599236819</v>
      </c>
      <c r="K3778" s="9" t="s">
        <v>5231</v>
      </c>
    </row>
    <row r="3779" spans="1:11" x14ac:dyDescent="0.2">
      <c r="A3779" s="9" t="s">
        <v>66</v>
      </c>
      <c r="B3779" s="9" t="s">
        <v>3807</v>
      </c>
      <c r="C3779" s="9"/>
      <c r="D3779" s="9" t="s">
        <v>80</v>
      </c>
      <c r="E3779" s="38">
        <v>1146</v>
      </c>
      <c r="F3779" s="39">
        <v>586794.43000000005</v>
      </c>
      <c r="G3779" s="40">
        <v>512.03702443280986</v>
      </c>
      <c r="H3779" s="41"/>
      <c r="I3779" s="40">
        <v>98.260529951419485</v>
      </c>
      <c r="J3779" s="41">
        <v>0.19190122054213549</v>
      </c>
      <c r="K3779" s="9" t="s">
        <v>5232</v>
      </c>
    </row>
    <row r="3780" spans="1:11" x14ac:dyDescent="0.2">
      <c r="A3780" s="9" t="s">
        <v>66</v>
      </c>
      <c r="B3780" s="9" t="s">
        <v>331</v>
      </c>
      <c r="C3780" s="9"/>
      <c r="D3780" s="9" t="s">
        <v>81</v>
      </c>
      <c r="E3780" s="38">
        <v>908</v>
      </c>
      <c r="F3780" s="39">
        <v>1498182.96</v>
      </c>
      <c r="G3780" s="40">
        <v>1649.9812334801759</v>
      </c>
      <c r="H3780" s="41">
        <v>0.25607805186340932</v>
      </c>
      <c r="I3780" s="40">
        <v>261.65213399590618</v>
      </c>
      <c r="J3780" s="41">
        <v>0.15857885452674139</v>
      </c>
      <c r="K3780" s="9" t="s">
        <v>5233</v>
      </c>
    </row>
    <row r="3781" spans="1:11" x14ac:dyDescent="0.2">
      <c r="A3781" s="9" t="s">
        <v>66</v>
      </c>
      <c r="B3781" s="9" t="s">
        <v>5234</v>
      </c>
      <c r="C3781" s="9"/>
      <c r="D3781" s="9" t="s">
        <v>81</v>
      </c>
      <c r="E3781" s="38">
        <v>445</v>
      </c>
      <c r="F3781" s="39">
        <v>715129.14</v>
      </c>
      <c r="G3781" s="40">
        <v>1607.031775280899</v>
      </c>
      <c r="H3781" s="41">
        <v>0.17883496853963429</v>
      </c>
      <c r="I3781" s="40">
        <v>0</v>
      </c>
      <c r="J3781" s="41">
        <v>0</v>
      </c>
      <c r="K3781" s="9" t="s">
        <v>5235</v>
      </c>
    </row>
    <row r="3782" spans="1:11" x14ac:dyDescent="0.2">
      <c r="A3782" s="9" t="s">
        <v>66</v>
      </c>
      <c r="B3782" s="9" t="s">
        <v>1688</v>
      </c>
      <c r="C3782" s="9"/>
      <c r="D3782" s="9" t="s">
        <v>86</v>
      </c>
      <c r="E3782" s="38">
        <v>73647</v>
      </c>
      <c r="F3782" s="39">
        <v>0</v>
      </c>
      <c r="G3782" s="40"/>
      <c r="H3782" s="41"/>
      <c r="I3782" s="40">
        <v>33.031445074329937</v>
      </c>
      <c r="J3782" s="41"/>
      <c r="K3782" s="9" t="s">
        <v>5236</v>
      </c>
    </row>
    <row r="3783" spans="1:11" x14ac:dyDescent="0.2">
      <c r="A3783" s="9" t="s">
        <v>66</v>
      </c>
      <c r="B3783" s="9" t="s">
        <v>5237</v>
      </c>
      <c r="C3783" s="9"/>
      <c r="D3783" s="9" t="s">
        <v>83</v>
      </c>
      <c r="E3783" s="38">
        <v>2948</v>
      </c>
      <c r="F3783" s="39">
        <v>0</v>
      </c>
      <c r="G3783" s="40"/>
      <c r="H3783" s="41"/>
      <c r="I3783" s="40">
        <v>54</v>
      </c>
      <c r="J3783" s="41"/>
      <c r="K3783" s="9" t="s">
        <v>5238</v>
      </c>
    </row>
    <row r="3784" spans="1:11" x14ac:dyDescent="0.2">
      <c r="A3784" s="9" t="s">
        <v>66</v>
      </c>
      <c r="B3784" s="9" t="s">
        <v>520</v>
      </c>
      <c r="C3784" s="9"/>
      <c r="D3784" s="9" t="s">
        <v>77</v>
      </c>
      <c r="E3784" s="38">
        <v>6121</v>
      </c>
      <c r="F3784" s="39">
        <v>1785282.85</v>
      </c>
      <c r="G3784" s="40">
        <v>291.66522627021732</v>
      </c>
      <c r="H3784" s="41">
        <v>0.12671919007815091</v>
      </c>
      <c r="I3784" s="40">
        <v>105.78064599995631</v>
      </c>
      <c r="J3784" s="41">
        <v>0.36267829165878818</v>
      </c>
      <c r="K3784" s="9" t="s">
        <v>5239</v>
      </c>
    </row>
    <row r="3785" spans="1:11" x14ac:dyDescent="0.2">
      <c r="A3785" s="9" t="s">
        <v>66</v>
      </c>
      <c r="B3785" s="9" t="s">
        <v>1943</v>
      </c>
      <c r="C3785" s="9"/>
      <c r="D3785" s="9" t="s">
        <v>76</v>
      </c>
      <c r="E3785" s="38">
        <v>7428</v>
      </c>
      <c r="F3785" s="39">
        <v>0</v>
      </c>
      <c r="G3785" s="40"/>
      <c r="H3785" s="41"/>
      <c r="I3785" s="40">
        <v>19.394266360386531</v>
      </c>
      <c r="J3785" s="41"/>
      <c r="K3785" s="9" t="s">
        <v>5240</v>
      </c>
    </row>
    <row r="3786" spans="1:11" x14ac:dyDescent="0.2">
      <c r="A3786" s="9" t="s">
        <v>66</v>
      </c>
      <c r="B3786" s="9" t="s">
        <v>1282</v>
      </c>
      <c r="C3786" s="9"/>
      <c r="D3786" s="9" t="s">
        <v>80</v>
      </c>
      <c r="E3786" s="38">
        <v>1000</v>
      </c>
      <c r="F3786" s="39">
        <v>0</v>
      </c>
      <c r="G3786" s="40"/>
      <c r="H3786" s="41"/>
      <c r="I3786" s="40">
        <v>185.37865696527521</v>
      </c>
      <c r="J3786" s="41"/>
      <c r="K3786" s="9" t="s">
        <v>5241</v>
      </c>
    </row>
    <row r="3787" spans="1:11" x14ac:dyDescent="0.2">
      <c r="A3787" s="9" t="s">
        <v>66</v>
      </c>
      <c r="B3787" s="9" t="s">
        <v>5242</v>
      </c>
      <c r="C3787" s="9"/>
      <c r="D3787" s="9" t="s">
        <v>83</v>
      </c>
      <c r="E3787" s="38">
        <v>850</v>
      </c>
      <c r="F3787" s="39">
        <v>463162.93</v>
      </c>
      <c r="G3787" s="40">
        <v>544.89756470588236</v>
      </c>
      <c r="H3787" s="41">
        <v>0.47816074501467759</v>
      </c>
      <c r="I3787" s="40">
        <v>66.658862457008752</v>
      </c>
      <c r="J3787" s="41">
        <v>0.12233283239756999</v>
      </c>
      <c r="K3787" s="9" t="s">
        <v>5243</v>
      </c>
    </row>
    <row r="3788" spans="1:11" x14ac:dyDescent="0.2">
      <c r="A3788" s="9" t="s">
        <v>66</v>
      </c>
      <c r="B3788" s="9" t="s">
        <v>5244</v>
      </c>
      <c r="C3788" s="9"/>
      <c r="D3788" s="9" t="s">
        <v>82</v>
      </c>
      <c r="E3788" s="38">
        <v>1817</v>
      </c>
      <c r="F3788" s="39">
        <v>431346.86</v>
      </c>
      <c r="G3788" s="40">
        <v>237.39507980187119</v>
      </c>
      <c r="H3788" s="41">
        <v>-0.10365406321440961</v>
      </c>
      <c r="I3788" s="40">
        <v>125.5728994498415</v>
      </c>
      <c r="J3788" s="41">
        <v>0.52896167668952543</v>
      </c>
      <c r="K3788" s="9" t="s">
        <v>5245</v>
      </c>
    </row>
    <row r="3789" spans="1:11" x14ac:dyDescent="0.2">
      <c r="A3789" s="9" t="s">
        <v>66</v>
      </c>
      <c r="B3789" s="9" t="s">
        <v>5246</v>
      </c>
      <c r="C3789" s="9"/>
      <c r="D3789" s="9" t="s">
        <v>83</v>
      </c>
      <c r="E3789" s="38">
        <v>2065</v>
      </c>
      <c r="F3789" s="39">
        <v>0</v>
      </c>
      <c r="G3789" s="40"/>
      <c r="H3789" s="41"/>
      <c r="I3789" s="40">
        <v>212.97902382228159</v>
      </c>
      <c r="J3789" s="41"/>
      <c r="K3789" s="9" t="s">
        <v>5247</v>
      </c>
    </row>
    <row r="3790" spans="1:11" x14ac:dyDescent="0.2">
      <c r="A3790" s="9" t="s">
        <v>66</v>
      </c>
      <c r="B3790" s="9" t="s">
        <v>950</v>
      </c>
      <c r="C3790" s="9"/>
      <c r="D3790" s="9" t="s">
        <v>80</v>
      </c>
      <c r="E3790" s="38">
        <v>791</v>
      </c>
      <c r="F3790" s="39">
        <v>2137726.79</v>
      </c>
      <c r="G3790" s="40">
        <v>2702.5623135271808</v>
      </c>
      <c r="H3790" s="41">
        <v>0.15051803931038249</v>
      </c>
      <c r="I3790" s="40">
        <v>498.01786802605852</v>
      </c>
      <c r="J3790" s="41">
        <v>0.18427618321077049</v>
      </c>
      <c r="K3790" s="9" t="s">
        <v>5248</v>
      </c>
    </row>
    <row r="3791" spans="1:11" x14ac:dyDescent="0.2">
      <c r="A3791" s="9" t="s">
        <v>66</v>
      </c>
      <c r="B3791" s="9" t="s">
        <v>343</v>
      </c>
      <c r="C3791" s="9"/>
      <c r="D3791" s="9" t="s">
        <v>79</v>
      </c>
      <c r="E3791" s="38">
        <v>6524</v>
      </c>
      <c r="F3791" s="39">
        <v>9337981.7599999998</v>
      </c>
      <c r="G3791" s="40">
        <v>1431.327676272226</v>
      </c>
      <c r="H3791" s="41">
        <v>0.23757902652039439</v>
      </c>
      <c r="I3791" s="40">
        <v>147.65354984674551</v>
      </c>
      <c r="J3791" s="41">
        <v>0.10315845371710899</v>
      </c>
      <c r="K3791" s="9" t="s">
        <v>5249</v>
      </c>
    </row>
    <row r="3792" spans="1:11" x14ac:dyDescent="0.2">
      <c r="A3792" s="9" t="s">
        <v>66</v>
      </c>
      <c r="B3792" s="9" t="s">
        <v>1292</v>
      </c>
      <c r="C3792" s="9"/>
      <c r="D3792" s="9" t="s">
        <v>81</v>
      </c>
      <c r="E3792" s="38">
        <v>3002</v>
      </c>
      <c r="F3792" s="39">
        <v>3794292.12</v>
      </c>
      <c r="G3792" s="40">
        <v>1263.9214257161891</v>
      </c>
      <c r="H3792" s="41">
        <v>-9.7140731717958742E-2</v>
      </c>
      <c r="I3792" s="40">
        <v>87.898191443652451</v>
      </c>
      <c r="J3792" s="41">
        <v>6.9544031500095638E-2</v>
      </c>
      <c r="K3792" s="9" t="s">
        <v>5250</v>
      </c>
    </row>
    <row r="3793" spans="1:11" x14ac:dyDescent="0.2">
      <c r="A3793" s="9" t="s">
        <v>66</v>
      </c>
      <c r="B3793" s="9" t="s">
        <v>1296</v>
      </c>
      <c r="C3793" s="9"/>
      <c r="D3793" s="9" t="s">
        <v>82</v>
      </c>
      <c r="E3793" s="38">
        <v>1500</v>
      </c>
      <c r="F3793" s="39">
        <v>328686.17</v>
      </c>
      <c r="G3793" s="40">
        <v>219.1241133333333</v>
      </c>
      <c r="H3793" s="41">
        <v>-0.29318431848194032</v>
      </c>
      <c r="I3793" s="40">
        <v>74.121620564010883</v>
      </c>
      <c r="J3793" s="41">
        <v>0.33826318535403033</v>
      </c>
      <c r="K3793" s="9" t="s">
        <v>5251</v>
      </c>
    </row>
    <row r="3794" spans="1:11" x14ac:dyDescent="0.2">
      <c r="A3794" s="9" t="s">
        <v>66</v>
      </c>
      <c r="B3794" s="9" t="s">
        <v>530</v>
      </c>
      <c r="C3794" s="9"/>
      <c r="D3794" s="9" t="s">
        <v>77</v>
      </c>
      <c r="E3794" s="38">
        <v>2381</v>
      </c>
      <c r="F3794" s="39">
        <v>1115752.95</v>
      </c>
      <c r="G3794" s="40">
        <v>468.60686686266268</v>
      </c>
      <c r="H3794" s="41">
        <v>0.1122495028946139</v>
      </c>
      <c r="I3794" s="40">
        <v>14.567794024462509</v>
      </c>
      <c r="J3794" s="41">
        <v>3.1087453160885879E-2</v>
      </c>
      <c r="K3794" s="9" t="s">
        <v>5252</v>
      </c>
    </row>
    <row r="3795" spans="1:11" x14ac:dyDescent="0.2">
      <c r="A3795" s="9" t="s">
        <v>66</v>
      </c>
      <c r="B3795" s="9" t="s">
        <v>351</v>
      </c>
      <c r="C3795" s="9"/>
      <c r="D3795" s="9" t="s">
        <v>85</v>
      </c>
      <c r="E3795" s="38">
        <v>2400</v>
      </c>
      <c r="F3795" s="39">
        <v>1020365.16</v>
      </c>
      <c r="G3795" s="40">
        <v>425.15215000000001</v>
      </c>
      <c r="H3795" s="41">
        <v>-0.16165734204918461</v>
      </c>
      <c r="I3795" s="40">
        <v>132.3321906308046</v>
      </c>
      <c r="J3795" s="41">
        <v>0.31125842978991081</v>
      </c>
      <c r="K3795" s="9" t="s">
        <v>5253</v>
      </c>
    </row>
    <row r="3796" spans="1:11" x14ac:dyDescent="0.2">
      <c r="A3796" s="9" t="s">
        <v>66</v>
      </c>
      <c r="B3796" s="9" t="s">
        <v>1536</v>
      </c>
      <c r="C3796" s="9"/>
      <c r="D3796" s="9" t="s">
        <v>77</v>
      </c>
      <c r="E3796" s="38">
        <v>6603</v>
      </c>
      <c r="F3796" s="39">
        <v>0</v>
      </c>
      <c r="G3796" s="40"/>
      <c r="H3796" s="41"/>
      <c r="I3796" s="40">
        <v>72.621374811126799</v>
      </c>
      <c r="J3796" s="41"/>
      <c r="K3796" s="9" t="s">
        <v>5254</v>
      </c>
    </row>
    <row r="3797" spans="1:11" x14ac:dyDescent="0.2">
      <c r="A3797" s="9" t="s">
        <v>66</v>
      </c>
      <c r="B3797" s="9" t="s">
        <v>5255</v>
      </c>
      <c r="C3797" s="9"/>
      <c r="D3797" s="9" t="s">
        <v>76</v>
      </c>
      <c r="E3797" s="38">
        <v>700</v>
      </c>
      <c r="F3797" s="39">
        <v>302800.33</v>
      </c>
      <c r="G3797" s="40">
        <v>432.57190000000003</v>
      </c>
      <c r="H3797" s="41">
        <v>4.0397222107396297E-2</v>
      </c>
      <c r="I3797" s="40">
        <v>118.3957895419406</v>
      </c>
      <c r="J3797" s="41">
        <v>0.27370198929227862</v>
      </c>
      <c r="K3797" s="9" t="s">
        <v>5256</v>
      </c>
    </row>
    <row r="3798" spans="1:11" x14ac:dyDescent="0.2">
      <c r="A3798" s="9" t="s">
        <v>66</v>
      </c>
      <c r="B3798" s="9" t="s">
        <v>355</v>
      </c>
      <c r="C3798" s="9"/>
      <c r="D3798" s="9" t="s">
        <v>82</v>
      </c>
      <c r="E3798" s="38">
        <v>2000</v>
      </c>
      <c r="F3798" s="39">
        <v>793690.89</v>
      </c>
      <c r="G3798" s="40">
        <v>396.84544499999998</v>
      </c>
      <c r="H3798" s="41">
        <v>-0.28949980027761463</v>
      </c>
      <c r="I3798" s="40">
        <v>52.929746225071518</v>
      </c>
      <c r="J3798" s="41">
        <v>0.13337622213371131</v>
      </c>
      <c r="K3798" s="9" t="s">
        <v>5257</v>
      </c>
    </row>
    <row r="3799" spans="1:11" x14ac:dyDescent="0.2">
      <c r="A3799" s="9" t="s">
        <v>66</v>
      </c>
      <c r="B3799" s="9" t="s">
        <v>538</v>
      </c>
      <c r="C3799" s="9"/>
      <c r="D3799" s="9" t="s">
        <v>80</v>
      </c>
      <c r="E3799" s="38">
        <v>1256</v>
      </c>
      <c r="F3799" s="39">
        <v>1332124.78</v>
      </c>
      <c r="G3799" s="40">
        <v>1060.6089012738851</v>
      </c>
      <c r="H3799" s="41">
        <v>0.29673393044883678</v>
      </c>
      <c r="I3799" s="40">
        <v>337.83659095041253</v>
      </c>
      <c r="J3799" s="41">
        <v>0.31853078976108989</v>
      </c>
      <c r="K3799" s="9" t="s">
        <v>5258</v>
      </c>
    </row>
    <row r="3800" spans="1:11" x14ac:dyDescent="0.2">
      <c r="A3800" s="9" t="s">
        <v>66</v>
      </c>
      <c r="B3800" s="9" t="s">
        <v>1417</v>
      </c>
      <c r="C3800" s="9"/>
      <c r="D3800" s="9" t="s">
        <v>83</v>
      </c>
      <c r="E3800" s="38">
        <v>1308</v>
      </c>
      <c r="F3800" s="39">
        <v>1305625.3500000001</v>
      </c>
      <c r="G3800" s="40">
        <v>998.1845183486239</v>
      </c>
      <c r="H3800" s="41">
        <v>-0.120276263378927</v>
      </c>
      <c r="I3800" s="40">
        <v>226.2147145677755</v>
      </c>
      <c r="J3800" s="41">
        <v>0.22662615018515861</v>
      </c>
      <c r="K3800" s="9" t="s">
        <v>5259</v>
      </c>
    </row>
    <row r="3801" spans="1:11" x14ac:dyDescent="0.2">
      <c r="A3801" s="9" t="s">
        <v>66</v>
      </c>
      <c r="B3801" s="9" t="s">
        <v>2271</v>
      </c>
      <c r="C3801" s="9"/>
      <c r="D3801" s="9" t="s">
        <v>77</v>
      </c>
      <c r="E3801" s="38">
        <v>1656</v>
      </c>
      <c r="F3801" s="39">
        <v>646045.30000000005</v>
      </c>
      <c r="G3801" s="40">
        <v>390.12397342995172</v>
      </c>
      <c r="H3801" s="41">
        <v>-9.0392562182831315E-2</v>
      </c>
      <c r="I3801" s="40">
        <v>54.788724562403573</v>
      </c>
      <c r="J3801" s="41">
        <v>0.1404392662176171</v>
      </c>
      <c r="K3801" s="9" t="s">
        <v>5260</v>
      </c>
    </row>
    <row r="3802" spans="1:11" x14ac:dyDescent="0.2">
      <c r="A3802" s="9" t="s">
        <v>66</v>
      </c>
      <c r="B3802" s="9" t="s">
        <v>357</v>
      </c>
      <c r="C3802" s="9"/>
      <c r="D3802" s="9" t="s">
        <v>76</v>
      </c>
      <c r="E3802" s="38">
        <v>1030</v>
      </c>
      <c r="F3802" s="39">
        <v>667534.6</v>
      </c>
      <c r="G3802" s="40">
        <v>648.09184466019417</v>
      </c>
      <c r="H3802" s="41">
        <v>-1.0634269837295251E-2</v>
      </c>
      <c r="I3802" s="40">
        <v>121.63209504703811</v>
      </c>
      <c r="J3802" s="41">
        <v>0.18767724983611231</v>
      </c>
      <c r="K3802" s="9" t="s">
        <v>5261</v>
      </c>
    </row>
    <row r="3803" spans="1:11" x14ac:dyDescent="0.2">
      <c r="A3803" s="9" t="s">
        <v>66</v>
      </c>
      <c r="B3803" s="9" t="s">
        <v>5262</v>
      </c>
      <c r="C3803" s="9"/>
      <c r="D3803" s="9" t="s">
        <v>76</v>
      </c>
      <c r="E3803" s="38">
        <v>7912</v>
      </c>
      <c r="F3803" s="39">
        <v>825376.87</v>
      </c>
      <c r="G3803" s="40">
        <v>104.3196246208291</v>
      </c>
      <c r="H3803" s="41">
        <v>-9.6441531523094884E-2</v>
      </c>
      <c r="I3803" s="40">
        <v>81.287021010530054</v>
      </c>
      <c r="J3803" s="41">
        <v>0.7792112107955167</v>
      </c>
      <c r="K3803" s="9" t="s">
        <v>5263</v>
      </c>
    </row>
    <row r="3804" spans="1:11" x14ac:dyDescent="0.2">
      <c r="A3804" s="9" t="s">
        <v>66</v>
      </c>
      <c r="B3804" s="9" t="s">
        <v>731</v>
      </c>
      <c r="C3804" s="9"/>
      <c r="D3804" s="9" t="s">
        <v>78</v>
      </c>
      <c r="E3804" s="38">
        <v>1850</v>
      </c>
      <c r="F3804" s="39">
        <v>1365580.09</v>
      </c>
      <c r="G3804" s="40">
        <v>738.15140000000008</v>
      </c>
      <c r="H3804" s="41">
        <v>-1.076170096164655E-2</v>
      </c>
      <c r="I3804" s="40">
        <v>137.19675201708159</v>
      </c>
      <c r="J3804" s="41">
        <v>0.1858653279219975</v>
      </c>
      <c r="K3804" s="9" t="s">
        <v>5264</v>
      </c>
    </row>
    <row r="3805" spans="1:11" x14ac:dyDescent="0.2">
      <c r="A3805" s="9" t="s">
        <v>66</v>
      </c>
      <c r="B3805" s="9" t="s">
        <v>550</v>
      </c>
      <c r="C3805" s="9"/>
      <c r="D3805" s="9" t="s">
        <v>76</v>
      </c>
      <c r="E3805" s="38">
        <v>7491</v>
      </c>
      <c r="F3805" s="39">
        <v>1483575.16</v>
      </c>
      <c r="G3805" s="40">
        <v>198.04767854759041</v>
      </c>
      <c r="H3805" s="41">
        <v>-0.19855531086403111</v>
      </c>
      <c r="I3805" s="40">
        <v>35.414202672483682</v>
      </c>
      <c r="J3805" s="41">
        <v>0.1788165502983855</v>
      </c>
      <c r="K3805" s="9" t="s">
        <v>5265</v>
      </c>
    </row>
    <row r="3806" spans="1:11" x14ac:dyDescent="0.2">
      <c r="A3806" s="9" t="s">
        <v>66</v>
      </c>
      <c r="B3806" s="9" t="s">
        <v>552</v>
      </c>
      <c r="C3806" s="9"/>
      <c r="D3806" s="9" t="s">
        <v>85</v>
      </c>
      <c r="E3806" s="38">
        <v>24075</v>
      </c>
      <c r="F3806" s="39">
        <v>3425999</v>
      </c>
      <c r="G3806" s="40">
        <v>142.30525441329181</v>
      </c>
      <c r="H3806" s="41">
        <v>0.63915219098190956</v>
      </c>
      <c r="I3806" s="40">
        <v>45.678618819698301</v>
      </c>
      <c r="J3806" s="41">
        <v>0.32099038793771878</v>
      </c>
      <c r="K3806" s="9" t="s">
        <v>5266</v>
      </c>
    </row>
    <row r="3807" spans="1:11" x14ac:dyDescent="0.2">
      <c r="A3807" s="9" t="s">
        <v>66</v>
      </c>
      <c r="B3807" s="9" t="s">
        <v>5267</v>
      </c>
      <c r="C3807" s="9"/>
      <c r="D3807" s="9" t="s">
        <v>81</v>
      </c>
      <c r="E3807" s="38">
        <v>5536</v>
      </c>
      <c r="F3807" s="39">
        <v>0</v>
      </c>
      <c r="G3807" s="40"/>
      <c r="H3807" s="41"/>
      <c r="I3807" s="40">
        <v>65.171311455750214</v>
      </c>
      <c r="J3807" s="41"/>
      <c r="K3807" s="9" t="s">
        <v>5268</v>
      </c>
    </row>
    <row r="3808" spans="1:11" x14ac:dyDescent="0.2">
      <c r="A3808" s="9" t="s">
        <v>66</v>
      </c>
      <c r="B3808" s="9" t="s">
        <v>5269</v>
      </c>
      <c r="C3808" s="9"/>
      <c r="D3808" s="9" t="s">
        <v>83</v>
      </c>
      <c r="E3808" s="38">
        <v>850</v>
      </c>
      <c r="F3808" s="39">
        <v>591956.15</v>
      </c>
      <c r="G3808" s="40">
        <v>696.41899999999998</v>
      </c>
      <c r="H3808" s="41">
        <v>0.1324140564018271</v>
      </c>
      <c r="I3808" s="40">
        <v>242.81962533079579</v>
      </c>
      <c r="J3808" s="41">
        <v>0.34866886935996261</v>
      </c>
      <c r="K3808" s="9" t="s">
        <v>5270</v>
      </c>
    </row>
    <row r="3809" spans="1:11" x14ac:dyDescent="0.2">
      <c r="A3809" s="9" t="s">
        <v>66</v>
      </c>
      <c r="B3809" s="9" t="s">
        <v>369</v>
      </c>
      <c r="C3809" s="9"/>
      <c r="D3809" s="9" t="s">
        <v>84</v>
      </c>
      <c r="E3809" s="38">
        <v>1878</v>
      </c>
      <c r="F3809" s="39">
        <v>2787478.7</v>
      </c>
      <c r="G3809" s="40">
        <v>1484.280457933972</v>
      </c>
      <c r="H3809" s="41">
        <v>-0.1184597637119781</v>
      </c>
      <c r="I3809" s="40">
        <v>180.80424916325049</v>
      </c>
      <c r="J3809" s="41">
        <v>0.1218127262922527</v>
      </c>
      <c r="K3809" s="9" t="s">
        <v>5271</v>
      </c>
    </row>
    <row r="3810" spans="1:11" x14ac:dyDescent="0.2">
      <c r="A3810" s="9" t="s">
        <v>66</v>
      </c>
      <c r="B3810" s="9" t="s">
        <v>5272</v>
      </c>
      <c r="C3810" s="9"/>
      <c r="D3810" s="9" t="s">
        <v>81</v>
      </c>
      <c r="E3810" s="38">
        <v>7192</v>
      </c>
      <c r="F3810" s="39">
        <v>9262944.0999999996</v>
      </c>
      <c r="G3810" s="40">
        <v>1287.9510706340379</v>
      </c>
      <c r="H3810" s="41">
        <v>0.11169517826004879</v>
      </c>
      <c r="I3810" s="40">
        <v>85.40913993421421</v>
      </c>
      <c r="J3810" s="41">
        <v>6.6313963225457517E-2</v>
      </c>
      <c r="K3810" s="9" t="s">
        <v>5273</v>
      </c>
    </row>
    <row r="3811" spans="1:11" x14ac:dyDescent="0.2">
      <c r="A3811" s="9" t="s">
        <v>66</v>
      </c>
      <c r="B3811" s="9" t="s">
        <v>5274</v>
      </c>
      <c r="C3811" s="9"/>
      <c r="D3811" s="9" t="s">
        <v>81</v>
      </c>
      <c r="E3811" s="38">
        <v>7178</v>
      </c>
      <c r="F3811" s="39">
        <v>0</v>
      </c>
      <c r="G3811" s="40"/>
      <c r="H3811" s="41"/>
      <c r="I3811" s="40">
        <v>52.0000055725829</v>
      </c>
      <c r="J3811" s="41"/>
      <c r="K3811" s="9" t="s">
        <v>5275</v>
      </c>
    </row>
    <row r="3812" spans="1:11" x14ac:dyDescent="0.2">
      <c r="A3812" s="9" t="s">
        <v>66</v>
      </c>
      <c r="B3812" s="9" t="s">
        <v>371</v>
      </c>
      <c r="C3812" s="9"/>
      <c r="D3812" s="9" t="s">
        <v>76</v>
      </c>
      <c r="E3812" s="38">
        <v>2400</v>
      </c>
      <c r="F3812" s="39">
        <v>560540.35</v>
      </c>
      <c r="G3812" s="40">
        <v>233.55847916666659</v>
      </c>
      <c r="H3812" s="41">
        <v>-7.4510990151411882E-2</v>
      </c>
      <c r="I3812" s="40">
        <v>105.7296504539584</v>
      </c>
      <c r="J3812" s="41">
        <v>0.45269026768456572</v>
      </c>
      <c r="K3812" s="9" t="s">
        <v>5276</v>
      </c>
    </row>
    <row r="3813" spans="1:11" x14ac:dyDescent="0.2">
      <c r="A3813" s="9" t="s">
        <v>66</v>
      </c>
      <c r="B3813" s="9" t="s">
        <v>376</v>
      </c>
      <c r="C3813" s="9"/>
      <c r="D3813" s="9" t="s">
        <v>79</v>
      </c>
      <c r="E3813" s="38">
        <v>10170</v>
      </c>
      <c r="F3813" s="39">
        <v>2428999</v>
      </c>
      <c r="G3813" s="40">
        <v>238.8396263520157</v>
      </c>
      <c r="H3813" s="41"/>
      <c r="I3813" s="40">
        <v>58.101736496578688</v>
      </c>
      <c r="J3813" s="41">
        <v>0.2432667366969708</v>
      </c>
      <c r="K3813" s="9" t="s">
        <v>5277</v>
      </c>
    </row>
    <row r="3814" spans="1:11" x14ac:dyDescent="0.2">
      <c r="A3814" s="9" t="s">
        <v>66</v>
      </c>
      <c r="B3814" s="9" t="s">
        <v>5278</v>
      </c>
      <c r="C3814" s="9"/>
      <c r="D3814" s="9" t="s">
        <v>76</v>
      </c>
      <c r="E3814" s="38">
        <v>10929</v>
      </c>
      <c r="F3814" s="39">
        <v>0</v>
      </c>
      <c r="G3814" s="40"/>
      <c r="H3814" s="41"/>
      <c r="I3814" s="40">
        <v>50.268221837684592</v>
      </c>
      <c r="J3814" s="41"/>
      <c r="K3814" s="9" t="s">
        <v>5279</v>
      </c>
    </row>
    <row r="3815" spans="1:11" x14ac:dyDescent="0.2">
      <c r="A3815" s="9" t="s">
        <v>66</v>
      </c>
      <c r="B3815" s="9" t="s">
        <v>5280</v>
      </c>
      <c r="C3815" s="9"/>
      <c r="D3815" s="9" t="s">
        <v>83</v>
      </c>
      <c r="E3815" s="38">
        <v>6108</v>
      </c>
      <c r="F3815" s="39">
        <v>842594.81</v>
      </c>
      <c r="G3815" s="40">
        <v>137.94937950229209</v>
      </c>
      <c r="H3815" s="41">
        <v>0.32221065901936558</v>
      </c>
      <c r="I3815" s="40">
        <v>155.34566256076789</v>
      </c>
      <c r="J3815" s="41">
        <v>1.126106279863236E-2</v>
      </c>
      <c r="K3815" s="9" t="s">
        <v>5281</v>
      </c>
    </row>
    <row r="3816" spans="1:11" x14ac:dyDescent="0.2">
      <c r="A3816" s="9" t="s">
        <v>66</v>
      </c>
      <c r="B3816" s="9" t="s">
        <v>384</v>
      </c>
      <c r="C3816" s="9"/>
      <c r="D3816" s="9" t="s">
        <v>77</v>
      </c>
      <c r="E3816" s="38">
        <v>2674</v>
      </c>
      <c r="F3816" s="39">
        <v>830966.96</v>
      </c>
      <c r="G3816" s="40">
        <v>310.75802543006728</v>
      </c>
      <c r="H3816" s="41">
        <v>-0.23964330596277461</v>
      </c>
      <c r="I3816" s="40">
        <v>90.166023680699979</v>
      </c>
      <c r="J3816" s="41">
        <v>0.29014865683972768</v>
      </c>
      <c r="K3816" s="9" t="s">
        <v>5282</v>
      </c>
    </row>
    <row r="3817" spans="1:11" x14ac:dyDescent="0.2">
      <c r="A3817" s="9" t="s">
        <v>66</v>
      </c>
      <c r="B3817" s="9" t="s">
        <v>386</v>
      </c>
      <c r="C3817" s="9"/>
      <c r="D3817" s="9" t="s">
        <v>84</v>
      </c>
      <c r="E3817" s="38">
        <v>1600</v>
      </c>
      <c r="F3817" s="39">
        <v>0</v>
      </c>
      <c r="G3817" s="40"/>
      <c r="H3817" s="41"/>
      <c r="I3817" s="40">
        <v>78.181714004674944</v>
      </c>
      <c r="J3817" s="41"/>
      <c r="K3817" s="9" t="s">
        <v>5283</v>
      </c>
    </row>
    <row r="3818" spans="1:11" x14ac:dyDescent="0.2">
      <c r="A3818" s="9" t="s">
        <v>66</v>
      </c>
      <c r="B3818" s="9" t="s">
        <v>388</v>
      </c>
      <c r="C3818" s="9"/>
      <c r="D3818" s="9" t="s">
        <v>76</v>
      </c>
      <c r="E3818" s="38">
        <v>10315</v>
      </c>
      <c r="F3818" s="39">
        <v>3817241</v>
      </c>
      <c r="G3818" s="40">
        <v>370.06698982064961</v>
      </c>
      <c r="H3818" s="41">
        <v>-9.2009486008630487E-2</v>
      </c>
      <c r="I3818" s="40">
        <v>121.3287976268856</v>
      </c>
      <c r="J3818" s="41">
        <v>0.32785630970675561</v>
      </c>
      <c r="K3818" s="9" t="s">
        <v>5284</v>
      </c>
    </row>
    <row r="3819" spans="1:11" x14ac:dyDescent="0.2">
      <c r="A3819" s="9" t="s">
        <v>66</v>
      </c>
      <c r="B3819" s="9" t="s">
        <v>571</v>
      </c>
      <c r="C3819" s="9"/>
      <c r="D3819" s="9" t="s">
        <v>76</v>
      </c>
      <c r="E3819" s="38">
        <v>2668</v>
      </c>
      <c r="F3819" s="39">
        <v>675024.99</v>
      </c>
      <c r="G3819" s="40">
        <v>253.00786731634179</v>
      </c>
      <c r="H3819" s="41">
        <v>0.23194171867068089</v>
      </c>
      <c r="I3819" s="40">
        <v>126.09679460433421</v>
      </c>
      <c r="J3819" s="41">
        <v>0.49839080476763348</v>
      </c>
      <c r="K3819" s="9" t="s">
        <v>5285</v>
      </c>
    </row>
    <row r="3820" spans="1:11" x14ac:dyDescent="0.2">
      <c r="A3820" s="9" t="s">
        <v>66</v>
      </c>
      <c r="B3820" s="9" t="s">
        <v>392</v>
      </c>
      <c r="C3820" s="9"/>
      <c r="D3820" s="9" t="s">
        <v>76</v>
      </c>
      <c r="E3820" s="38">
        <v>4526</v>
      </c>
      <c r="F3820" s="39">
        <v>902235.81</v>
      </c>
      <c r="G3820" s="40">
        <v>199.3450751215201</v>
      </c>
      <c r="H3820" s="41">
        <v>-6.09013165041302E-2</v>
      </c>
      <c r="I3820" s="40">
        <v>61.495409667789637</v>
      </c>
      <c r="J3820" s="41">
        <v>0.30848722814096219</v>
      </c>
      <c r="K3820" s="9" t="s">
        <v>5286</v>
      </c>
    </row>
    <row r="3821" spans="1:11" x14ac:dyDescent="0.2">
      <c r="A3821" s="9" t="s">
        <v>66</v>
      </c>
      <c r="B3821" s="9" t="s">
        <v>574</v>
      </c>
      <c r="C3821" s="9"/>
      <c r="D3821" s="9" t="s">
        <v>82</v>
      </c>
      <c r="E3821" s="38">
        <v>1405</v>
      </c>
      <c r="F3821" s="39">
        <v>586732</v>
      </c>
      <c r="G3821" s="40">
        <v>417.60284697508899</v>
      </c>
      <c r="H3821" s="41">
        <v>6.1638799194347643E-2</v>
      </c>
      <c r="I3821" s="40">
        <v>202.77338606393221</v>
      </c>
      <c r="J3821" s="41">
        <v>0.48556514289287922</v>
      </c>
      <c r="K3821" s="9" t="s">
        <v>5287</v>
      </c>
    </row>
    <row r="3822" spans="1:11" x14ac:dyDescent="0.2">
      <c r="A3822" s="9" t="s">
        <v>66</v>
      </c>
      <c r="B3822" s="9" t="s">
        <v>396</v>
      </c>
      <c r="C3822" s="9"/>
      <c r="D3822" s="9" t="s">
        <v>78</v>
      </c>
      <c r="E3822" s="38">
        <v>2233</v>
      </c>
      <c r="F3822" s="39">
        <v>872355.57</v>
      </c>
      <c r="G3822" s="40">
        <v>390.66527989252131</v>
      </c>
      <c r="H3822" s="41">
        <v>-0.1314786748005024</v>
      </c>
      <c r="I3822" s="40">
        <v>129.52298713825451</v>
      </c>
      <c r="J3822" s="41">
        <v>0.33154465934082622</v>
      </c>
      <c r="K3822" s="9" t="s">
        <v>5288</v>
      </c>
    </row>
    <row r="3823" spans="1:11" x14ac:dyDescent="0.2">
      <c r="A3823" s="9" t="s">
        <v>66</v>
      </c>
      <c r="B3823" s="9" t="s">
        <v>579</v>
      </c>
      <c r="C3823" s="9"/>
      <c r="D3823" s="9" t="s">
        <v>76</v>
      </c>
      <c r="E3823" s="38">
        <v>29141</v>
      </c>
      <c r="F3823" s="39">
        <v>12202782.470000001</v>
      </c>
      <c r="G3823" s="40">
        <v>418.74961291650942</v>
      </c>
      <c r="H3823" s="41">
        <v>4.1996905593860677E-2</v>
      </c>
      <c r="I3823" s="40">
        <v>60.599532214503263</v>
      </c>
      <c r="J3823" s="41">
        <v>0.1447154345825882</v>
      </c>
      <c r="K3823" s="9" t="s">
        <v>5289</v>
      </c>
    </row>
    <row r="3824" spans="1:11" x14ac:dyDescent="0.2">
      <c r="A3824" s="9" t="s">
        <v>66</v>
      </c>
      <c r="B3824" s="9" t="s">
        <v>398</v>
      </c>
      <c r="C3824" s="9"/>
      <c r="D3824" s="9" t="s">
        <v>76</v>
      </c>
      <c r="E3824" s="38">
        <v>2600</v>
      </c>
      <c r="F3824" s="39">
        <v>670431.53</v>
      </c>
      <c r="G3824" s="40">
        <v>257.85828076923082</v>
      </c>
      <c r="H3824" s="41">
        <v>-0.25241429182714092</v>
      </c>
      <c r="I3824" s="40">
        <v>23.753526923076919</v>
      </c>
      <c r="J3824" s="41">
        <v>9.2118534460931448E-2</v>
      </c>
      <c r="K3824" s="9" t="s">
        <v>5290</v>
      </c>
    </row>
    <row r="3825" spans="1:11" x14ac:dyDescent="0.2">
      <c r="A3825" s="9" t="s">
        <v>39</v>
      </c>
      <c r="B3825" s="9" t="s">
        <v>2910</v>
      </c>
      <c r="C3825" s="9"/>
      <c r="D3825" s="9" t="s">
        <v>83</v>
      </c>
      <c r="E3825" s="38">
        <v>3293</v>
      </c>
      <c r="F3825" s="39">
        <v>1059212</v>
      </c>
      <c r="G3825" s="40">
        <v>321.65563316125122</v>
      </c>
      <c r="H3825" s="41">
        <v>-3.5043595663949753E-2</v>
      </c>
      <c r="I3825" s="40">
        <v>57.81</v>
      </c>
      <c r="J3825" s="41">
        <v>0.17972637205771841</v>
      </c>
      <c r="K3825" s="9" t="s">
        <v>5291</v>
      </c>
    </row>
    <row r="3826" spans="1:11" x14ac:dyDescent="0.2">
      <c r="A3826" s="9" t="s">
        <v>39</v>
      </c>
      <c r="B3826" s="9" t="s">
        <v>582</v>
      </c>
      <c r="C3826" s="9"/>
      <c r="D3826" s="9" t="s">
        <v>76</v>
      </c>
      <c r="E3826" s="38">
        <v>10105</v>
      </c>
      <c r="F3826" s="39">
        <v>2190403</v>
      </c>
      <c r="G3826" s="40">
        <v>216.76427511133099</v>
      </c>
      <c r="H3826" s="41">
        <v>0.16716493854768119</v>
      </c>
      <c r="I3826" s="40">
        <v>21.68</v>
      </c>
      <c r="J3826" s="41">
        <v>0.10001648098546249</v>
      </c>
      <c r="K3826" s="9" t="s">
        <v>5292</v>
      </c>
    </row>
    <row r="3827" spans="1:11" x14ac:dyDescent="0.2">
      <c r="A3827" s="9" t="s">
        <v>39</v>
      </c>
      <c r="B3827" s="9" t="s">
        <v>87</v>
      </c>
      <c r="C3827" s="9"/>
      <c r="D3827" s="9" t="s">
        <v>87</v>
      </c>
      <c r="E3827" s="38">
        <v>8147</v>
      </c>
      <c r="F3827" s="39"/>
      <c r="G3827" s="40"/>
      <c r="H3827" s="41"/>
      <c r="I3827" s="40">
        <v>40.94</v>
      </c>
      <c r="J3827" s="41"/>
      <c r="K3827" s="9" t="s">
        <v>5293</v>
      </c>
    </row>
    <row r="3828" spans="1:11" x14ac:dyDescent="0.2">
      <c r="A3828" s="9" t="s">
        <v>39</v>
      </c>
      <c r="B3828" s="9" t="s">
        <v>5294</v>
      </c>
      <c r="C3828" s="9"/>
      <c r="D3828" s="9" t="s">
        <v>80</v>
      </c>
      <c r="E3828" s="38">
        <v>1200</v>
      </c>
      <c r="F3828" s="39">
        <v>558194</v>
      </c>
      <c r="G3828" s="40">
        <v>465.16166666666669</v>
      </c>
      <c r="H3828" s="41">
        <v>0.126061986902332</v>
      </c>
      <c r="I3828" s="40">
        <v>65.5</v>
      </c>
      <c r="J3828" s="41">
        <v>0.1408112591679595</v>
      </c>
      <c r="K3828" s="9" t="s">
        <v>5295</v>
      </c>
    </row>
    <row r="3829" spans="1:11" x14ac:dyDescent="0.2">
      <c r="A3829" s="9" t="s">
        <v>39</v>
      </c>
      <c r="B3829" s="9" t="s">
        <v>1208</v>
      </c>
      <c r="C3829" s="9"/>
      <c r="D3829" s="9" t="s">
        <v>79</v>
      </c>
      <c r="E3829" s="38">
        <v>1627</v>
      </c>
      <c r="F3829" s="39">
        <v>407232</v>
      </c>
      <c r="G3829" s="40">
        <v>250.2962507682852</v>
      </c>
      <c r="H3829" s="41"/>
      <c r="I3829" s="40">
        <v>65.28</v>
      </c>
      <c r="J3829" s="41">
        <v>0.26081093823668078</v>
      </c>
      <c r="K3829" s="9" t="s">
        <v>5296</v>
      </c>
    </row>
    <row r="3830" spans="1:11" x14ac:dyDescent="0.2">
      <c r="A3830" s="9" t="s">
        <v>39</v>
      </c>
      <c r="B3830" s="9" t="s">
        <v>420</v>
      </c>
      <c r="C3830" s="9"/>
      <c r="D3830" s="9" t="s">
        <v>78</v>
      </c>
      <c r="E3830" s="38">
        <v>1500</v>
      </c>
      <c r="F3830" s="39">
        <v>858057</v>
      </c>
      <c r="G3830" s="40">
        <v>572.03800000000001</v>
      </c>
      <c r="H3830" s="41">
        <v>0.23179884349387769</v>
      </c>
      <c r="I3830" s="40">
        <v>73.2</v>
      </c>
      <c r="J3830" s="41">
        <v>0.12796352689856269</v>
      </c>
      <c r="K3830" s="9" t="s">
        <v>5297</v>
      </c>
    </row>
    <row r="3831" spans="1:11" x14ac:dyDescent="0.2">
      <c r="A3831" s="9" t="s">
        <v>39</v>
      </c>
      <c r="B3831" s="9" t="s">
        <v>5298</v>
      </c>
      <c r="C3831" s="9"/>
      <c r="D3831" s="9" t="s">
        <v>81</v>
      </c>
      <c r="E3831" s="38">
        <v>5330</v>
      </c>
      <c r="F3831" s="39">
        <v>6563086</v>
      </c>
      <c r="G3831" s="40">
        <v>1231.348217636023</v>
      </c>
      <c r="H3831" s="41">
        <v>5.7453770131280758E-2</v>
      </c>
      <c r="I3831" s="40">
        <v>54.319999999999993</v>
      </c>
      <c r="J3831" s="41">
        <v>4.4114247474435042E-2</v>
      </c>
      <c r="K3831" s="9" t="s">
        <v>5299</v>
      </c>
    </row>
    <row r="3832" spans="1:11" x14ac:dyDescent="0.2">
      <c r="A3832" s="9" t="s">
        <v>39</v>
      </c>
      <c r="B3832" s="9" t="s">
        <v>2005</v>
      </c>
      <c r="C3832" s="9"/>
      <c r="D3832" s="9" t="s">
        <v>76</v>
      </c>
      <c r="E3832" s="38">
        <v>3233</v>
      </c>
      <c r="F3832" s="39">
        <v>2537407</v>
      </c>
      <c r="G3832" s="40">
        <v>784.84596350139191</v>
      </c>
      <c r="H3832" s="41">
        <v>4.7396639452569203E-3</v>
      </c>
      <c r="I3832" s="40">
        <v>64.680000000000007</v>
      </c>
      <c r="J3832" s="41">
        <v>8.2411075558631322E-2</v>
      </c>
      <c r="K3832" s="9" t="s">
        <v>5300</v>
      </c>
    </row>
    <row r="3833" spans="1:11" x14ac:dyDescent="0.2">
      <c r="A3833" s="9" t="s">
        <v>39</v>
      </c>
      <c r="B3833" s="9" t="s">
        <v>197</v>
      </c>
      <c r="C3833" s="9"/>
      <c r="D3833" s="9" t="s">
        <v>76</v>
      </c>
      <c r="E3833" s="38">
        <v>4162</v>
      </c>
      <c r="F3833" s="39">
        <v>1197304</v>
      </c>
      <c r="G3833" s="40">
        <v>287.67515617491591</v>
      </c>
      <c r="H3833" s="41">
        <v>-5.0413684127614357E-2</v>
      </c>
      <c r="I3833" s="40">
        <v>46.41</v>
      </c>
      <c r="J3833" s="41">
        <v>0.16132779979019529</v>
      </c>
      <c r="K3833" s="9" t="s">
        <v>5301</v>
      </c>
    </row>
    <row r="3834" spans="1:11" x14ac:dyDescent="0.2">
      <c r="A3834" s="9" t="s">
        <v>39</v>
      </c>
      <c r="B3834" s="9" t="s">
        <v>1218</v>
      </c>
      <c r="C3834" s="9"/>
      <c r="D3834" s="9" t="s">
        <v>83</v>
      </c>
      <c r="E3834" s="38">
        <v>1324</v>
      </c>
      <c r="F3834" s="39"/>
      <c r="G3834" s="40"/>
      <c r="H3834" s="41"/>
      <c r="I3834" s="40">
        <v>37.049999999999997</v>
      </c>
      <c r="J3834" s="41"/>
      <c r="K3834" s="9" t="s">
        <v>5302</v>
      </c>
    </row>
    <row r="3835" spans="1:11" x14ac:dyDescent="0.2">
      <c r="A3835" s="9" t="s">
        <v>39</v>
      </c>
      <c r="B3835" s="9" t="s">
        <v>5303</v>
      </c>
      <c r="C3835" s="9"/>
      <c r="D3835" s="9" t="s">
        <v>82</v>
      </c>
      <c r="E3835" s="38">
        <v>3730</v>
      </c>
      <c r="F3835" s="39">
        <v>1857330</v>
      </c>
      <c r="G3835" s="40">
        <v>497.94369973190351</v>
      </c>
      <c r="H3835" s="41">
        <v>-0.15768623575071319</v>
      </c>
      <c r="I3835" s="40">
        <v>52.91</v>
      </c>
      <c r="J3835" s="41">
        <v>0.10625699256459541</v>
      </c>
      <c r="K3835" s="9" t="s">
        <v>5304</v>
      </c>
    </row>
    <row r="3836" spans="1:11" x14ac:dyDescent="0.2">
      <c r="A3836" s="9" t="s">
        <v>39</v>
      </c>
      <c r="B3836" s="9" t="s">
        <v>5305</v>
      </c>
      <c r="C3836" s="9"/>
      <c r="D3836" s="9" t="s">
        <v>83</v>
      </c>
      <c r="E3836" s="38">
        <v>1100</v>
      </c>
      <c r="F3836" s="39">
        <v>142350</v>
      </c>
      <c r="G3836" s="40">
        <v>129.40909090909091</v>
      </c>
      <c r="H3836" s="41"/>
      <c r="I3836" s="40">
        <v>61.44</v>
      </c>
      <c r="J3836" s="41">
        <v>0.47477344573234992</v>
      </c>
      <c r="K3836" s="9" t="s">
        <v>5306</v>
      </c>
    </row>
    <row r="3837" spans="1:11" x14ac:dyDescent="0.2">
      <c r="A3837" s="9" t="s">
        <v>39</v>
      </c>
      <c r="B3837" s="9" t="s">
        <v>228</v>
      </c>
      <c r="C3837" s="9"/>
      <c r="D3837" s="9" t="s">
        <v>76</v>
      </c>
      <c r="E3837" s="38">
        <v>5000</v>
      </c>
      <c r="F3837" s="39">
        <v>681599</v>
      </c>
      <c r="G3837" s="40">
        <v>136.31979999999999</v>
      </c>
      <c r="H3837" s="41">
        <v>3.8910691778817147E-2</v>
      </c>
      <c r="I3837" s="40">
        <v>6.82</v>
      </c>
      <c r="J3837" s="41">
        <v>5.0029416122969662E-2</v>
      </c>
      <c r="K3837" s="9" t="s">
        <v>5307</v>
      </c>
    </row>
    <row r="3838" spans="1:11" x14ac:dyDescent="0.2">
      <c r="A3838" s="9" t="s">
        <v>39</v>
      </c>
      <c r="B3838" s="9" t="s">
        <v>5308</v>
      </c>
      <c r="C3838" s="9"/>
      <c r="D3838" s="9" t="s">
        <v>80</v>
      </c>
      <c r="E3838" s="38">
        <v>1199</v>
      </c>
      <c r="F3838" s="39">
        <v>668754</v>
      </c>
      <c r="G3838" s="40">
        <v>557.75979983319428</v>
      </c>
      <c r="H3838" s="41">
        <v>-4.0713613145680741E-2</v>
      </c>
      <c r="I3838" s="40">
        <v>60.509999999999991</v>
      </c>
      <c r="J3838" s="41">
        <v>0.1084875604482366</v>
      </c>
      <c r="K3838" s="9" t="s">
        <v>5309</v>
      </c>
    </row>
    <row r="3839" spans="1:11" x14ac:dyDescent="0.2">
      <c r="A3839" s="9" t="s">
        <v>39</v>
      </c>
      <c r="B3839" s="9" t="s">
        <v>5310</v>
      </c>
      <c r="C3839" s="9"/>
      <c r="D3839" s="9" t="s">
        <v>85</v>
      </c>
      <c r="E3839" s="38">
        <v>11665</v>
      </c>
      <c r="F3839" s="39">
        <v>1568398</v>
      </c>
      <c r="G3839" s="40">
        <v>134.45332190312899</v>
      </c>
      <c r="H3839" s="41"/>
      <c r="I3839" s="40">
        <v>20.149999999999999</v>
      </c>
      <c r="J3839" s="41">
        <v>0.1498661372942327</v>
      </c>
      <c r="K3839" s="9" t="s">
        <v>5311</v>
      </c>
    </row>
    <row r="3840" spans="1:11" x14ac:dyDescent="0.2">
      <c r="A3840" s="9" t="s">
        <v>39</v>
      </c>
      <c r="B3840" s="9" t="s">
        <v>5312</v>
      </c>
      <c r="C3840" s="9"/>
      <c r="D3840" s="9" t="s">
        <v>79</v>
      </c>
      <c r="E3840" s="38">
        <v>5425</v>
      </c>
      <c r="F3840" s="39">
        <v>115255</v>
      </c>
      <c r="G3840" s="40">
        <v>21.245161290322581</v>
      </c>
      <c r="H3840" s="41">
        <v>-1.3034173631706661E-2</v>
      </c>
      <c r="I3840" s="40">
        <v>3.32</v>
      </c>
      <c r="J3840" s="41">
        <v>0.1562708776191922</v>
      </c>
      <c r="K3840" s="9" t="s">
        <v>5313</v>
      </c>
    </row>
    <row r="3841" spans="1:11" x14ac:dyDescent="0.2">
      <c r="A3841" s="9" t="s">
        <v>39</v>
      </c>
      <c r="B3841" s="9" t="s">
        <v>260</v>
      </c>
      <c r="C3841" s="9"/>
      <c r="D3841" s="9" t="s">
        <v>76</v>
      </c>
      <c r="E3841" s="38">
        <v>3797</v>
      </c>
      <c r="F3841" s="39">
        <v>998902</v>
      </c>
      <c r="G3841" s="40">
        <v>263.07663945219912</v>
      </c>
      <c r="H3841" s="41"/>
      <c r="I3841" s="40">
        <v>49.38</v>
      </c>
      <c r="J3841" s="41">
        <v>0.1877019567485099</v>
      </c>
      <c r="K3841" s="9" t="s">
        <v>5314</v>
      </c>
    </row>
    <row r="3842" spans="1:11" x14ac:dyDescent="0.2">
      <c r="A3842" s="9" t="s">
        <v>39</v>
      </c>
      <c r="B3842" s="9" t="s">
        <v>262</v>
      </c>
      <c r="C3842" s="9"/>
      <c r="D3842" s="9" t="s">
        <v>76</v>
      </c>
      <c r="E3842" s="38">
        <v>6021</v>
      </c>
      <c r="F3842" s="39">
        <v>0</v>
      </c>
      <c r="G3842" s="40"/>
      <c r="H3842" s="41"/>
      <c r="I3842" s="40">
        <v>44.72</v>
      </c>
      <c r="J3842" s="41"/>
      <c r="K3842" s="9" t="s">
        <v>5315</v>
      </c>
    </row>
    <row r="3843" spans="1:11" x14ac:dyDescent="0.2">
      <c r="A3843" s="9" t="s">
        <v>39</v>
      </c>
      <c r="B3843" s="9" t="s">
        <v>2204</v>
      </c>
      <c r="C3843" s="9"/>
      <c r="D3843" s="9" t="s">
        <v>80</v>
      </c>
      <c r="E3843" s="38">
        <v>700</v>
      </c>
      <c r="F3843" s="39">
        <v>356375</v>
      </c>
      <c r="G3843" s="40">
        <v>509.10714285714278</v>
      </c>
      <c r="H3843" s="41"/>
      <c r="I3843" s="40">
        <v>67.87</v>
      </c>
      <c r="J3843" s="41">
        <v>0.13331182041388989</v>
      </c>
      <c r="K3843" s="9" t="s">
        <v>5316</v>
      </c>
    </row>
    <row r="3844" spans="1:11" x14ac:dyDescent="0.2">
      <c r="A3844" s="9" t="s">
        <v>39</v>
      </c>
      <c r="B3844" s="9" t="s">
        <v>3341</v>
      </c>
      <c r="C3844" s="9"/>
      <c r="D3844" s="9" t="s">
        <v>76</v>
      </c>
      <c r="E3844" s="38">
        <v>25000</v>
      </c>
      <c r="F3844" s="39">
        <v>9548015</v>
      </c>
      <c r="G3844" s="40">
        <v>381.92059999999998</v>
      </c>
      <c r="H3844" s="41">
        <v>-7.261346082614914E-2</v>
      </c>
      <c r="I3844" s="40">
        <v>43.11</v>
      </c>
      <c r="J3844" s="41">
        <v>0.11287686498188371</v>
      </c>
      <c r="K3844" s="9" t="s">
        <v>5317</v>
      </c>
    </row>
    <row r="3845" spans="1:11" x14ac:dyDescent="0.2">
      <c r="A3845" s="9" t="s">
        <v>39</v>
      </c>
      <c r="B3845" s="9" t="s">
        <v>1501</v>
      </c>
      <c r="C3845" s="9"/>
      <c r="D3845" s="9" t="s">
        <v>85</v>
      </c>
      <c r="E3845" s="38">
        <v>11658</v>
      </c>
      <c r="F3845" s="39">
        <v>0</v>
      </c>
      <c r="G3845" s="40"/>
      <c r="H3845" s="41"/>
      <c r="I3845" s="40">
        <v>34.85</v>
      </c>
      <c r="J3845" s="41"/>
      <c r="K3845" s="9" t="s">
        <v>5318</v>
      </c>
    </row>
    <row r="3846" spans="1:11" x14ac:dyDescent="0.2">
      <c r="A3846" s="9" t="s">
        <v>39</v>
      </c>
      <c r="B3846" s="9" t="s">
        <v>5319</v>
      </c>
      <c r="C3846" s="9"/>
      <c r="D3846" s="9" t="s">
        <v>83</v>
      </c>
      <c r="E3846" s="38">
        <v>1203</v>
      </c>
      <c r="F3846" s="39">
        <v>1159325</v>
      </c>
      <c r="G3846" s="40">
        <v>963.69492934330844</v>
      </c>
      <c r="H3846" s="41">
        <v>0.14034882324384829</v>
      </c>
      <c r="I3846" s="40">
        <v>71.209999999999994</v>
      </c>
      <c r="J3846" s="41">
        <v>7.389267892954951E-2</v>
      </c>
      <c r="K3846" s="9" t="s">
        <v>5320</v>
      </c>
    </row>
    <row r="3847" spans="1:11" x14ac:dyDescent="0.2">
      <c r="A3847" s="9" t="s">
        <v>39</v>
      </c>
      <c r="B3847" s="9" t="s">
        <v>275</v>
      </c>
      <c r="C3847" s="9"/>
      <c r="D3847" s="9" t="s">
        <v>83</v>
      </c>
      <c r="E3847" s="38">
        <v>3909</v>
      </c>
      <c r="F3847" s="39">
        <v>2803078</v>
      </c>
      <c r="G3847" s="40">
        <v>717.08314146840621</v>
      </c>
      <c r="H3847" s="41"/>
      <c r="I3847" s="40">
        <v>50.07</v>
      </c>
      <c r="J3847" s="41">
        <v>6.9824539310001363E-2</v>
      </c>
      <c r="K3847" s="9" t="s">
        <v>5321</v>
      </c>
    </row>
    <row r="3848" spans="1:11" x14ac:dyDescent="0.2">
      <c r="A3848" s="9" t="s">
        <v>39</v>
      </c>
      <c r="B3848" s="9" t="s">
        <v>279</v>
      </c>
      <c r="C3848" s="9"/>
      <c r="D3848" s="9" t="s">
        <v>76</v>
      </c>
      <c r="E3848" s="38">
        <v>5500</v>
      </c>
      <c r="F3848" s="39">
        <v>1534875</v>
      </c>
      <c r="G3848" s="40">
        <v>279.06818181818181</v>
      </c>
      <c r="H3848" s="41">
        <v>0.13937725482973581</v>
      </c>
      <c r="I3848" s="40">
        <v>37.9</v>
      </c>
      <c r="J3848" s="41">
        <v>0.1358091049759752</v>
      </c>
      <c r="K3848" s="9" t="s">
        <v>5322</v>
      </c>
    </row>
    <row r="3849" spans="1:11" x14ac:dyDescent="0.2">
      <c r="A3849" s="9" t="s">
        <v>39</v>
      </c>
      <c r="B3849" s="9" t="s">
        <v>494</v>
      </c>
      <c r="C3849" s="9"/>
      <c r="D3849" s="9" t="s">
        <v>85</v>
      </c>
      <c r="E3849" s="38">
        <v>1428</v>
      </c>
      <c r="F3849" s="39">
        <v>1107495</v>
      </c>
      <c r="G3849" s="40">
        <v>775.55672268907563</v>
      </c>
      <c r="H3849" s="41">
        <v>-0.1006727177326515</v>
      </c>
      <c r="I3849" s="40">
        <v>56.570000000000007</v>
      </c>
      <c r="J3849" s="41">
        <v>7.294115097585091E-2</v>
      </c>
      <c r="K3849" s="9" t="s">
        <v>5323</v>
      </c>
    </row>
    <row r="3850" spans="1:11" x14ac:dyDescent="0.2">
      <c r="A3850" s="9" t="s">
        <v>39</v>
      </c>
      <c r="B3850" s="9" t="s">
        <v>285</v>
      </c>
      <c r="C3850" s="9"/>
      <c r="D3850" s="9" t="s">
        <v>76</v>
      </c>
      <c r="E3850" s="38">
        <v>5463</v>
      </c>
      <c r="F3850" s="39"/>
      <c r="G3850" s="40"/>
      <c r="H3850" s="41"/>
      <c r="I3850" s="40">
        <v>10.9</v>
      </c>
      <c r="J3850" s="41"/>
      <c r="K3850" s="9" t="s">
        <v>5324</v>
      </c>
    </row>
    <row r="3851" spans="1:11" x14ac:dyDescent="0.2">
      <c r="A3851" s="9" t="s">
        <v>39</v>
      </c>
      <c r="B3851" s="9" t="s">
        <v>2695</v>
      </c>
      <c r="C3851" s="9"/>
      <c r="D3851" s="9" t="s">
        <v>83</v>
      </c>
      <c r="E3851" s="38">
        <v>3595</v>
      </c>
      <c r="F3851" s="39">
        <v>2971640</v>
      </c>
      <c r="G3851" s="40">
        <v>826.60361613351881</v>
      </c>
      <c r="H3851" s="41"/>
      <c r="I3851" s="40">
        <v>50.51</v>
      </c>
      <c r="J3851" s="41">
        <v>6.1105467014847023E-2</v>
      </c>
      <c r="K3851" s="9" t="s">
        <v>5325</v>
      </c>
    </row>
    <row r="3852" spans="1:11" x14ac:dyDescent="0.2">
      <c r="A3852" s="9" t="s">
        <v>39</v>
      </c>
      <c r="B3852" s="9" t="s">
        <v>5326</v>
      </c>
      <c r="C3852" s="9"/>
      <c r="D3852" s="9" t="s">
        <v>80</v>
      </c>
      <c r="E3852" s="38">
        <v>1513</v>
      </c>
      <c r="F3852" s="39">
        <v>1613261</v>
      </c>
      <c r="G3852" s="40">
        <v>1066.266358228685</v>
      </c>
      <c r="H3852" s="41">
        <v>2.6668487132585472E-2</v>
      </c>
      <c r="I3852" s="40">
        <v>108.64</v>
      </c>
      <c r="J3852" s="41">
        <v>0.1018882375511464</v>
      </c>
      <c r="K3852" s="9" t="s">
        <v>5327</v>
      </c>
    </row>
    <row r="3853" spans="1:11" x14ac:dyDescent="0.2">
      <c r="A3853" s="9" t="s">
        <v>39</v>
      </c>
      <c r="B3853" s="9" t="s">
        <v>5328</v>
      </c>
      <c r="C3853" s="9"/>
      <c r="D3853" s="9" t="s">
        <v>83</v>
      </c>
      <c r="E3853" s="38">
        <v>2262</v>
      </c>
      <c r="F3853" s="39">
        <v>2193605</v>
      </c>
      <c r="G3853" s="40">
        <v>969.76348364279397</v>
      </c>
      <c r="H3853" s="41">
        <v>-9.0369665267929916E-3</v>
      </c>
      <c r="I3853" s="40">
        <v>52.54</v>
      </c>
      <c r="J3853" s="41">
        <v>5.4178158784284322E-2</v>
      </c>
      <c r="K3853" s="9" t="s">
        <v>5329</v>
      </c>
    </row>
    <row r="3854" spans="1:11" x14ac:dyDescent="0.2">
      <c r="A3854" s="9" t="s">
        <v>39</v>
      </c>
      <c r="B3854" s="9" t="s">
        <v>5330</v>
      </c>
      <c r="C3854" s="9"/>
      <c r="D3854" s="9" t="s">
        <v>77</v>
      </c>
      <c r="E3854" s="38">
        <v>4344</v>
      </c>
      <c r="F3854" s="39">
        <v>3470091</v>
      </c>
      <c r="G3854" s="40">
        <v>798.8238950276243</v>
      </c>
      <c r="H3854" s="41">
        <v>3.2771343970522629E-2</v>
      </c>
      <c r="I3854" s="40">
        <v>54</v>
      </c>
      <c r="J3854" s="41">
        <v>6.7599379958623557E-2</v>
      </c>
      <c r="K3854" s="9" t="s">
        <v>5331</v>
      </c>
    </row>
    <row r="3855" spans="1:11" x14ac:dyDescent="0.2">
      <c r="A3855" s="9" t="s">
        <v>39</v>
      </c>
      <c r="B3855" s="9" t="s">
        <v>3135</v>
      </c>
      <c r="C3855" s="9"/>
      <c r="D3855" s="9" t="s">
        <v>85</v>
      </c>
      <c r="E3855" s="38">
        <v>5713</v>
      </c>
      <c r="F3855" s="39">
        <v>649201</v>
      </c>
      <c r="G3855" s="40">
        <v>113.6357430421845</v>
      </c>
      <c r="H3855" s="41"/>
      <c r="I3855" s="40">
        <v>52.840000000000011</v>
      </c>
      <c r="J3855" s="41">
        <v>0.46499453944155977</v>
      </c>
      <c r="K3855" s="9" t="s">
        <v>5332</v>
      </c>
    </row>
    <row r="3856" spans="1:11" x14ac:dyDescent="0.2">
      <c r="A3856" s="9" t="s">
        <v>39</v>
      </c>
      <c r="B3856" s="9" t="s">
        <v>1149</v>
      </c>
      <c r="C3856" s="9"/>
      <c r="D3856" s="9" t="s">
        <v>76</v>
      </c>
      <c r="E3856" s="38">
        <v>20748</v>
      </c>
      <c r="F3856" s="39">
        <v>5532597</v>
      </c>
      <c r="G3856" s="40">
        <v>266.65688259109311</v>
      </c>
      <c r="H3856" s="41">
        <v>-1.117465388881978E-2</v>
      </c>
      <c r="I3856" s="40">
        <v>19.600000000000001</v>
      </c>
      <c r="J3856" s="41">
        <v>7.3502696834777601E-2</v>
      </c>
      <c r="K3856" s="9" t="s">
        <v>5333</v>
      </c>
    </row>
    <row r="3857" spans="1:11" x14ac:dyDescent="0.2">
      <c r="A3857" s="9" t="s">
        <v>39</v>
      </c>
      <c r="B3857" s="9" t="s">
        <v>5334</v>
      </c>
      <c r="C3857" s="9"/>
      <c r="D3857" s="9" t="s">
        <v>81</v>
      </c>
      <c r="E3857" s="38">
        <v>1204</v>
      </c>
      <c r="F3857" s="39">
        <v>1042591</v>
      </c>
      <c r="G3857" s="40">
        <v>865.93936877076408</v>
      </c>
      <c r="H3857" s="41">
        <v>-9.0507415270094052E-2</v>
      </c>
      <c r="I3857" s="40">
        <v>67.69</v>
      </c>
      <c r="J3857" s="41">
        <v>7.8169445161141798E-2</v>
      </c>
      <c r="K3857" s="9" t="s">
        <v>5335</v>
      </c>
    </row>
    <row r="3858" spans="1:11" x14ac:dyDescent="0.2">
      <c r="A3858" s="9" t="s">
        <v>39</v>
      </c>
      <c r="B3858" s="9" t="s">
        <v>323</v>
      </c>
      <c r="C3858" s="9"/>
      <c r="D3858" s="9" t="s">
        <v>81</v>
      </c>
      <c r="E3858" s="38">
        <v>4123</v>
      </c>
      <c r="F3858" s="39">
        <v>3055204</v>
      </c>
      <c r="G3858" s="40">
        <v>741.0147950521465</v>
      </c>
      <c r="H3858" s="41">
        <v>-0.12446145946649639</v>
      </c>
      <c r="I3858" s="40">
        <v>50.77</v>
      </c>
      <c r="J3858" s="41">
        <v>6.8514151591841335E-2</v>
      </c>
      <c r="K3858" s="9" t="s">
        <v>5336</v>
      </c>
    </row>
    <row r="3859" spans="1:11" x14ac:dyDescent="0.2">
      <c r="A3859" s="9" t="s">
        <v>39</v>
      </c>
      <c r="B3859" s="9" t="s">
        <v>607</v>
      </c>
      <c r="C3859" s="9"/>
      <c r="D3859" s="9" t="s">
        <v>85</v>
      </c>
      <c r="E3859" s="38">
        <v>10010</v>
      </c>
      <c r="F3859" s="39">
        <v>3336823</v>
      </c>
      <c r="G3859" s="40">
        <v>333.34895104895111</v>
      </c>
      <c r="H3859" s="41">
        <v>-0.15570456104720079</v>
      </c>
      <c r="I3859" s="40">
        <v>26.67</v>
      </c>
      <c r="J3859" s="41">
        <v>8.0006251455351396E-2</v>
      </c>
      <c r="K3859" s="9" t="s">
        <v>5337</v>
      </c>
    </row>
    <row r="3860" spans="1:11" x14ac:dyDescent="0.2">
      <c r="A3860" s="9" t="s">
        <v>39</v>
      </c>
      <c r="B3860" s="9" t="s">
        <v>5338</v>
      </c>
      <c r="C3860" s="9"/>
      <c r="D3860" s="9" t="s">
        <v>81</v>
      </c>
      <c r="E3860" s="38">
        <v>6464</v>
      </c>
      <c r="F3860" s="39">
        <v>3776596</v>
      </c>
      <c r="G3860" s="40">
        <v>584.25061881188117</v>
      </c>
      <c r="H3860" s="41">
        <v>4.5895298184421417E-2</v>
      </c>
      <c r="I3860" s="40">
        <v>41.54999999999999</v>
      </c>
      <c r="J3860" s="41">
        <v>7.1116741107600592E-2</v>
      </c>
      <c r="K3860" s="9" t="s">
        <v>5339</v>
      </c>
    </row>
    <row r="3861" spans="1:11" x14ac:dyDescent="0.2">
      <c r="A3861" s="9" t="s">
        <v>39</v>
      </c>
      <c r="B3861" s="9" t="s">
        <v>5340</v>
      </c>
      <c r="C3861" s="9"/>
      <c r="D3861" s="9" t="s">
        <v>81</v>
      </c>
      <c r="E3861" s="38">
        <v>6752</v>
      </c>
      <c r="F3861" s="39">
        <v>4239986</v>
      </c>
      <c r="G3861" s="40">
        <v>627.9600118483412</v>
      </c>
      <c r="H3861" s="41">
        <v>-3.8330809470581329E-3</v>
      </c>
      <c r="I3861" s="40">
        <v>51.7</v>
      </c>
      <c r="J3861" s="41">
        <v>8.2330083165368953E-2</v>
      </c>
      <c r="K3861" s="9" t="s">
        <v>5341</v>
      </c>
    </row>
    <row r="3862" spans="1:11" x14ac:dyDescent="0.2">
      <c r="A3862" s="9" t="s">
        <v>39</v>
      </c>
      <c r="B3862" s="9" t="s">
        <v>343</v>
      </c>
      <c r="C3862" s="9"/>
      <c r="D3862" s="9" t="s">
        <v>79</v>
      </c>
      <c r="E3862" s="38">
        <v>3945</v>
      </c>
      <c r="F3862" s="39">
        <v>5306730</v>
      </c>
      <c r="G3862" s="40">
        <v>1345.1787072243351</v>
      </c>
      <c r="H3862" s="41">
        <v>7.7217394031305328E-2</v>
      </c>
      <c r="I3862" s="40">
        <v>86.53</v>
      </c>
      <c r="J3862" s="41">
        <v>6.4326025631603639E-2</v>
      </c>
      <c r="K3862" s="9" t="s">
        <v>5342</v>
      </c>
    </row>
    <row r="3863" spans="1:11" x14ac:dyDescent="0.2">
      <c r="A3863" s="9" t="s">
        <v>39</v>
      </c>
      <c r="B3863" s="9" t="s">
        <v>351</v>
      </c>
      <c r="C3863" s="9"/>
      <c r="D3863" s="9" t="s">
        <v>85</v>
      </c>
      <c r="E3863" s="38">
        <v>2594</v>
      </c>
      <c r="F3863" s="39">
        <v>1687287</v>
      </c>
      <c r="G3863" s="40">
        <v>650.45759444872783</v>
      </c>
      <c r="H3863" s="41">
        <v>-0.2033464004922195</v>
      </c>
      <c r="I3863" s="40">
        <v>67.44</v>
      </c>
      <c r="J3863" s="41">
        <v>0.1036808557168994</v>
      </c>
      <c r="K3863" s="9" t="s">
        <v>5343</v>
      </c>
    </row>
    <row r="3864" spans="1:11" x14ac:dyDescent="0.2">
      <c r="A3864" s="9" t="s">
        <v>39</v>
      </c>
      <c r="B3864" s="9" t="s">
        <v>353</v>
      </c>
      <c r="C3864" s="9"/>
      <c r="D3864" s="9" t="s">
        <v>76</v>
      </c>
      <c r="E3864" s="38">
        <v>2261</v>
      </c>
      <c r="F3864" s="39">
        <v>819643</v>
      </c>
      <c r="G3864" s="40">
        <v>362.51348960636892</v>
      </c>
      <c r="H3864" s="41">
        <v>-8.5503002490610103E-2</v>
      </c>
      <c r="I3864" s="40">
        <v>72.73</v>
      </c>
      <c r="J3864" s="41">
        <v>0.20062701688418011</v>
      </c>
      <c r="K3864" s="9" t="s">
        <v>5344</v>
      </c>
    </row>
    <row r="3865" spans="1:11" x14ac:dyDescent="0.2">
      <c r="A3865" s="9" t="s">
        <v>39</v>
      </c>
      <c r="B3865" s="9" t="s">
        <v>5345</v>
      </c>
      <c r="C3865" s="9"/>
      <c r="D3865" s="9" t="s">
        <v>81</v>
      </c>
      <c r="E3865" s="38">
        <v>3905</v>
      </c>
      <c r="F3865" s="39">
        <v>1168417</v>
      </c>
      <c r="G3865" s="40">
        <v>299.21049935979511</v>
      </c>
      <c r="H3865" s="41">
        <v>-4.1934510213404677E-2</v>
      </c>
      <c r="I3865" s="40">
        <v>23.94</v>
      </c>
      <c r="J3865" s="41">
        <v>8.0010561297892802E-2</v>
      </c>
      <c r="K3865" s="9" t="s">
        <v>5346</v>
      </c>
    </row>
    <row r="3866" spans="1:11" x14ac:dyDescent="0.2">
      <c r="A3866" s="9" t="s">
        <v>39</v>
      </c>
      <c r="B3866" s="9" t="s">
        <v>357</v>
      </c>
      <c r="C3866" s="9"/>
      <c r="D3866" s="9" t="s">
        <v>76</v>
      </c>
      <c r="E3866" s="38">
        <v>800</v>
      </c>
      <c r="F3866" s="39">
        <v>405379</v>
      </c>
      <c r="G3866" s="40">
        <v>506.72375</v>
      </c>
      <c r="H3866" s="41"/>
      <c r="I3866" s="40">
        <v>63.07</v>
      </c>
      <c r="J3866" s="41">
        <v>0.1244662402344473</v>
      </c>
      <c r="K3866" s="9" t="s">
        <v>5347</v>
      </c>
    </row>
    <row r="3867" spans="1:11" x14ac:dyDescent="0.2">
      <c r="A3867" s="9" t="s">
        <v>39</v>
      </c>
      <c r="B3867" s="9" t="s">
        <v>545</v>
      </c>
      <c r="C3867" s="9"/>
      <c r="D3867" s="9" t="s">
        <v>76</v>
      </c>
      <c r="E3867" s="38">
        <v>6500</v>
      </c>
      <c r="F3867" s="39">
        <v>1167027</v>
      </c>
      <c r="G3867" s="40">
        <v>179.5426153846154</v>
      </c>
      <c r="H3867" s="41">
        <v>1.6200551947295361E-2</v>
      </c>
      <c r="I3867" s="40">
        <v>52.59</v>
      </c>
      <c r="J3867" s="41">
        <v>0.29291096092892449</v>
      </c>
      <c r="K3867" s="9" t="s">
        <v>5348</v>
      </c>
    </row>
    <row r="3868" spans="1:11" x14ac:dyDescent="0.2">
      <c r="A3868" s="9" t="s">
        <v>39</v>
      </c>
      <c r="B3868" s="9" t="s">
        <v>832</v>
      </c>
      <c r="C3868" s="9"/>
      <c r="D3868" s="9" t="s">
        <v>81</v>
      </c>
      <c r="E3868" s="38">
        <v>4665</v>
      </c>
      <c r="F3868" s="39">
        <v>2234444</v>
      </c>
      <c r="G3868" s="40">
        <v>478.98049303322608</v>
      </c>
      <c r="H3868" s="41">
        <v>-3.8819000293181822E-3</v>
      </c>
      <c r="I3868" s="40">
        <v>54.03</v>
      </c>
      <c r="J3868" s="41">
        <v>0.11280208857326481</v>
      </c>
      <c r="K3868" s="9" t="s">
        <v>5349</v>
      </c>
    </row>
    <row r="3869" spans="1:11" x14ac:dyDescent="0.2">
      <c r="A3869" s="9" t="s">
        <v>39</v>
      </c>
      <c r="B3869" s="9" t="s">
        <v>5350</v>
      </c>
      <c r="C3869" s="9"/>
      <c r="D3869" s="9" t="s">
        <v>85</v>
      </c>
      <c r="E3869" s="38">
        <v>12819</v>
      </c>
      <c r="F3869" s="39"/>
      <c r="G3869" s="40"/>
      <c r="H3869" s="41"/>
      <c r="I3869" s="40">
        <v>26</v>
      </c>
      <c r="J3869" s="41"/>
      <c r="K3869" s="9" t="s">
        <v>5351</v>
      </c>
    </row>
    <row r="3870" spans="1:11" x14ac:dyDescent="0.2">
      <c r="A3870" s="9" t="s">
        <v>39</v>
      </c>
      <c r="B3870" s="9" t="s">
        <v>5352</v>
      </c>
      <c r="C3870" s="9"/>
      <c r="D3870" s="9" t="s">
        <v>82</v>
      </c>
      <c r="E3870" s="38">
        <v>8556</v>
      </c>
      <c r="F3870" s="39">
        <v>3191105</v>
      </c>
      <c r="G3870" s="40">
        <v>372.96692379616638</v>
      </c>
      <c r="H3870" s="41">
        <v>4.8015766978597108E-2</v>
      </c>
      <c r="I3870" s="40">
        <v>32.26</v>
      </c>
      <c r="J3870" s="41">
        <v>8.6495605754119659E-2</v>
      </c>
      <c r="K3870" s="9" t="s">
        <v>5353</v>
      </c>
    </row>
    <row r="3871" spans="1:11" x14ac:dyDescent="0.2">
      <c r="A3871" s="9" t="s">
        <v>39</v>
      </c>
      <c r="B3871" s="9" t="s">
        <v>5354</v>
      </c>
      <c r="C3871" s="9"/>
      <c r="D3871" s="9" t="s">
        <v>77</v>
      </c>
      <c r="E3871" s="38">
        <v>2238</v>
      </c>
      <c r="F3871" s="39">
        <v>459675</v>
      </c>
      <c r="G3871" s="40">
        <v>205.3954423592493</v>
      </c>
      <c r="H3871" s="41">
        <v>-0.12994946419763351</v>
      </c>
      <c r="I3871" s="40">
        <v>46.42</v>
      </c>
      <c r="J3871" s="41">
        <v>0.22600306738456519</v>
      </c>
      <c r="K3871" s="9" t="s">
        <v>5355</v>
      </c>
    </row>
    <row r="3872" spans="1:11" x14ac:dyDescent="0.2">
      <c r="A3872" s="9" t="s">
        <v>39</v>
      </c>
      <c r="B3872" s="9" t="s">
        <v>571</v>
      </c>
      <c r="C3872" s="9"/>
      <c r="D3872" s="9" t="s">
        <v>76</v>
      </c>
      <c r="E3872" s="38">
        <v>2100</v>
      </c>
      <c r="F3872" s="39">
        <v>636674</v>
      </c>
      <c r="G3872" s="40">
        <v>303.17809523809518</v>
      </c>
      <c r="H3872" s="41">
        <v>-0.11035178235772911</v>
      </c>
      <c r="I3872" s="40">
        <v>52</v>
      </c>
      <c r="J3872" s="41">
        <v>0.1715163490263463</v>
      </c>
      <c r="K3872" s="9" t="s">
        <v>5356</v>
      </c>
    </row>
    <row r="3873" spans="1:11" x14ac:dyDescent="0.2">
      <c r="A3873" s="9" t="s">
        <v>39</v>
      </c>
      <c r="B3873" s="9" t="s">
        <v>644</v>
      </c>
      <c r="C3873" s="9"/>
      <c r="D3873" s="9" t="s">
        <v>82</v>
      </c>
      <c r="E3873" s="38">
        <v>5555</v>
      </c>
      <c r="F3873" s="39">
        <v>2901617</v>
      </c>
      <c r="G3873" s="40">
        <v>522.34329432943298</v>
      </c>
      <c r="H3873" s="41">
        <v>8.9533928297325482E-2</v>
      </c>
      <c r="I3873" s="40">
        <v>39.950000000000003</v>
      </c>
      <c r="J3873" s="41">
        <v>7.648226833520759E-2</v>
      </c>
      <c r="K3873" s="9" t="s">
        <v>5357</v>
      </c>
    </row>
    <row r="3874" spans="1:11" x14ac:dyDescent="0.2">
      <c r="A3874" s="9" t="s">
        <v>61</v>
      </c>
      <c r="B3874" s="9" t="s">
        <v>166</v>
      </c>
      <c r="C3874" s="9"/>
      <c r="D3874" s="9" t="s">
        <v>76</v>
      </c>
      <c r="E3874" s="38">
        <v>3000</v>
      </c>
      <c r="F3874" s="39">
        <v>635336.07999999996</v>
      </c>
      <c r="G3874" s="40">
        <v>211.77869333333331</v>
      </c>
      <c r="H3874" s="41"/>
      <c r="I3874" s="40">
        <v>25.4134432</v>
      </c>
      <c r="J3874" s="41">
        <v>0.12</v>
      </c>
      <c r="K3874" s="9" t="s">
        <v>5358</v>
      </c>
    </row>
    <row r="3875" spans="1:11" x14ac:dyDescent="0.2">
      <c r="A3875" s="9" t="s">
        <v>61</v>
      </c>
      <c r="B3875" s="9" t="s">
        <v>4625</v>
      </c>
      <c r="C3875" s="9"/>
      <c r="D3875" s="9" t="s">
        <v>76</v>
      </c>
      <c r="E3875" s="38">
        <v>8912</v>
      </c>
      <c r="F3875" s="39">
        <v>4440508.79</v>
      </c>
      <c r="G3875" s="40">
        <v>498.26175830341111</v>
      </c>
      <c r="H3875" s="41">
        <v>-5.1489385852535888E-2</v>
      </c>
      <c r="I3875" s="40">
        <v>60.44605009816744</v>
      </c>
      <c r="J3875" s="41">
        <v>0.1213138457665047</v>
      </c>
      <c r="K3875" s="9" t="s">
        <v>5359</v>
      </c>
    </row>
    <row r="3876" spans="1:11" x14ac:dyDescent="0.2">
      <c r="A3876" s="9" t="s">
        <v>61</v>
      </c>
      <c r="B3876" s="9" t="s">
        <v>168</v>
      </c>
      <c r="C3876" s="9"/>
      <c r="D3876" s="9" t="s">
        <v>77</v>
      </c>
      <c r="E3876" s="38">
        <v>1960</v>
      </c>
      <c r="F3876" s="39">
        <v>745440.63</v>
      </c>
      <c r="G3876" s="40">
        <v>380.32685204081628</v>
      </c>
      <c r="H3876" s="41">
        <v>-0.10320155073995629</v>
      </c>
      <c r="I3876" s="40">
        <v>124.4469933101835</v>
      </c>
      <c r="J3876" s="41">
        <v>0.3272106416951806</v>
      </c>
      <c r="K3876" s="9" t="s">
        <v>5360</v>
      </c>
    </row>
    <row r="3877" spans="1:11" x14ac:dyDescent="0.2">
      <c r="A3877" s="9" t="s">
        <v>61</v>
      </c>
      <c r="B3877" s="9" t="s">
        <v>169</v>
      </c>
      <c r="C3877" s="9"/>
      <c r="D3877" s="9" t="s">
        <v>76</v>
      </c>
      <c r="E3877" s="38">
        <v>9065</v>
      </c>
      <c r="F3877" s="39">
        <v>3465649.36</v>
      </c>
      <c r="G3877" s="40">
        <v>382.31101599558741</v>
      </c>
      <c r="H3877" s="41">
        <v>-0.1155256559811302</v>
      </c>
      <c r="I3877" s="40">
        <v>86.35112190495542</v>
      </c>
      <c r="J3877" s="41">
        <v>0.2258661620829468</v>
      </c>
      <c r="K3877" s="9" t="s">
        <v>5361</v>
      </c>
    </row>
    <row r="3878" spans="1:11" x14ac:dyDescent="0.2">
      <c r="A3878" s="9" t="s">
        <v>61</v>
      </c>
      <c r="B3878" s="9" t="s">
        <v>582</v>
      </c>
      <c r="C3878" s="9"/>
      <c r="D3878" s="9" t="s">
        <v>76</v>
      </c>
      <c r="E3878" s="38">
        <v>10490</v>
      </c>
      <c r="F3878" s="39">
        <v>2630879</v>
      </c>
      <c r="G3878" s="40">
        <v>250.79876072449949</v>
      </c>
      <c r="H3878" s="41">
        <v>-2.2918850034124531E-2</v>
      </c>
      <c r="I3878" s="40">
        <v>25.862722592945669</v>
      </c>
      <c r="J3878" s="41">
        <v>0.10312141303343859</v>
      </c>
      <c r="K3878" s="9" t="s">
        <v>5362</v>
      </c>
    </row>
    <row r="3879" spans="1:11" x14ac:dyDescent="0.2">
      <c r="A3879" s="9" t="s">
        <v>61</v>
      </c>
      <c r="B3879" s="9" t="s">
        <v>87</v>
      </c>
      <c r="C3879" s="9"/>
      <c r="D3879" s="9" t="s">
        <v>87</v>
      </c>
      <c r="E3879" s="38">
        <v>8331</v>
      </c>
      <c r="F3879" s="39">
        <v>51036320.590000004</v>
      </c>
      <c r="G3879" s="40">
        <v>6126.0737714560082</v>
      </c>
      <c r="H3879" s="41">
        <v>-7.5258748820476076E-2</v>
      </c>
      <c r="I3879" s="40">
        <v>57.015959668707239</v>
      </c>
      <c r="J3879" s="41">
        <v>9.3070964855775859E-3</v>
      </c>
      <c r="K3879" s="9" t="s">
        <v>5363</v>
      </c>
    </row>
    <row r="3880" spans="1:11" x14ac:dyDescent="0.2">
      <c r="A3880" s="9" t="s">
        <v>61</v>
      </c>
      <c r="B3880" s="9" t="s">
        <v>5364</v>
      </c>
      <c r="C3880" s="9"/>
      <c r="D3880" s="9" t="s">
        <v>78</v>
      </c>
      <c r="E3880" s="38">
        <v>1322</v>
      </c>
      <c r="F3880" s="39">
        <v>722852</v>
      </c>
      <c r="G3880" s="40">
        <v>546.78668683812407</v>
      </c>
      <c r="H3880" s="41">
        <v>5.4688660614378569E-2</v>
      </c>
      <c r="I3880" s="40">
        <v>130.94103338698551</v>
      </c>
      <c r="J3880" s="41">
        <v>0.23947370435109089</v>
      </c>
      <c r="K3880" s="9" t="s">
        <v>5365</v>
      </c>
    </row>
    <row r="3881" spans="1:11" x14ac:dyDescent="0.2">
      <c r="A3881" s="9" t="s">
        <v>61</v>
      </c>
      <c r="B3881" s="9" t="s">
        <v>171</v>
      </c>
      <c r="C3881" s="9"/>
      <c r="D3881" s="9" t="s">
        <v>84</v>
      </c>
      <c r="E3881" s="38">
        <v>1970</v>
      </c>
      <c r="F3881" s="39">
        <v>0</v>
      </c>
      <c r="G3881" s="40"/>
      <c r="H3881" s="41"/>
      <c r="I3881" s="40">
        <v>78.517547765581938</v>
      </c>
      <c r="J3881" s="41"/>
      <c r="K3881" s="9" t="s">
        <v>5366</v>
      </c>
    </row>
    <row r="3882" spans="1:11" x14ac:dyDescent="0.2">
      <c r="A3882" s="9" t="s">
        <v>61</v>
      </c>
      <c r="B3882" s="9" t="s">
        <v>173</v>
      </c>
      <c r="C3882" s="9"/>
      <c r="D3882" s="9" t="s">
        <v>80</v>
      </c>
      <c r="E3882" s="38">
        <v>530</v>
      </c>
      <c r="F3882" s="39">
        <v>576422.51</v>
      </c>
      <c r="G3882" s="40">
        <v>1087.5896415094339</v>
      </c>
      <c r="H3882" s="41">
        <v>-3.7862791875354553E-2</v>
      </c>
      <c r="I3882" s="40">
        <v>337.20212772660813</v>
      </c>
      <c r="J3882" s="41">
        <v>0.31004536532603888</v>
      </c>
      <c r="K3882" s="9" t="s">
        <v>5367</v>
      </c>
    </row>
    <row r="3883" spans="1:11" x14ac:dyDescent="0.2">
      <c r="A3883" s="9" t="s">
        <v>61</v>
      </c>
      <c r="B3883" s="9" t="s">
        <v>661</v>
      </c>
      <c r="C3883" s="9"/>
      <c r="D3883" s="9" t="s">
        <v>76</v>
      </c>
      <c r="E3883" s="38">
        <v>4924</v>
      </c>
      <c r="F3883" s="39">
        <v>1174216.1100000001</v>
      </c>
      <c r="G3883" s="40">
        <v>238.4679346060114</v>
      </c>
      <c r="H3883" s="41">
        <v>9.9462386638699829E-3</v>
      </c>
      <c r="I3883" s="40">
        <v>133.5599781394136</v>
      </c>
      <c r="J3883" s="41">
        <v>0.56007520826679213</v>
      </c>
      <c r="K3883" s="9" t="s">
        <v>5368</v>
      </c>
    </row>
    <row r="3884" spans="1:11" x14ac:dyDescent="0.2">
      <c r="A3884" s="9" t="s">
        <v>61</v>
      </c>
      <c r="B3884" s="9" t="s">
        <v>179</v>
      </c>
      <c r="C3884" s="9"/>
      <c r="D3884" s="9" t="s">
        <v>79</v>
      </c>
      <c r="E3884" s="38">
        <v>4322</v>
      </c>
      <c r="F3884" s="39">
        <v>3892701</v>
      </c>
      <c r="G3884" s="40">
        <v>900.67121702915313</v>
      </c>
      <c r="H3884" s="41">
        <v>-6.3524272172963636E-2</v>
      </c>
      <c r="I3884" s="40">
        <v>110.61006540084909</v>
      </c>
      <c r="J3884" s="41">
        <v>0.1228084825067401</v>
      </c>
      <c r="K3884" s="9" t="s">
        <v>5369</v>
      </c>
    </row>
    <row r="3885" spans="1:11" x14ac:dyDescent="0.2">
      <c r="A3885" s="9" t="s">
        <v>61</v>
      </c>
      <c r="B3885" s="9" t="s">
        <v>422</v>
      </c>
      <c r="C3885" s="9"/>
      <c r="D3885" s="9" t="s">
        <v>83</v>
      </c>
      <c r="E3885" s="38">
        <v>662</v>
      </c>
      <c r="F3885" s="39">
        <v>244493</v>
      </c>
      <c r="G3885" s="40">
        <v>369.32477341389728</v>
      </c>
      <c r="H3885" s="41"/>
      <c r="I3885" s="40">
        <v>183.29112402142661</v>
      </c>
      <c r="J3885" s="41">
        <v>0.49628710884231619</v>
      </c>
      <c r="K3885" s="9" t="s">
        <v>5370</v>
      </c>
    </row>
    <row r="3886" spans="1:11" x14ac:dyDescent="0.2">
      <c r="A3886" s="9" t="s">
        <v>61</v>
      </c>
      <c r="B3886" s="9" t="s">
        <v>193</v>
      </c>
      <c r="C3886" s="9"/>
      <c r="D3886" s="9" t="s">
        <v>82</v>
      </c>
      <c r="E3886" s="38">
        <v>2662</v>
      </c>
      <c r="F3886" s="39">
        <v>755857.66</v>
      </c>
      <c r="G3886" s="40">
        <v>283.94352366641618</v>
      </c>
      <c r="H3886" s="41">
        <v>4.5510172254067532E-2</v>
      </c>
      <c r="I3886" s="40">
        <v>27.09831930879038</v>
      </c>
      <c r="J3886" s="41">
        <v>9.5435595638469803E-2</v>
      </c>
      <c r="K3886" s="9" t="s">
        <v>5371</v>
      </c>
    </row>
    <row r="3887" spans="1:11" x14ac:dyDescent="0.2">
      <c r="A3887" s="9" t="s">
        <v>61</v>
      </c>
      <c r="B3887" s="9" t="s">
        <v>2124</v>
      </c>
      <c r="C3887" s="9"/>
      <c r="D3887" s="9" t="s">
        <v>81</v>
      </c>
      <c r="E3887" s="38">
        <v>586</v>
      </c>
      <c r="F3887" s="39">
        <v>552877.93200000003</v>
      </c>
      <c r="G3887" s="40">
        <v>943.47769965870316</v>
      </c>
      <c r="H3887" s="41"/>
      <c r="I3887" s="40">
        <v>211.79175011053491</v>
      </c>
      <c r="J3887" s="41">
        <v>0.22447986866796019</v>
      </c>
      <c r="K3887" s="9" t="s">
        <v>5372</v>
      </c>
    </row>
    <row r="3888" spans="1:11" x14ac:dyDescent="0.2">
      <c r="A3888" s="9" t="s">
        <v>61</v>
      </c>
      <c r="B3888" s="9" t="s">
        <v>200</v>
      </c>
      <c r="C3888" s="9"/>
      <c r="D3888" s="9" t="s">
        <v>77</v>
      </c>
      <c r="E3888" s="38">
        <v>4850</v>
      </c>
      <c r="F3888" s="39">
        <v>1755897.84</v>
      </c>
      <c r="G3888" s="40">
        <v>362.04079175257732</v>
      </c>
      <c r="H3888" s="41">
        <v>0.22839657955718759</v>
      </c>
      <c r="I3888" s="40">
        <v>89.733335349671165</v>
      </c>
      <c r="J3888" s="41">
        <v>0.2478542125468445</v>
      </c>
      <c r="K3888" s="9" t="s">
        <v>5373</v>
      </c>
    </row>
    <row r="3889" spans="1:11" x14ac:dyDescent="0.2">
      <c r="A3889" s="9" t="s">
        <v>61</v>
      </c>
      <c r="B3889" s="9" t="s">
        <v>202</v>
      </c>
      <c r="C3889" s="9"/>
      <c r="D3889" s="9" t="s">
        <v>81</v>
      </c>
      <c r="E3889" s="38">
        <v>639</v>
      </c>
      <c r="F3889" s="39">
        <v>1186429.51</v>
      </c>
      <c r="G3889" s="40">
        <v>1856.697198748044</v>
      </c>
      <c r="H3889" s="41">
        <v>-9.7793317591244253E-2</v>
      </c>
      <c r="I3889" s="40">
        <v>320.10108033534209</v>
      </c>
      <c r="J3889" s="41">
        <v>0.17240349183010761</v>
      </c>
      <c r="K3889" s="9" t="s">
        <v>5374</v>
      </c>
    </row>
    <row r="3890" spans="1:11" x14ac:dyDescent="0.2">
      <c r="A3890" s="9" t="s">
        <v>61</v>
      </c>
      <c r="B3890" s="9" t="s">
        <v>432</v>
      </c>
      <c r="C3890" s="9"/>
      <c r="D3890" s="9" t="s">
        <v>81</v>
      </c>
      <c r="E3890" s="38">
        <v>729</v>
      </c>
      <c r="F3890" s="39">
        <v>3510346.27</v>
      </c>
      <c r="G3890" s="40">
        <v>4815.2898079561046</v>
      </c>
      <c r="H3890" s="41">
        <v>-5.3954849838932652E-2</v>
      </c>
      <c r="I3890" s="40">
        <v>436.91385838092998</v>
      </c>
      <c r="J3890" s="41">
        <v>9.0734696312366345E-2</v>
      </c>
      <c r="K3890" s="9" t="s">
        <v>5375</v>
      </c>
    </row>
    <row r="3891" spans="1:11" x14ac:dyDescent="0.2">
      <c r="A3891" s="9" t="s">
        <v>61</v>
      </c>
      <c r="B3891" s="9" t="s">
        <v>206</v>
      </c>
      <c r="C3891" s="9"/>
      <c r="D3891" s="9" t="s">
        <v>80</v>
      </c>
      <c r="E3891" s="38">
        <v>1053</v>
      </c>
      <c r="F3891" s="39">
        <v>416656.57</v>
      </c>
      <c r="G3891" s="40">
        <v>395.68525166191841</v>
      </c>
      <c r="H3891" s="41"/>
      <c r="I3891" s="40">
        <v>80.986361022313048</v>
      </c>
      <c r="J3891" s="41">
        <v>0.2046736912284754</v>
      </c>
      <c r="K3891" s="9" t="s">
        <v>5376</v>
      </c>
    </row>
    <row r="3892" spans="1:11" x14ac:dyDescent="0.2">
      <c r="A3892" s="9" t="s">
        <v>61</v>
      </c>
      <c r="B3892" s="9" t="s">
        <v>208</v>
      </c>
      <c r="C3892" s="9"/>
      <c r="D3892" s="9" t="s">
        <v>78</v>
      </c>
      <c r="E3892" s="38">
        <v>1237</v>
      </c>
      <c r="F3892" s="39">
        <v>521834.79</v>
      </c>
      <c r="G3892" s="40">
        <v>421.85512530315282</v>
      </c>
      <c r="H3892" s="41">
        <v>-9.8870999553542449E-2</v>
      </c>
      <c r="I3892" s="40">
        <v>43.151041471059827</v>
      </c>
      <c r="J3892" s="41">
        <v>0.1022887690176828</v>
      </c>
      <c r="K3892" s="9" t="s">
        <v>5377</v>
      </c>
    </row>
    <row r="3893" spans="1:11" x14ac:dyDescent="0.2">
      <c r="A3893" s="9" t="s">
        <v>61</v>
      </c>
      <c r="B3893" s="9" t="s">
        <v>212</v>
      </c>
      <c r="C3893" s="9"/>
      <c r="D3893" s="9" t="s">
        <v>76</v>
      </c>
      <c r="E3893" s="38">
        <v>2739</v>
      </c>
      <c r="F3893" s="39">
        <v>1598992.24</v>
      </c>
      <c r="G3893" s="40">
        <v>583.78687112084697</v>
      </c>
      <c r="H3893" s="41">
        <v>0.38385797370503721</v>
      </c>
      <c r="I3893" s="40">
        <v>70.054424534501635</v>
      </c>
      <c r="J3893" s="41">
        <v>0.12</v>
      </c>
      <c r="K3893" s="9" t="s">
        <v>5378</v>
      </c>
    </row>
    <row r="3894" spans="1:11" x14ac:dyDescent="0.2">
      <c r="A3894" s="9" t="s">
        <v>61</v>
      </c>
      <c r="B3894" s="9" t="s">
        <v>674</v>
      </c>
      <c r="C3894" s="9"/>
      <c r="D3894" s="9" t="s">
        <v>80</v>
      </c>
      <c r="E3894" s="38">
        <v>570</v>
      </c>
      <c r="F3894" s="39">
        <v>396037.67</v>
      </c>
      <c r="G3894" s="40">
        <v>694.80292982456137</v>
      </c>
      <c r="H3894" s="41">
        <v>-4.3822196694822492E-2</v>
      </c>
      <c r="I3894" s="40">
        <v>247.58587549224859</v>
      </c>
      <c r="J3894" s="41">
        <v>0.35633971139811449</v>
      </c>
      <c r="K3894" s="9" t="s">
        <v>5379</v>
      </c>
    </row>
    <row r="3895" spans="1:11" x14ac:dyDescent="0.2">
      <c r="A3895" s="9" t="s">
        <v>61</v>
      </c>
      <c r="B3895" s="9" t="s">
        <v>884</v>
      </c>
      <c r="C3895" s="9"/>
      <c r="D3895" s="9" t="s">
        <v>76</v>
      </c>
      <c r="E3895" s="38">
        <v>3992</v>
      </c>
      <c r="F3895" s="39">
        <v>651250.06999999995</v>
      </c>
      <c r="G3895" s="40">
        <v>163.13879509018031</v>
      </c>
      <c r="H3895" s="41">
        <v>-4.1390700408929629E-2</v>
      </c>
      <c r="I3895" s="40">
        <v>26.102207214428859</v>
      </c>
      <c r="J3895" s="41">
        <v>0.16</v>
      </c>
      <c r="K3895" s="9" t="s">
        <v>5380</v>
      </c>
    </row>
    <row r="3896" spans="1:11" x14ac:dyDescent="0.2">
      <c r="A3896" s="9" t="s">
        <v>61</v>
      </c>
      <c r="B3896" s="9" t="s">
        <v>1359</v>
      </c>
      <c r="C3896" s="9"/>
      <c r="D3896" s="9" t="s">
        <v>77</v>
      </c>
      <c r="E3896" s="38">
        <v>6175</v>
      </c>
      <c r="F3896" s="39">
        <v>5477056.5999999996</v>
      </c>
      <c r="G3896" s="40">
        <v>886.97272874493922</v>
      </c>
      <c r="H3896" s="41">
        <v>-1.6909073345756351E-2</v>
      </c>
      <c r="I3896" s="40">
        <v>142.56323034506639</v>
      </c>
      <c r="J3896" s="41">
        <v>0.16073011686254721</v>
      </c>
      <c r="K3896" s="9" t="s">
        <v>5381</v>
      </c>
    </row>
    <row r="3897" spans="1:11" x14ac:dyDescent="0.2">
      <c r="A3897" s="9" t="s">
        <v>61</v>
      </c>
      <c r="B3897" s="9" t="s">
        <v>231</v>
      </c>
      <c r="C3897" s="9"/>
      <c r="D3897" s="9" t="s">
        <v>76</v>
      </c>
      <c r="E3897" s="38">
        <v>12045</v>
      </c>
      <c r="F3897" s="39">
        <v>1321587.75</v>
      </c>
      <c r="G3897" s="40">
        <v>109.7208592777086</v>
      </c>
      <c r="H3897" s="41">
        <v>-0.24463741124958871</v>
      </c>
      <c r="I3897" s="40">
        <v>9.8748773349937728</v>
      </c>
      <c r="J3897" s="41">
        <v>0.09</v>
      </c>
      <c r="K3897" s="9" t="s">
        <v>5382</v>
      </c>
    </row>
    <row r="3898" spans="1:11" x14ac:dyDescent="0.2">
      <c r="A3898" s="9" t="s">
        <v>61</v>
      </c>
      <c r="B3898" s="9" t="s">
        <v>895</v>
      </c>
      <c r="C3898" s="9"/>
      <c r="D3898" s="9" t="s">
        <v>77</v>
      </c>
      <c r="E3898" s="38">
        <v>3990</v>
      </c>
      <c r="F3898" s="39">
        <v>2370349.67</v>
      </c>
      <c r="G3898" s="40">
        <v>594.07259899749374</v>
      </c>
      <c r="H3898" s="41">
        <v>4.9747009612824827E-2</v>
      </c>
      <c r="I3898" s="40">
        <v>97.48562340903699</v>
      </c>
      <c r="J3898" s="41">
        <v>0.16409715508432041</v>
      </c>
      <c r="K3898" s="9" t="s">
        <v>5383</v>
      </c>
    </row>
    <row r="3899" spans="1:11" x14ac:dyDescent="0.2">
      <c r="A3899" s="9" t="s">
        <v>61</v>
      </c>
      <c r="B3899" s="9" t="s">
        <v>456</v>
      </c>
      <c r="C3899" s="9"/>
      <c r="D3899" s="9" t="s">
        <v>76</v>
      </c>
      <c r="E3899" s="38">
        <v>1433</v>
      </c>
      <c r="F3899" s="39">
        <v>824442.46</v>
      </c>
      <c r="G3899" s="40">
        <v>575.32621074668521</v>
      </c>
      <c r="H3899" s="41">
        <v>-0.148915887547032</v>
      </c>
      <c r="I3899" s="40">
        <v>94.268807287892642</v>
      </c>
      <c r="J3899" s="41">
        <v>0.16385279434000791</v>
      </c>
      <c r="K3899" s="9" t="s">
        <v>5384</v>
      </c>
    </row>
    <row r="3900" spans="1:11" x14ac:dyDescent="0.2">
      <c r="A3900" s="9" t="s">
        <v>61</v>
      </c>
      <c r="B3900" s="9" t="s">
        <v>1788</v>
      </c>
      <c r="C3900" s="9"/>
      <c r="D3900" s="9" t="s">
        <v>76</v>
      </c>
      <c r="E3900" s="38">
        <v>8751</v>
      </c>
      <c r="F3900" s="39">
        <v>2328461.02</v>
      </c>
      <c r="G3900" s="40">
        <v>266.07942178036802</v>
      </c>
      <c r="H3900" s="41">
        <v>2.8758192017544749E-2</v>
      </c>
      <c r="I3900" s="40">
        <v>109.09293913697761</v>
      </c>
      <c r="J3900" s="41">
        <v>0.41000141388997391</v>
      </c>
      <c r="K3900" s="9" t="s">
        <v>5385</v>
      </c>
    </row>
    <row r="3901" spans="1:11" x14ac:dyDescent="0.2">
      <c r="A3901" s="9" t="s">
        <v>61</v>
      </c>
      <c r="B3901" s="9" t="s">
        <v>247</v>
      </c>
      <c r="C3901" s="9"/>
      <c r="D3901" s="9" t="s">
        <v>76</v>
      </c>
      <c r="E3901" s="38">
        <v>28338</v>
      </c>
      <c r="F3901" s="39">
        <v>3743198.49</v>
      </c>
      <c r="G3901" s="40">
        <v>132.09113169595599</v>
      </c>
      <c r="H3901" s="41">
        <v>-0.18621617530242701</v>
      </c>
      <c r="I3901" s="40">
        <v>39.415684946008888</v>
      </c>
      <c r="J3901" s="41">
        <v>0.29839766258294248</v>
      </c>
      <c r="K3901" s="9" t="s">
        <v>5386</v>
      </c>
    </row>
    <row r="3902" spans="1:11" x14ac:dyDescent="0.2">
      <c r="A3902" s="9" t="s">
        <v>61</v>
      </c>
      <c r="B3902" s="9" t="s">
        <v>256</v>
      </c>
      <c r="C3902" s="9"/>
      <c r="D3902" s="9" t="s">
        <v>76</v>
      </c>
      <c r="E3902" s="38">
        <v>1756</v>
      </c>
      <c r="F3902" s="39">
        <v>1121992.78</v>
      </c>
      <c r="G3902" s="40">
        <v>638.94805239179959</v>
      </c>
      <c r="H3902" s="41">
        <v>0.25397623370229921</v>
      </c>
      <c r="I3902" s="40">
        <v>83.045807517084299</v>
      </c>
      <c r="J3902" s="41">
        <v>0.12997270624147869</v>
      </c>
      <c r="K3902" s="9" t="s">
        <v>5387</v>
      </c>
    </row>
    <row r="3903" spans="1:11" x14ac:dyDescent="0.2">
      <c r="A3903" s="9" t="s">
        <v>61</v>
      </c>
      <c r="B3903" s="9" t="s">
        <v>1251</v>
      </c>
      <c r="C3903" s="9"/>
      <c r="D3903" s="9" t="s">
        <v>77</v>
      </c>
      <c r="E3903" s="38">
        <v>5914</v>
      </c>
      <c r="F3903" s="39">
        <v>5568468.4100000001</v>
      </c>
      <c r="G3903" s="40">
        <v>941.5739617855935</v>
      </c>
      <c r="H3903" s="41">
        <v>0.1385814446657806</v>
      </c>
      <c r="I3903" s="40">
        <v>105.5653113430422</v>
      </c>
      <c r="J3903" s="41">
        <v>0.11211579294615261</v>
      </c>
      <c r="K3903" s="9" t="s">
        <v>5388</v>
      </c>
    </row>
    <row r="3904" spans="1:11" x14ac:dyDescent="0.2">
      <c r="A3904" s="9" t="s">
        <v>61</v>
      </c>
      <c r="B3904" s="9" t="s">
        <v>262</v>
      </c>
      <c r="C3904" s="9"/>
      <c r="D3904" s="9" t="s">
        <v>76</v>
      </c>
      <c r="E3904" s="38">
        <v>4610</v>
      </c>
      <c r="F3904" s="39">
        <v>2025012.11</v>
      </c>
      <c r="G3904" s="40">
        <v>439.2650997830803</v>
      </c>
      <c r="H3904" s="41">
        <v>9.0062212043309775E-2</v>
      </c>
      <c r="I3904" s="40">
        <v>48.260013015184377</v>
      </c>
      <c r="J3904" s="41">
        <v>0.10986534791636381</v>
      </c>
      <c r="K3904" s="9" t="s">
        <v>5389</v>
      </c>
    </row>
    <row r="3905" spans="1:11" x14ac:dyDescent="0.2">
      <c r="A3905" s="9" t="s">
        <v>61</v>
      </c>
      <c r="B3905" s="9" t="s">
        <v>267</v>
      </c>
      <c r="C3905" s="9"/>
      <c r="D3905" s="9" t="s">
        <v>77</v>
      </c>
      <c r="E3905" s="38">
        <v>2036</v>
      </c>
      <c r="F3905" s="39">
        <v>1031771.63</v>
      </c>
      <c r="G3905" s="40">
        <v>506.76406188605108</v>
      </c>
      <c r="H3905" s="41">
        <v>-3.9592585690759227E-2</v>
      </c>
      <c r="I3905" s="40">
        <v>139.4819032091369</v>
      </c>
      <c r="J3905" s="41">
        <v>0.27524032128485909</v>
      </c>
      <c r="K3905" s="9" t="s">
        <v>5390</v>
      </c>
    </row>
    <row r="3906" spans="1:11" x14ac:dyDescent="0.2">
      <c r="A3906" s="9" t="s">
        <v>61</v>
      </c>
      <c r="B3906" s="9" t="s">
        <v>484</v>
      </c>
      <c r="C3906" s="9"/>
      <c r="D3906" s="9" t="s">
        <v>77</v>
      </c>
      <c r="E3906" s="38">
        <v>1721</v>
      </c>
      <c r="F3906" s="39">
        <v>749943.48</v>
      </c>
      <c r="G3906" s="40">
        <v>435.76030214991277</v>
      </c>
      <c r="H3906" s="41">
        <v>-7.6943400601687834E-2</v>
      </c>
      <c r="I3906" s="40">
        <v>67.832750012007494</v>
      </c>
      <c r="J3906" s="41">
        <v>0.15566528129648499</v>
      </c>
      <c r="K3906" s="9" t="s">
        <v>5391</v>
      </c>
    </row>
    <row r="3907" spans="1:11" x14ac:dyDescent="0.2">
      <c r="A3907" s="9" t="s">
        <v>61</v>
      </c>
      <c r="B3907" s="9" t="s">
        <v>487</v>
      </c>
      <c r="C3907" s="9"/>
      <c r="D3907" s="9" t="s">
        <v>77</v>
      </c>
      <c r="E3907" s="38">
        <v>2453</v>
      </c>
      <c r="F3907" s="39">
        <v>1328992.3899999999</v>
      </c>
      <c r="G3907" s="40">
        <v>541.78246636771291</v>
      </c>
      <c r="H3907" s="41">
        <v>0.11395468710236339</v>
      </c>
      <c r="I3907" s="40">
        <v>89.733353384394036</v>
      </c>
      <c r="J3907" s="41">
        <v>0.16562616724383089</v>
      </c>
      <c r="K3907" s="9" t="s">
        <v>5392</v>
      </c>
    </row>
    <row r="3908" spans="1:11" x14ac:dyDescent="0.2">
      <c r="A3908" s="9" t="s">
        <v>61</v>
      </c>
      <c r="B3908" s="9" t="s">
        <v>275</v>
      </c>
      <c r="C3908" s="9"/>
      <c r="D3908" s="9" t="s">
        <v>83</v>
      </c>
      <c r="E3908" s="38">
        <v>3237</v>
      </c>
      <c r="F3908" s="39">
        <v>1846161.77</v>
      </c>
      <c r="G3908" s="40">
        <v>570.33109978375035</v>
      </c>
      <c r="H3908" s="41">
        <v>-7.4951642012778513E-2</v>
      </c>
      <c r="I3908" s="40">
        <v>103.5641269151683</v>
      </c>
      <c r="J3908" s="41">
        <v>0.18158597164776069</v>
      </c>
      <c r="K3908" s="9" t="s">
        <v>5393</v>
      </c>
    </row>
    <row r="3909" spans="1:11" x14ac:dyDescent="0.2">
      <c r="A3909" s="9" t="s">
        <v>61</v>
      </c>
      <c r="B3909" s="9" t="s">
        <v>277</v>
      </c>
      <c r="C3909" s="9"/>
      <c r="D3909" s="9" t="s">
        <v>76</v>
      </c>
      <c r="E3909" s="38">
        <v>1043</v>
      </c>
      <c r="F3909" s="39">
        <v>907265.44</v>
      </c>
      <c r="G3909" s="40">
        <v>869.86139980824544</v>
      </c>
      <c r="H3909" s="41">
        <v>6.3612967432624512E-2</v>
      </c>
      <c r="I3909" s="40">
        <v>100.0340705656759</v>
      </c>
      <c r="J3909" s="41">
        <v>0.1150000110221326</v>
      </c>
      <c r="K3909" s="9" t="s">
        <v>5394</v>
      </c>
    </row>
    <row r="3910" spans="1:11" x14ac:dyDescent="0.2">
      <c r="A3910" s="9" t="s">
        <v>61</v>
      </c>
      <c r="B3910" s="9" t="s">
        <v>277</v>
      </c>
      <c r="C3910" s="9"/>
      <c r="D3910" s="9" t="s">
        <v>76</v>
      </c>
      <c r="E3910" s="38">
        <v>2285</v>
      </c>
      <c r="F3910" s="39">
        <v>0</v>
      </c>
      <c r="G3910" s="40"/>
      <c r="H3910" s="41"/>
      <c r="I3910" s="40">
        <v>30.634555798687089</v>
      </c>
      <c r="J3910" s="41"/>
      <c r="K3910" s="9" t="s">
        <v>5394</v>
      </c>
    </row>
    <row r="3911" spans="1:11" x14ac:dyDescent="0.2">
      <c r="A3911" s="9" t="s">
        <v>61</v>
      </c>
      <c r="B3911" s="9" t="s">
        <v>494</v>
      </c>
      <c r="C3911" s="9"/>
      <c r="D3911" s="9" t="s">
        <v>85</v>
      </c>
      <c r="E3911" s="38">
        <v>1535</v>
      </c>
      <c r="F3911" s="39">
        <v>1866891.57</v>
      </c>
      <c r="G3911" s="40">
        <v>1216.2160065146579</v>
      </c>
      <c r="H3911" s="41">
        <v>-0.12298387830765049</v>
      </c>
      <c r="I3911" s="40">
        <v>158.4084916931744</v>
      </c>
      <c r="J3911" s="41">
        <v>0.13024700451618759</v>
      </c>
      <c r="K3911" s="9" t="s">
        <v>5395</v>
      </c>
    </row>
    <row r="3912" spans="1:11" x14ac:dyDescent="0.2">
      <c r="A3912" s="9" t="s">
        <v>61</v>
      </c>
      <c r="B3912" s="9" t="s">
        <v>283</v>
      </c>
      <c r="C3912" s="9"/>
      <c r="D3912" s="9" t="s">
        <v>78</v>
      </c>
      <c r="E3912" s="38">
        <v>1070</v>
      </c>
      <c r="F3912" s="39">
        <v>560355.93000000005</v>
      </c>
      <c r="G3912" s="40">
        <v>523.69713084112152</v>
      </c>
      <c r="H3912" s="41">
        <v>6.3386867487518955E-2</v>
      </c>
      <c r="I3912" s="40">
        <v>82.706922078574223</v>
      </c>
      <c r="J3912" s="41">
        <v>0.15792891961377911</v>
      </c>
      <c r="K3912" s="9" t="s">
        <v>5396</v>
      </c>
    </row>
    <row r="3913" spans="1:11" x14ac:dyDescent="0.2">
      <c r="A3913" s="9" t="s">
        <v>61</v>
      </c>
      <c r="B3913" s="9" t="s">
        <v>497</v>
      </c>
      <c r="C3913" s="9"/>
      <c r="D3913" s="9" t="s">
        <v>76</v>
      </c>
      <c r="E3913" s="38">
        <v>2289</v>
      </c>
      <c r="F3913" s="39">
        <v>470345.38</v>
      </c>
      <c r="G3913" s="40">
        <v>205.48072520751421</v>
      </c>
      <c r="H3913" s="41">
        <v>-0.1370987994350478</v>
      </c>
      <c r="I3913" s="40">
        <v>71.740013106159907</v>
      </c>
      <c r="J3913" s="41">
        <v>0.34913256722113439</v>
      </c>
      <c r="K3913" s="9" t="s">
        <v>5397</v>
      </c>
    </row>
    <row r="3914" spans="1:11" x14ac:dyDescent="0.2">
      <c r="A3914" s="9" t="s">
        <v>61</v>
      </c>
      <c r="B3914" s="9" t="s">
        <v>285</v>
      </c>
      <c r="C3914" s="9"/>
      <c r="D3914" s="9" t="s">
        <v>76</v>
      </c>
      <c r="E3914" s="38">
        <v>3109</v>
      </c>
      <c r="F3914" s="39">
        <v>6420242.1500000004</v>
      </c>
      <c r="G3914" s="40">
        <v>2065.050546799614</v>
      </c>
      <c r="H3914" s="41">
        <v>-1.888363017466755E-2</v>
      </c>
      <c r="I3914" s="40">
        <v>84.342864586683831</v>
      </c>
      <c r="J3914" s="41">
        <v>4.0843002471487783E-2</v>
      </c>
      <c r="K3914" s="9" t="s">
        <v>5398</v>
      </c>
    </row>
    <row r="3915" spans="1:11" x14ac:dyDescent="0.2">
      <c r="A3915" s="9" t="s">
        <v>61</v>
      </c>
      <c r="B3915" s="9" t="s">
        <v>287</v>
      </c>
      <c r="C3915" s="9"/>
      <c r="D3915" s="9" t="s">
        <v>79</v>
      </c>
      <c r="E3915" s="38">
        <v>1032</v>
      </c>
      <c r="F3915" s="39">
        <v>993102.64</v>
      </c>
      <c r="G3915" s="40">
        <v>962.30875968992245</v>
      </c>
      <c r="H3915" s="41">
        <v>1.8213059394991259E-2</v>
      </c>
      <c r="I3915" s="40">
        <v>155.07556827070641</v>
      </c>
      <c r="J3915" s="41">
        <v>0.16114949251909039</v>
      </c>
      <c r="K3915" s="9" t="s">
        <v>5399</v>
      </c>
    </row>
    <row r="3916" spans="1:11" x14ac:dyDescent="0.2">
      <c r="A3916" s="9" t="s">
        <v>61</v>
      </c>
      <c r="B3916" s="9" t="s">
        <v>289</v>
      </c>
      <c r="C3916" s="9"/>
      <c r="D3916" s="9" t="s">
        <v>79</v>
      </c>
      <c r="E3916" s="38">
        <v>1355</v>
      </c>
      <c r="F3916" s="39">
        <v>544173.93000000005</v>
      </c>
      <c r="G3916" s="40">
        <v>401.60437638376379</v>
      </c>
      <c r="H3916" s="41">
        <v>-9.6473492606717656E-2</v>
      </c>
      <c r="I3916" s="40">
        <v>66.319970479704793</v>
      </c>
      <c r="J3916" s="41">
        <v>0.16513756915918409</v>
      </c>
      <c r="K3916" s="9" t="s">
        <v>5400</v>
      </c>
    </row>
    <row r="3917" spans="1:11" x14ac:dyDescent="0.2">
      <c r="A3917" s="9" t="s">
        <v>61</v>
      </c>
      <c r="B3917" s="9" t="s">
        <v>502</v>
      </c>
      <c r="C3917" s="9"/>
      <c r="D3917" s="9" t="s">
        <v>86</v>
      </c>
      <c r="E3917" s="38">
        <v>194157</v>
      </c>
      <c r="F3917" s="39">
        <v>0</v>
      </c>
      <c r="G3917" s="40"/>
      <c r="H3917" s="41"/>
      <c r="I3917" s="40">
        <v>0.207999505554783</v>
      </c>
      <c r="J3917" s="41"/>
      <c r="K3917" s="9" t="s">
        <v>5401</v>
      </c>
    </row>
    <row r="3918" spans="1:11" x14ac:dyDescent="0.2">
      <c r="A3918" s="9" t="s">
        <v>61</v>
      </c>
      <c r="B3918" s="9" t="s">
        <v>2976</v>
      </c>
      <c r="C3918" s="9"/>
      <c r="D3918" s="9" t="s">
        <v>76</v>
      </c>
      <c r="E3918" s="38">
        <v>3155</v>
      </c>
      <c r="F3918" s="39">
        <v>1529110.74</v>
      </c>
      <c r="G3918" s="40">
        <v>484.66267511885889</v>
      </c>
      <c r="H3918" s="41">
        <v>-0.1155550361689589</v>
      </c>
      <c r="I3918" s="40">
        <v>65.460003169572104</v>
      </c>
      <c r="J3918" s="41">
        <v>0.13506301708403409</v>
      </c>
      <c r="K3918" s="9" t="s">
        <v>5402</v>
      </c>
    </row>
    <row r="3919" spans="1:11" x14ac:dyDescent="0.2">
      <c r="A3919" s="9" t="s">
        <v>61</v>
      </c>
      <c r="B3919" s="9" t="s">
        <v>301</v>
      </c>
      <c r="C3919" s="9"/>
      <c r="D3919" s="9" t="s">
        <v>82</v>
      </c>
      <c r="E3919" s="38">
        <v>2116</v>
      </c>
      <c r="F3919" s="39">
        <v>417948.41834862379</v>
      </c>
      <c r="G3919" s="40">
        <v>197.51815611938741</v>
      </c>
      <c r="H3919" s="41"/>
      <c r="I3919" s="40">
        <v>58.412098298676753</v>
      </c>
      <c r="J3919" s="41">
        <v>0.29573027333937979</v>
      </c>
      <c r="K3919" s="9" t="s">
        <v>5403</v>
      </c>
    </row>
    <row r="3920" spans="1:11" x14ac:dyDescent="0.2">
      <c r="A3920" s="9" t="s">
        <v>61</v>
      </c>
      <c r="B3920" s="9" t="s">
        <v>1399</v>
      </c>
      <c r="C3920" s="9"/>
      <c r="D3920" s="9" t="s">
        <v>84</v>
      </c>
      <c r="E3920" s="38">
        <v>1669</v>
      </c>
      <c r="F3920" s="39">
        <v>337122.39</v>
      </c>
      <c r="G3920" s="40">
        <v>201.99064709406829</v>
      </c>
      <c r="H3920" s="41">
        <v>2.8494566249050911E-2</v>
      </c>
      <c r="I3920" s="40">
        <v>85.101069336655939</v>
      </c>
      <c r="J3920" s="41">
        <v>0.42131192983912691</v>
      </c>
      <c r="K3920" s="9" t="s">
        <v>5404</v>
      </c>
    </row>
    <row r="3921" spans="1:11" x14ac:dyDescent="0.2">
      <c r="A3921" s="9" t="s">
        <v>61</v>
      </c>
      <c r="B3921" s="9" t="s">
        <v>800</v>
      </c>
      <c r="C3921" s="9"/>
      <c r="D3921" s="9" t="s">
        <v>86</v>
      </c>
      <c r="E3921" s="38">
        <v>224972</v>
      </c>
      <c r="F3921" s="39">
        <v>31200000</v>
      </c>
      <c r="G3921" s="40">
        <v>138.68392511068041</v>
      </c>
      <c r="H3921" s="41">
        <v>-1.577287066246057E-2</v>
      </c>
      <c r="I3921" s="40">
        <v>0.69999964440019202</v>
      </c>
      <c r="J3921" s="41">
        <v>5.0474461538461543E-3</v>
      </c>
      <c r="K3921" s="9" t="s">
        <v>5405</v>
      </c>
    </row>
    <row r="3922" spans="1:11" x14ac:dyDescent="0.2">
      <c r="A3922" s="9" t="s">
        <v>61</v>
      </c>
      <c r="B3922" s="9" t="s">
        <v>317</v>
      </c>
      <c r="C3922" s="9"/>
      <c r="D3922" s="9" t="s">
        <v>76</v>
      </c>
      <c r="E3922" s="38">
        <v>3330</v>
      </c>
      <c r="F3922" s="39">
        <v>1170081.83</v>
      </c>
      <c r="G3922" s="40">
        <v>351.37592492492502</v>
      </c>
      <c r="H3922" s="41">
        <v>-9.2774329878685877E-2</v>
      </c>
      <c r="I3922" s="40">
        <v>28</v>
      </c>
      <c r="J3922" s="41">
        <v>7.9686734388482894E-2</v>
      </c>
      <c r="K3922" s="9" t="s">
        <v>5406</v>
      </c>
    </row>
    <row r="3923" spans="1:11" x14ac:dyDescent="0.2">
      <c r="A3923" s="9" t="s">
        <v>61</v>
      </c>
      <c r="B3923" s="9" t="s">
        <v>321</v>
      </c>
      <c r="C3923" s="9"/>
      <c r="D3923" s="9" t="s">
        <v>78</v>
      </c>
      <c r="E3923" s="38">
        <v>1211</v>
      </c>
      <c r="F3923" s="39">
        <v>2446319.2200000002</v>
      </c>
      <c r="G3923" s="40">
        <v>2020.081932287366</v>
      </c>
      <c r="H3923" s="41">
        <v>1.1904866612637399E-2</v>
      </c>
      <c r="I3923" s="40">
        <v>262.49866344478892</v>
      </c>
      <c r="J3923" s="41">
        <v>0.1299445627670944</v>
      </c>
      <c r="K3923" s="9" t="s">
        <v>5407</v>
      </c>
    </row>
    <row r="3924" spans="1:11" x14ac:dyDescent="0.2">
      <c r="A3924" s="9" t="s">
        <v>61</v>
      </c>
      <c r="B3924" s="9" t="s">
        <v>5408</v>
      </c>
      <c r="C3924" s="9"/>
      <c r="D3924" s="9" t="s">
        <v>83</v>
      </c>
      <c r="E3924" s="38">
        <v>1800</v>
      </c>
      <c r="F3924" s="39">
        <v>181794</v>
      </c>
      <c r="G3924" s="40">
        <v>100.9966666666667</v>
      </c>
      <c r="H3924" s="41">
        <v>-2.0948529584641561E-2</v>
      </c>
      <c r="I3924" s="40">
        <v>59.60103338698547</v>
      </c>
      <c r="J3924" s="41">
        <v>0.59012871765060371</v>
      </c>
      <c r="K3924" s="9" t="s">
        <v>5409</v>
      </c>
    </row>
    <row r="3925" spans="1:11" x14ac:dyDescent="0.2">
      <c r="A3925" s="9" t="s">
        <v>61</v>
      </c>
      <c r="B3925" s="9" t="s">
        <v>331</v>
      </c>
      <c r="C3925" s="9"/>
      <c r="D3925" s="9" t="s">
        <v>81</v>
      </c>
      <c r="E3925" s="38">
        <v>931</v>
      </c>
      <c r="F3925" s="39">
        <v>1200468.1599999999</v>
      </c>
      <c r="G3925" s="40">
        <v>1289.4394844253491</v>
      </c>
      <c r="H3925" s="41"/>
      <c r="I3925" s="40">
        <v>181.21223940202299</v>
      </c>
      <c r="J3925" s="41">
        <v>0.1405356680874264</v>
      </c>
      <c r="K3925" s="9" t="s">
        <v>5410</v>
      </c>
    </row>
    <row r="3926" spans="1:11" x14ac:dyDescent="0.2">
      <c r="A3926" s="9" t="s">
        <v>61</v>
      </c>
      <c r="B3926" s="9" t="s">
        <v>607</v>
      </c>
      <c r="C3926" s="9"/>
      <c r="D3926" s="9" t="s">
        <v>85</v>
      </c>
      <c r="E3926" s="38">
        <v>11150</v>
      </c>
      <c r="F3926" s="39">
        <v>4051640.81</v>
      </c>
      <c r="G3926" s="40">
        <v>363.37585739910321</v>
      </c>
      <c r="H3926" s="41"/>
      <c r="I3926" s="40">
        <v>21.802551443946189</v>
      </c>
      <c r="J3926" s="41">
        <v>0.06</v>
      </c>
      <c r="K3926" s="9" t="s">
        <v>5411</v>
      </c>
    </row>
    <row r="3927" spans="1:11" x14ac:dyDescent="0.2">
      <c r="A3927" s="9" t="s">
        <v>61</v>
      </c>
      <c r="B3927" s="9" t="s">
        <v>520</v>
      </c>
      <c r="C3927" s="9"/>
      <c r="D3927" s="9" t="s">
        <v>77</v>
      </c>
      <c r="E3927" s="38">
        <v>4977</v>
      </c>
      <c r="F3927" s="39">
        <v>793915</v>
      </c>
      <c r="G3927" s="40">
        <v>159.51677717500499</v>
      </c>
      <c r="H3927" s="41">
        <v>-0.20372860121153399</v>
      </c>
      <c r="I3927" s="40">
        <v>22</v>
      </c>
      <c r="J3927" s="41">
        <v>0.13791652758796599</v>
      </c>
      <c r="K3927" s="9" t="s">
        <v>5412</v>
      </c>
    </row>
    <row r="3928" spans="1:11" x14ac:dyDescent="0.2">
      <c r="A3928" s="9" t="s">
        <v>61</v>
      </c>
      <c r="B3928" s="9" t="s">
        <v>1943</v>
      </c>
      <c r="C3928" s="9"/>
      <c r="D3928" s="9" t="s">
        <v>76</v>
      </c>
      <c r="E3928" s="38">
        <v>5511</v>
      </c>
      <c r="F3928" s="39">
        <v>565917.9</v>
      </c>
      <c r="G3928" s="40">
        <v>102.6887860642352</v>
      </c>
      <c r="H3928" s="41">
        <v>-3.5524834242653548E-2</v>
      </c>
      <c r="I3928" s="40">
        <v>15</v>
      </c>
      <c r="J3928" s="41">
        <v>0.14607242499309531</v>
      </c>
      <c r="K3928" s="9" t="s">
        <v>5413</v>
      </c>
    </row>
    <row r="3929" spans="1:11" x14ac:dyDescent="0.2">
      <c r="A3929" s="9" t="s">
        <v>61</v>
      </c>
      <c r="B3929" s="9" t="s">
        <v>5414</v>
      </c>
      <c r="C3929" s="9"/>
      <c r="D3929" s="9" t="s">
        <v>86</v>
      </c>
      <c r="E3929" s="38">
        <v>52814</v>
      </c>
      <c r="F3929" s="39">
        <v>4883559.57</v>
      </c>
      <c r="G3929" s="40">
        <v>92.467140720263572</v>
      </c>
      <c r="H3929" s="41">
        <v>9.5996848497969259E-2</v>
      </c>
      <c r="I3929" s="40">
        <v>8.6200007573749371</v>
      </c>
      <c r="J3929" s="41">
        <v>9.3222313248039257E-2</v>
      </c>
      <c r="K3929" s="9" t="s">
        <v>5415</v>
      </c>
    </row>
    <row r="3930" spans="1:11" x14ac:dyDescent="0.2">
      <c r="A3930" s="9" t="s">
        <v>61</v>
      </c>
      <c r="B3930" s="9" t="s">
        <v>2851</v>
      </c>
      <c r="C3930" s="9"/>
      <c r="D3930" s="9" t="s">
        <v>80</v>
      </c>
      <c r="E3930" s="38">
        <v>567</v>
      </c>
      <c r="F3930" s="39">
        <v>545854.91</v>
      </c>
      <c r="G3930" s="40">
        <v>962.70707231040569</v>
      </c>
      <c r="H3930" s="41">
        <v>-0.21230100809155611</v>
      </c>
      <c r="I3930" s="40">
        <v>250.41249105894309</v>
      </c>
      <c r="J3930" s="41">
        <v>0.26011286118214222</v>
      </c>
      <c r="K3930" s="9" t="s">
        <v>5416</v>
      </c>
    </row>
    <row r="3931" spans="1:11" x14ac:dyDescent="0.2">
      <c r="A3931" s="9" t="s">
        <v>61</v>
      </c>
      <c r="B3931" s="9" t="s">
        <v>950</v>
      </c>
      <c r="C3931" s="9"/>
      <c r="D3931" s="9" t="s">
        <v>80</v>
      </c>
      <c r="E3931" s="38">
        <v>557</v>
      </c>
      <c r="F3931" s="39">
        <v>1619644.72</v>
      </c>
      <c r="G3931" s="40">
        <v>2907.8002154398559</v>
      </c>
      <c r="H3931" s="41">
        <v>-0.1305977125156616</v>
      </c>
      <c r="I3931" s="40">
        <v>615.19132064012717</v>
      </c>
      <c r="J3931" s="41">
        <v>0.2115658831626672</v>
      </c>
      <c r="K3931" s="9" t="s">
        <v>5417</v>
      </c>
    </row>
    <row r="3932" spans="1:11" x14ac:dyDescent="0.2">
      <c r="A3932" s="9" t="s">
        <v>61</v>
      </c>
      <c r="B3932" s="9" t="s">
        <v>339</v>
      </c>
      <c r="C3932" s="9"/>
      <c r="D3932" s="9" t="s">
        <v>80</v>
      </c>
      <c r="E3932" s="38">
        <v>994</v>
      </c>
      <c r="F3932" s="39">
        <v>0</v>
      </c>
      <c r="G3932" s="40"/>
      <c r="H3932" s="41"/>
      <c r="I3932" s="40">
        <v>79.636636395611816</v>
      </c>
      <c r="J3932" s="41"/>
      <c r="K3932" s="9" t="s">
        <v>5418</v>
      </c>
    </row>
    <row r="3933" spans="1:11" x14ac:dyDescent="0.2">
      <c r="A3933" s="9" t="s">
        <v>61</v>
      </c>
      <c r="B3933" s="9" t="s">
        <v>343</v>
      </c>
      <c r="C3933" s="9"/>
      <c r="D3933" s="9" t="s">
        <v>79</v>
      </c>
      <c r="E3933" s="38">
        <v>5800</v>
      </c>
      <c r="F3933" s="39">
        <v>8519997.7599999998</v>
      </c>
      <c r="G3933" s="40">
        <v>1468.965131034483</v>
      </c>
      <c r="H3933" s="41">
        <v>7.5604311709781449E-2</v>
      </c>
      <c r="I3933" s="40">
        <v>144.2842206814166</v>
      </c>
      <c r="J3933" s="41">
        <v>9.8221678400091078E-2</v>
      </c>
      <c r="K3933" s="9" t="s">
        <v>5419</v>
      </c>
    </row>
    <row r="3934" spans="1:11" x14ac:dyDescent="0.2">
      <c r="A3934" s="9" t="s">
        <v>61</v>
      </c>
      <c r="B3934" s="9" t="s">
        <v>1296</v>
      </c>
      <c r="C3934" s="9"/>
      <c r="D3934" s="9" t="s">
        <v>82</v>
      </c>
      <c r="E3934" s="38">
        <v>1060</v>
      </c>
      <c r="F3934" s="39">
        <v>344357.79</v>
      </c>
      <c r="G3934" s="40">
        <v>324.86583962264149</v>
      </c>
      <c r="H3934" s="41">
        <v>-4.9194994015170523E-2</v>
      </c>
      <c r="I3934" s="40">
        <v>66.913820645081032</v>
      </c>
      <c r="J3934" s="41">
        <v>0.20597370509256049</v>
      </c>
      <c r="K3934" s="9" t="s">
        <v>5420</v>
      </c>
    </row>
    <row r="3935" spans="1:11" x14ac:dyDescent="0.2">
      <c r="A3935" s="9" t="s">
        <v>61</v>
      </c>
      <c r="B3935" s="9" t="s">
        <v>355</v>
      </c>
      <c r="C3935" s="9"/>
      <c r="D3935" s="9" t="s">
        <v>82</v>
      </c>
      <c r="E3935" s="38">
        <v>1802</v>
      </c>
      <c r="F3935" s="39">
        <v>984465.2</v>
      </c>
      <c r="G3935" s="40">
        <v>546.31809100998885</v>
      </c>
      <c r="H3935" s="41">
        <v>-4.8703213795527743E-2</v>
      </c>
      <c r="I3935" s="40">
        <v>73.64497225305216</v>
      </c>
      <c r="J3935" s="41">
        <v>0.13480236782366711</v>
      </c>
      <c r="K3935" s="9" t="s">
        <v>5421</v>
      </c>
    </row>
    <row r="3936" spans="1:11" x14ac:dyDescent="0.2">
      <c r="A3936" s="9" t="s">
        <v>61</v>
      </c>
      <c r="B3936" s="9" t="s">
        <v>538</v>
      </c>
      <c r="C3936" s="9"/>
      <c r="D3936" s="9" t="s">
        <v>80</v>
      </c>
      <c r="E3936" s="38">
        <v>1051</v>
      </c>
      <c r="F3936" s="39">
        <v>742989.14</v>
      </c>
      <c r="G3936" s="40">
        <v>706.93543292102765</v>
      </c>
      <c r="H3936" s="41">
        <v>9.100932048135961E-2</v>
      </c>
      <c r="I3936" s="40">
        <v>82.892194186224202</v>
      </c>
      <c r="J3936" s="41">
        <v>0.11725567898572729</v>
      </c>
      <c r="K3936" s="9" t="s">
        <v>5422</v>
      </c>
    </row>
    <row r="3937" spans="1:11" x14ac:dyDescent="0.2">
      <c r="A3937" s="9" t="s">
        <v>61</v>
      </c>
      <c r="B3937" s="9" t="s">
        <v>2271</v>
      </c>
      <c r="C3937" s="9"/>
      <c r="D3937" s="9" t="s">
        <v>77</v>
      </c>
      <c r="E3937" s="38">
        <v>1561</v>
      </c>
      <c r="F3937" s="39">
        <v>788628.66</v>
      </c>
      <c r="G3937" s="40">
        <v>505.20734144778987</v>
      </c>
      <c r="H3937" s="41">
        <v>-0.1206235947172931</v>
      </c>
      <c r="I3937" s="40">
        <v>107.62331838565019</v>
      </c>
      <c r="J3937" s="41">
        <v>0.2130280175209458</v>
      </c>
      <c r="K3937" s="9" t="s">
        <v>5423</v>
      </c>
    </row>
    <row r="3938" spans="1:11" x14ac:dyDescent="0.2">
      <c r="A3938" s="9" t="s">
        <v>61</v>
      </c>
      <c r="B3938" s="9" t="s">
        <v>357</v>
      </c>
      <c r="C3938" s="9"/>
      <c r="D3938" s="9" t="s">
        <v>76</v>
      </c>
      <c r="E3938" s="38">
        <v>917</v>
      </c>
      <c r="F3938" s="39">
        <v>1083494.3799999999</v>
      </c>
      <c r="G3938" s="40">
        <v>1181.5642093784079</v>
      </c>
      <c r="H3938" s="41">
        <v>7.6024205952418461E-2</v>
      </c>
      <c r="I3938" s="40">
        <v>209.7757065210678</v>
      </c>
      <c r="J3938" s="41">
        <v>0.17754067435016979</v>
      </c>
      <c r="K3938" s="9" t="s">
        <v>5424</v>
      </c>
    </row>
    <row r="3939" spans="1:11" x14ac:dyDescent="0.2">
      <c r="A3939" s="9" t="s">
        <v>61</v>
      </c>
      <c r="B3939" s="9" t="s">
        <v>545</v>
      </c>
      <c r="C3939" s="9"/>
      <c r="D3939" s="9" t="s">
        <v>76</v>
      </c>
      <c r="E3939" s="38">
        <v>5013</v>
      </c>
      <c r="F3939" s="39">
        <v>719015.73</v>
      </c>
      <c r="G3939" s="40">
        <v>143.4302274087373</v>
      </c>
      <c r="H3939" s="41">
        <v>0.18910200691965701</v>
      </c>
      <c r="I3939" s="40">
        <v>21.90299820466786</v>
      </c>
      <c r="J3939" s="41">
        <v>0.1527083837233992</v>
      </c>
      <c r="K3939" s="9" t="s">
        <v>5425</v>
      </c>
    </row>
    <row r="3940" spans="1:11" x14ac:dyDescent="0.2">
      <c r="A3940" s="9" t="s">
        <v>61</v>
      </c>
      <c r="B3940" s="9" t="s">
        <v>365</v>
      </c>
      <c r="C3940" s="9"/>
      <c r="D3940" s="9" t="s">
        <v>81</v>
      </c>
      <c r="E3940" s="38">
        <v>11646</v>
      </c>
      <c r="F3940" s="39">
        <v>9914091.9100000001</v>
      </c>
      <c r="G3940" s="40">
        <v>851.28730121930278</v>
      </c>
      <c r="H3940" s="41">
        <v>-5.5537877905571511E-3</v>
      </c>
      <c r="I3940" s="40">
        <v>66.458598660484284</v>
      </c>
      <c r="J3940" s="41">
        <v>7.8068354320915301E-2</v>
      </c>
      <c r="K3940" s="9" t="s">
        <v>5426</v>
      </c>
    </row>
    <row r="3941" spans="1:11" x14ac:dyDescent="0.2">
      <c r="A3941" s="9" t="s">
        <v>61</v>
      </c>
      <c r="B3941" s="9" t="s">
        <v>550</v>
      </c>
      <c r="C3941" s="9"/>
      <c r="D3941" s="9" t="s">
        <v>76</v>
      </c>
      <c r="E3941" s="38">
        <v>3210</v>
      </c>
      <c r="F3941" s="39">
        <v>1001783.59</v>
      </c>
      <c r="G3941" s="40">
        <v>312.08211526479749</v>
      </c>
      <c r="H3941" s="41">
        <v>-4.2494481832615408E-2</v>
      </c>
      <c r="I3941" s="40">
        <v>63.429768820387579</v>
      </c>
      <c r="J3941" s="41">
        <v>0.20324704851019179</v>
      </c>
      <c r="K3941" s="9" t="s">
        <v>5427</v>
      </c>
    </row>
    <row r="3942" spans="1:11" x14ac:dyDescent="0.2">
      <c r="A3942" s="9" t="s">
        <v>61</v>
      </c>
      <c r="B3942" s="9" t="s">
        <v>5428</v>
      </c>
      <c r="C3942" s="9"/>
      <c r="D3942" s="9" t="s">
        <v>80</v>
      </c>
      <c r="E3942" s="38">
        <v>477</v>
      </c>
      <c r="F3942" s="39">
        <v>752018.05</v>
      </c>
      <c r="G3942" s="40">
        <v>1576.557756813417</v>
      </c>
      <c r="H3942" s="41">
        <v>-0.10892064509501651</v>
      </c>
      <c r="I3942" s="40">
        <v>234.90115917314901</v>
      </c>
      <c r="J3942" s="41">
        <v>0.1489962281165885</v>
      </c>
      <c r="K3942" s="9" t="s">
        <v>5429</v>
      </c>
    </row>
    <row r="3943" spans="1:11" x14ac:dyDescent="0.2">
      <c r="A3943" s="9" t="s">
        <v>61</v>
      </c>
      <c r="B3943" s="9" t="s">
        <v>2288</v>
      </c>
      <c r="C3943" s="9"/>
      <c r="D3943" s="9" t="s">
        <v>78</v>
      </c>
      <c r="E3943" s="38">
        <v>1073</v>
      </c>
      <c r="F3943" s="39">
        <v>211126.6</v>
      </c>
      <c r="G3943" s="40">
        <v>196.76290773532151</v>
      </c>
      <c r="H3943" s="41"/>
      <c r="I3943" s="40">
        <v>89.046774300312592</v>
      </c>
      <c r="J3943" s="41">
        <v>0.45255874354172049</v>
      </c>
      <c r="K3943" s="9" t="s">
        <v>5430</v>
      </c>
    </row>
    <row r="3944" spans="1:11" x14ac:dyDescent="0.2">
      <c r="A3944" s="9" t="s">
        <v>61</v>
      </c>
      <c r="B3944" s="9" t="s">
        <v>554</v>
      </c>
      <c r="C3944" s="9"/>
      <c r="D3944" s="9" t="s">
        <v>76</v>
      </c>
      <c r="E3944" s="38">
        <v>4610</v>
      </c>
      <c r="F3944" s="39">
        <v>1669361.01</v>
      </c>
      <c r="G3944" s="40">
        <v>362.11735574837309</v>
      </c>
      <c r="H3944" s="41">
        <v>0.183684746266844</v>
      </c>
      <c r="I3944" s="40">
        <v>60.043731868547262</v>
      </c>
      <c r="J3944" s="41">
        <v>0.1658129082061183</v>
      </c>
      <c r="K3944" s="9" t="s">
        <v>5431</v>
      </c>
    </row>
    <row r="3945" spans="1:11" x14ac:dyDescent="0.2">
      <c r="A3945" s="9" t="s">
        <v>61</v>
      </c>
      <c r="B3945" s="9" t="s">
        <v>369</v>
      </c>
      <c r="C3945" s="9"/>
      <c r="D3945" s="9" t="s">
        <v>84</v>
      </c>
      <c r="E3945" s="38">
        <v>1629</v>
      </c>
      <c r="F3945" s="39">
        <v>2630740.5299999998</v>
      </c>
      <c r="G3945" s="40">
        <v>1614.9420073664819</v>
      </c>
      <c r="H3945" s="41">
        <v>7.5421057004410055E-2</v>
      </c>
      <c r="I3945" s="40">
        <v>147.09622675715119</v>
      </c>
      <c r="J3945" s="41">
        <v>9.1084525689578089E-2</v>
      </c>
      <c r="K3945" s="9" t="s">
        <v>5432</v>
      </c>
    </row>
    <row r="3946" spans="1:11" x14ac:dyDescent="0.2">
      <c r="A3946" s="9" t="s">
        <v>61</v>
      </c>
      <c r="B3946" s="9" t="s">
        <v>1844</v>
      </c>
      <c r="C3946" s="9"/>
      <c r="D3946" s="9" t="s">
        <v>76</v>
      </c>
      <c r="E3946" s="38">
        <v>4108</v>
      </c>
      <c r="F3946" s="39">
        <v>894098.6</v>
      </c>
      <c r="G3946" s="40">
        <v>217.64814995131451</v>
      </c>
      <c r="H3946" s="41">
        <v>-5.370538809295608E-2</v>
      </c>
      <c r="I3946" s="40">
        <v>13.058888997078871</v>
      </c>
      <c r="J3946" s="41">
        <v>0.06</v>
      </c>
      <c r="K3946" s="9" t="s">
        <v>5433</v>
      </c>
    </row>
    <row r="3947" spans="1:11" x14ac:dyDescent="0.2">
      <c r="A3947" s="9" t="s">
        <v>61</v>
      </c>
      <c r="B3947" s="9" t="s">
        <v>371</v>
      </c>
      <c r="C3947" s="9"/>
      <c r="D3947" s="9" t="s">
        <v>76</v>
      </c>
      <c r="E3947" s="38">
        <v>2553</v>
      </c>
      <c r="F3947" s="39">
        <v>395387.71</v>
      </c>
      <c r="G3947" s="40">
        <v>154.87180180180181</v>
      </c>
      <c r="H3947" s="41">
        <v>-9.4416578457065747E-2</v>
      </c>
      <c r="I3947" s="40">
        <v>39.169588719153943</v>
      </c>
      <c r="J3947" s="41">
        <v>0.25291620723365432</v>
      </c>
      <c r="K3947" s="9" t="s">
        <v>5434</v>
      </c>
    </row>
    <row r="3948" spans="1:11" x14ac:dyDescent="0.2">
      <c r="A3948" s="9" t="s">
        <v>61</v>
      </c>
      <c r="B3948" s="9" t="s">
        <v>384</v>
      </c>
      <c r="C3948" s="9"/>
      <c r="D3948" s="9" t="s">
        <v>77</v>
      </c>
      <c r="E3948" s="38">
        <v>2825</v>
      </c>
      <c r="F3948" s="39">
        <v>846761.65</v>
      </c>
      <c r="G3948" s="40">
        <v>299.73863716814162</v>
      </c>
      <c r="H3948" s="41">
        <v>-3.5826271076909819E-2</v>
      </c>
      <c r="I3948" s="40">
        <v>44.752778761061947</v>
      </c>
      <c r="J3948" s="41">
        <v>0.14930600600534991</v>
      </c>
      <c r="K3948" s="9" t="s">
        <v>5435</v>
      </c>
    </row>
    <row r="3949" spans="1:11" x14ac:dyDescent="0.2">
      <c r="A3949" s="9" t="s">
        <v>61</v>
      </c>
      <c r="B3949" s="9" t="s">
        <v>388</v>
      </c>
      <c r="C3949" s="9"/>
      <c r="D3949" s="9" t="s">
        <v>76</v>
      </c>
      <c r="E3949" s="38">
        <v>12577</v>
      </c>
      <c r="F3949" s="39">
        <v>4988764.1500000004</v>
      </c>
      <c r="G3949" s="40">
        <v>396.65772044207682</v>
      </c>
      <c r="H3949" s="41">
        <v>-5.0086942375689149E-2</v>
      </c>
      <c r="I3949" s="40">
        <v>48.840060630236053</v>
      </c>
      <c r="J3949" s="41">
        <v>0.12312898025986629</v>
      </c>
      <c r="K3949" s="9" t="s">
        <v>5436</v>
      </c>
    </row>
    <row r="3950" spans="1:11" x14ac:dyDescent="0.2">
      <c r="A3950" s="9" t="s">
        <v>61</v>
      </c>
      <c r="B3950" s="9" t="s">
        <v>390</v>
      </c>
      <c r="C3950" s="9"/>
      <c r="D3950" s="9" t="s">
        <v>83</v>
      </c>
      <c r="E3950" s="38">
        <v>2925</v>
      </c>
      <c r="F3950" s="39">
        <v>954718</v>
      </c>
      <c r="G3950" s="40">
        <v>326.39931623931619</v>
      </c>
      <c r="H3950" s="41">
        <v>-0.1078043490222599</v>
      </c>
      <c r="I3950" s="40">
        <v>73.318301341259641</v>
      </c>
      <c r="J3950" s="41">
        <v>0.22462761927939401</v>
      </c>
      <c r="K3950" s="9" t="s">
        <v>5437</v>
      </c>
    </row>
    <row r="3951" spans="1:11" x14ac:dyDescent="0.2">
      <c r="A3951" s="9" t="s">
        <v>61</v>
      </c>
      <c r="B3951" s="9" t="s">
        <v>640</v>
      </c>
      <c r="C3951" s="9"/>
      <c r="D3951" s="9" t="s">
        <v>83</v>
      </c>
      <c r="E3951" s="38">
        <v>1996</v>
      </c>
      <c r="F3951" s="39">
        <v>1874027.69</v>
      </c>
      <c r="G3951" s="40">
        <v>938.89162825651294</v>
      </c>
      <c r="H3951" s="41">
        <v>3.4816388775356477E-2</v>
      </c>
      <c r="I3951" s="40">
        <v>61.486103527266017</v>
      </c>
      <c r="J3951" s="41">
        <v>6.5487966530752256E-2</v>
      </c>
      <c r="K3951" s="9" t="s">
        <v>5438</v>
      </c>
    </row>
    <row r="3952" spans="1:11" x14ac:dyDescent="0.2">
      <c r="A3952" s="9" t="s">
        <v>61</v>
      </c>
      <c r="B3952" s="9" t="s">
        <v>571</v>
      </c>
      <c r="C3952" s="9"/>
      <c r="D3952" s="9" t="s">
        <v>76</v>
      </c>
      <c r="E3952" s="38">
        <v>3725</v>
      </c>
      <c r="F3952" s="39">
        <v>411927.83</v>
      </c>
      <c r="G3952" s="40">
        <v>110.5846523489933</v>
      </c>
      <c r="H3952" s="41">
        <v>1.2086825885636599E-2</v>
      </c>
      <c r="I3952" s="40">
        <v>5.5292326174496651</v>
      </c>
      <c r="J3952" s="41">
        <v>0.05</v>
      </c>
      <c r="K3952" s="9" t="s">
        <v>5439</v>
      </c>
    </row>
    <row r="3953" spans="1:11" x14ac:dyDescent="0.2">
      <c r="A3953" s="9" t="s">
        <v>61</v>
      </c>
      <c r="B3953" s="9" t="s">
        <v>392</v>
      </c>
      <c r="C3953" s="9"/>
      <c r="D3953" s="9" t="s">
        <v>76</v>
      </c>
      <c r="E3953" s="38">
        <v>4290</v>
      </c>
      <c r="F3953" s="39">
        <v>1119054.77</v>
      </c>
      <c r="G3953" s="40">
        <v>260.85192773892783</v>
      </c>
      <c r="H3953" s="41">
        <v>-5.3302759344174867E-2</v>
      </c>
      <c r="I3953" s="40">
        <v>55.473489100107876</v>
      </c>
      <c r="J3953" s="41">
        <v>0.21266275308353569</v>
      </c>
      <c r="K3953" s="9" t="s">
        <v>5440</v>
      </c>
    </row>
    <row r="3954" spans="1:11" x14ac:dyDescent="0.2">
      <c r="A3954" s="9" t="s">
        <v>61</v>
      </c>
      <c r="B3954" s="9" t="s">
        <v>5441</v>
      </c>
      <c r="C3954" s="9"/>
      <c r="D3954" s="9" t="s">
        <v>80</v>
      </c>
      <c r="E3954" s="38">
        <v>905</v>
      </c>
      <c r="F3954" s="39">
        <v>330618.31</v>
      </c>
      <c r="G3954" s="40">
        <v>365.32409944751379</v>
      </c>
      <c r="H3954" s="41">
        <v>-4.6759164026399E-2</v>
      </c>
      <c r="I3954" s="40">
        <v>135.17355272400201</v>
      </c>
      <c r="J3954" s="41">
        <v>0.3700099526103735</v>
      </c>
      <c r="K3954" s="9" t="s">
        <v>5442</v>
      </c>
    </row>
    <row r="3955" spans="1:11" x14ac:dyDescent="0.2">
      <c r="A3955" s="9" t="s">
        <v>61</v>
      </c>
      <c r="B3955" s="9" t="s">
        <v>574</v>
      </c>
      <c r="C3955" s="9"/>
      <c r="D3955" s="9" t="s">
        <v>82</v>
      </c>
      <c r="E3955" s="38">
        <v>1428</v>
      </c>
      <c r="F3955" s="39">
        <v>313735</v>
      </c>
      <c r="G3955" s="40">
        <v>219.70238095238099</v>
      </c>
      <c r="H3955" s="41">
        <v>-0.32332313077194352</v>
      </c>
      <c r="I3955" s="40">
        <v>44.071033386985462</v>
      </c>
      <c r="J3955" s="41">
        <v>0.2005942457061381</v>
      </c>
      <c r="K3955" s="9" t="s">
        <v>5443</v>
      </c>
    </row>
    <row r="3956" spans="1:11" x14ac:dyDescent="0.2">
      <c r="A3956" s="9" t="s">
        <v>61</v>
      </c>
      <c r="B3956" s="9" t="s">
        <v>396</v>
      </c>
      <c r="C3956" s="9"/>
      <c r="D3956" s="9" t="s">
        <v>78</v>
      </c>
      <c r="E3956" s="38">
        <v>1362</v>
      </c>
      <c r="F3956" s="39">
        <v>1230552.5</v>
      </c>
      <c r="G3956" s="40">
        <v>903.48935389133624</v>
      </c>
      <c r="H3956" s="41">
        <v>-0.23871353737627851</v>
      </c>
      <c r="I3956" s="40">
        <v>201.74664282369341</v>
      </c>
      <c r="J3956" s="41">
        <v>0.22329719985605681</v>
      </c>
      <c r="K3956" s="9" t="s">
        <v>5444</v>
      </c>
    </row>
    <row r="3957" spans="1:11" x14ac:dyDescent="0.2">
      <c r="A3957" s="9" t="s">
        <v>61</v>
      </c>
      <c r="B3957" s="9" t="s">
        <v>579</v>
      </c>
      <c r="C3957" s="9"/>
      <c r="D3957" s="9" t="s">
        <v>76</v>
      </c>
      <c r="E3957" s="38">
        <v>27184</v>
      </c>
      <c r="F3957" s="39">
        <v>9693999</v>
      </c>
      <c r="G3957" s="40">
        <v>356.60679075927021</v>
      </c>
      <c r="H3957" s="41"/>
      <c r="I3957" s="40">
        <v>47.066901118304891</v>
      </c>
      <c r="J3957" s="41">
        <v>0.1319854313993637</v>
      </c>
      <c r="K3957" s="9" t="s">
        <v>5445</v>
      </c>
    </row>
    <row r="3958" spans="1:11" x14ac:dyDescent="0.2">
      <c r="A3958" s="9" t="s">
        <v>61</v>
      </c>
      <c r="B3958" s="9" t="s">
        <v>398</v>
      </c>
      <c r="C3958" s="9"/>
      <c r="D3958" s="9" t="s">
        <v>76</v>
      </c>
      <c r="E3958" s="38">
        <v>2576</v>
      </c>
      <c r="F3958" s="39">
        <v>611837.31000000006</v>
      </c>
      <c r="G3958" s="40">
        <v>237.51448369565219</v>
      </c>
      <c r="H3958" s="41">
        <v>1.3720642603997539E-2</v>
      </c>
      <c r="I3958" s="40">
        <v>14.29998447204969</v>
      </c>
      <c r="J3958" s="41">
        <v>6.020678928521047E-2</v>
      </c>
      <c r="K3958" s="9" t="s">
        <v>5446</v>
      </c>
    </row>
    <row r="3959" spans="1:11" x14ac:dyDescent="0.2">
      <c r="A3959" s="9" t="s">
        <v>67</v>
      </c>
      <c r="B3959" s="9" t="s">
        <v>400</v>
      </c>
      <c r="C3959" s="9"/>
      <c r="D3959" s="9" t="s">
        <v>80</v>
      </c>
      <c r="E3959" s="38">
        <v>1540</v>
      </c>
      <c r="F3959" s="39">
        <v>1599736.79</v>
      </c>
      <c r="G3959" s="40">
        <v>1038.7901233766229</v>
      </c>
      <c r="H3959" s="41">
        <v>-0.1952752157288172</v>
      </c>
      <c r="I3959" s="40">
        <v>178.40900327331661</v>
      </c>
      <c r="J3959" s="41">
        <v>0.1717469190921761</v>
      </c>
      <c r="K3959" s="9" t="s">
        <v>5447</v>
      </c>
    </row>
    <row r="3960" spans="1:11" x14ac:dyDescent="0.2">
      <c r="A3960" s="9" t="s">
        <v>67</v>
      </c>
      <c r="B3960" s="9" t="s">
        <v>650</v>
      </c>
      <c r="C3960" s="9"/>
      <c r="D3960" s="9" t="s">
        <v>76</v>
      </c>
      <c r="E3960" s="38">
        <v>6741</v>
      </c>
      <c r="F3960" s="39">
        <v>3348676.39</v>
      </c>
      <c r="G3960" s="40">
        <v>496.76255600059341</v>
      </c>
      <c r="H3960" s="41">
        <v>-4.1076204866885638E-2</v>
      </c>
      <c r="I3960" s="40">
        <v>160.08779317660461</v>
      </c>
      <c r="J3960" s="41">
        <v>0.32226219799145522</v>
      </c>
      <c r="K3960" s="9" t="s">
        <v>5448</v>
      </c>
    </row>
    <row r="3961" spans="1:11" x14ac:dyDescent="0.2">
      <c r="A3961" s="9" t="s">
        <v>67</v>
      </c>
      <c r="B3961" s="9" t="s">
        <v>652</v>
      </c>
      <c r="C3961" s="9"/>
      <c r="D3961" s="9" t="s">
        <v>76</v>
      </c>
      <c r="E3961" s="38">
        <v>2919</v>
      </c>
      <c r="F3961" s="39">
        <v>1853148.61</v>
      </c>
      <c r="G3961" s="40">
        <v>634.85735183281952</v>
      </c>
      <c r="H3961" s="41">
        <v>-0.11850952976953021</v>
      </c>
      <c r="I3961" s="40">
        <v>107.54769779739721</v>
      </c>
      <c r="J3961" s="41">
        <v>0.16940450872453369</v>
      </c>
      <c r="K3961" s="9" t="s">
        <v>5449</v>
      </c>
    </row>
    <row r="3962" spans="1:11" x14ac:dyDescent="0.2">
      <c r="A3962" s="9" t="s">
        <v>67</v>
      </c>
      <c r="B3962" s="9" t="s">
        <v>4296</v>
      </c>
      <c r="C3962" s="9"/>
      <c r="D3962" s="9" t="s">
        <v>76</v>
      </c>
      <c r="E3962" s="38">
        <v>3670</v>
      </c>
      <c r="F3962" s="39">
        <v>2627097.94</v>
      </c>
      <c r="G3962" s="40">
        <v>715.83050136239785</v>
      </c>
      <c r="H3962" s="41">
        <v>6.9256723483788626E-2</v>
      </c>
      <c r="I3962" s="40">
        <v>200.70373020739109</v>
      </c>
      <c r="J3962" s="41">
        <v>0.28037884642440303</v>
      </c>
      <c r="K3962" s="9" t="s">
        <v>5450</v>
      </c>
    </row>
    <row r="3963" spans="1:11" x14ac:dyDescent="0.2">
      <c r="A3963" s="9" t="s">
        <v>67</v>
      </c>
      <c r="B3963" s="9" t="s">
        <v>5451</v>
      </c>
      <c r="C3963" s="9"/>
      <c r="D3963" s="9" t="s">
        <v>79</v>
      </c>
      <c r="E3963" s="38">
        <v>708</v>
      </c>
      <c r="F3963" s="39">
        <v>848062.81</v>
      </c>
      <c r="G3963" s="40">
        <v>1197.8288276836161</v>
      </c>
      <c r="H3963" s="41">
        <v>-0.30212675505540498</v>
      </c>
      <c r="I3963" s="40">
        <v>317.77887609258181</v>
      </c>
      <c r="J3963" s="41">
        <v>0.26529573236862952</v>
      </c>
      <c r="K3963" s="9" t="s">
        <v>5452</v>
      </c>
    </row>
    <row r="3964" spans="1:11" x14ac:dyDescent="0.2">
      <c r="A3964" s="9" t="s">
        <v>67</v>
      </c>
      <c r="B3964" s="9" t="s">
        <v>168</v>
      </c>
      <c r="C3964" s="9"/>
      <c r="D3964" s="9" t="s">
        <v>77</v>
      </c>
      <c r="E3964" s="38">
        <v>2555</v>
      </c>
      <c r="F3964" s="39">
        <v>1810948.53</v>
      </c>
      <c r="G3964" s="40">
        <v>708.78611741682971</v>
      </c>
      <c r="H3964" s="41">
        <v>-1.2576014338639349E-2</v>
      </c>
      <c r="I3964" s="40">
        <v>170.1349294478253</v>
      </c>
      <c r="J3964" s="41">
        <v>0.24003705104705189</v>
      </c>
      <c r="K3964" s="9" t="s">
        <v>5453</v>
      </c>
    </row>
    <row r="3965" spans="1:11" x14ac:dyDescent="0.2">
      <c r="A3965" s="9" t="s">
        <v>67</v>
      </c>
      <c r="B3965" s="9" t="s">
        <v>403</v>
      </c>
      <c r="C3965" s="9"/>
      <c r="D3965" s="9" t="s">
        <v>86</v>
      </c>
      <c r="E3965" s="38">
        <v>105122</v>
      </c>
      <c r="F3965" s="39">
        <v>14406416.85</v>
      </c>
      <c r="G3965" s="40">
        <v>137.0447370674074</v>
      </c>
      <c r="H3965" s="41">
        <v>-0.28798726752979792</v>
      </c>
      <c r="I3965" s="40">
        <v>43.66</v>
      </c>
      <c r="J3965" s="41">
        <v>0.31858209905955898</v>
      </c>
      <c r="K3965" s="9" t="s">
        <v>5454</v>
      </c>
    </row>
    <row r="3966" spans="1:11" x14ac:dyDescent="0.2">
      <c r="A3966" s="9" t="s">
        <v>67</v>
      </c>
      <c r="B3966" s="9" t="s">
        <v>169</v>
      </c>
      <c r="C3966" s="9"/>
      <c r="D3966" s="9" t="s">
        <v>76</v>
      </c>
      <c r="E3966" s="38">
        <v>6712</v>
      </c>
      <c r="F3966" s="39">
        <v>6878530.3099999996</v>
      </c>
      <c r="G3966" s="40">
        <v>1024.81083283671</v>
      </c>
      <c r="H3966" s="41"/>
      <c r="I3966" s="40">
        <v>170.20423823562399</v>
      </c>
      <c r="J3966" s="41">
        <v>0.16608356662711399</v>
      </c>
      <c r="K3966" s="9" t="s">
        <v>5455</v>
      </c>
    </row>
    <row r="3967" spans="1:11" x14ac:dyDescent="0.2">
      <c r="A3967" s="9" t="s">
        <v>67</v>
      </c>
      <c r="B3967" s="9" t="s">
        <v>5456</v>
      </c>
      <c r="C3967" s="9"/>
      <c r="D3967" s="9" t="s">
        <v>85</v>
      </c>
      <c r="E3967" s="38">
        <v>22997</v>
      </c>
      <c r="F3967" s="39">
        <v>5926462.1200000001</v>
      </c>
      <c r="G3967" s="40">
        <v>257.70587989737788</v>
      </c>
      <c r="H3967" s="41">
        <v>5.4758390974778789E-2</v>
      </c>
      <c r="I3967" s="40">
        <v>34.473822813473483</v>
      </c>
      <c r="J3967" s="41">
        <v>0.13377196836642391</v>
      </c>
      <c r="K3967" s="9" t="s">
        <v>5457</v>
      </c>
    </row>
    <row r="3968" spans="1:11" x14ac:dyDescent="0.2">
      <c r="A3968" s="9" t="s">
        <v>67</v>
      </c>
      <c r="B3968" s="9" t="s">
        <v>406</v>
      </c>
      <c r="C3968" s="9"/>
      <c r="D3968" s="9" t="s">
        <v>76</v>
      </c>
      <c r="E3968" s="38">
        <v>3974</v>
      </c>
      <c r="F3968" s="39">
        <v>3779668.56</v>
      </c>
      <c r="G3968" s="40">
        <v>951.09928535480628</v>
      </c>
      <c r="H3968" s="41">
        <v>-0.46219731346803528</v>
      </c>
      <c r="I3968" s="40">
        <v>113.20632292808671</v>
      </c>
      <c r="J3968" s="41">
        <v>0.1190268194617088</v>
      </c>
      <c r="K3968" s="9" t="s">
        <v>5458</v>
      </c>
    </row>
    <row r="3969" spans="1:11" x14ac:dyDescent="0.2">
      <c r="A3969" s="9" t="s">
        <v>67</v>
      </c>
      <c r="B3969" s="9" t="s">
        <v>408</v>
      </c>
      <c r="C3969" s="9"/>
      <c r="D3969" s="9" t="s">
        <v>76</v>
      </c>
      <c r="E3969" s="38">
        <v>5613</v>
      </c>
      <c r="F3969" s="39">
        <v>3300987.34</v>
      </c>
      <c r="G3969" s="40">
        <v>588.0968002850525</v>
      </c>
      <c r="H3969" s="41">
        <v>-0.33638870879434152</v>
      </c>
      <c r="I3969" s="40">
        <v>75.397628757884803</v>
      </c>
      <c r="J3969" s="41">
        <v>0.12820615368310001</v>
      </c>
      <c r="K3969" s="9" t="s">
        <v>5459</v>
      </c>
    </row>
    <row r="3970" spans="1:11" x14ac:dyDescent="0.2">
      <c r="A3970" s="9" t="s">
        <v>67</v>
      </c>
      <c r="B3970" s="9" t="s">
        <v>87</v>
      </c>
      <c r="C3970" s="9"/>
      <c r="D3970" s="9" t="s">
        <v>87</v>
      </c>
      <c r="E3970" s="38">
        <v>13010</v>
      </c>
      <c r="F3970" s="39">
        <v>72226551</v>
      </c>
      <c r="G3970" s="40">
        <v>5551.6180630284398</v>
      </c>
      <c r="H3970" s="41">
        <v>-0.1188746224091583</v>
      </c>
      <c r="I3970" s="40">
        <v>136.37827940595719</v>
      </c>
      <c r="J3970" s="41">
        <v>2.456550105890427E-2</v>
      </c>
      <c r="K3970" s="9" t="s">
        <v>5460</v>
      </c>
    </row>
    <row r="3971" spans="1:11" x14ac:dyDescent="0.2">
      <c r="A3971" s="9" t="s">
        <v>67</v>
      </c>
      <c r="B3971" s="9" t="s">
        <v>5461</v>
      </c>
      <c r="C3971" s="9"/>
      <c r="D3971" s="9" t="s">
        <v>79</v>
      </c>
      <c r="E3971" s="38">
        <v>667</v>
      </c>
      <c r="F3971" s="39">
        <v>1107872</v>
      </c>
      <c r="G3971" s="40">
        <v>1660.9775112443781</v>
      </c>
      <c r="H3971" s="41">
        <v>-6.1708621197995098E-2</v>
      </c>
      <c r="I3971" s="40">
        <v>276.92602870885031</v>
      </c>
      <c r="J3971" s="41">
        <v>0.16672473096964549</v>
      </c>
      <c r="K3971" s="9" t="s">
        <v>5462</v>
      </c>
    </row>
    <row r="3972" spans="1:11" x14ac:dyDescent="0.2">
      <c r="A3972" s="9" t="s">
        <v>67</v>
      </c>
      <c r="B3972" s="9" t="s">
        <v>5463</v>
      </c>
      <c r="C3972" s="9"/>
      <c r="D3972" s="9" t="s">
        <v>76</v>
      </c>
      <c r="E3972" s="38">
        <v>3306</v>
      </c>
      <c r="F3972" s="39">
        <v>441930.95</v>
      </c>
      <c r="G3972" s="40">
        <v>133.67542347247431</v>
      </c>
      <c r="H3972" s="41"/>
      <c r="I3972" s="40">
        <v>151.9671847622617</v>
      </c>
      <c r="J3972" s="41">
        <v>1.136837129927282E-2</v>
      </c>
      <c r="K3972" s="9" t="s">
        <v>5464</v>
      </c>
    </row>
    <row r="3973" spans="1:11" x14ac:dyDescent="0.2">
      <c r="A3973" s="9" t="s">
        <v>67</v>
      </c>
      <c r="B3973" s="9" t="s">
        <v>2919</v>
      </c>
      <c r="C3973" s="9"/>
      <c r="D3973" s="9" t="s">
        <v>76</v>
      </c>
      <c r="E3973" s="38">
        <v>7741</v>
      </c>
      <c r="F3973" s="39">
        <v>10587015.869999999</v>
      </c>
      <c r="G3973" s="40">
        <v>1367.65480816432</v>
      </c>
      <c r="H3973" s="41">
        <v>-0.90737388139029429</v>
      </c>
      <c r="I3973" s="40">
        <v>145.52697568149401</v>
      </c>
      <c r="J3973" s="41">
        <v>0.1064062180111235</v>
      </c>
      <c r="K3973" s="9" t="s">
        <v>5465</v>
      </c>
    </row>
    <row r="3974" spans="1:11" x14ac:dyDescent="0.2">
      <c r="A3974" s="9" t="s">
        <v>67</v>
      </c>
      <c r="B3974" s="9" t="s">
        <v>171</v>
      </c>
      <c r="C3974" s="9"/>
      <c r="D3974" s="9" t="s">
        <v>84</v>
      </c>
      <c r="E3974" s="38">
        <v>4147</v>
      </c>
      <c r="F3974" s="39">
        <v>0</v>
      </c>
      <c r="G3974" s="40"/>
      <c r="H3974" s="41"/>
      <c r="I3974" s="40">
        <v>275.81828290320152</v>
      </c>
      <c r="J3974" s="41"/>
      <c r="K3974" s="9" t="s">
        <v>5466</v>
      </c>
    </row>
    <row r="3975" spans="1:11" x14ac:dyDescent="0.2">
      <c r="A3975" s="9" t="s">
        <v>67</v>
      </c>
      <c r="B3975" s="9" t="s">
        <v>985</v>
      </c>
      <c r="C3975" s="9"/>
      <c r="D3975" s="9" t="s">
        <v>76</v>
      </c>
      <c r="E3975" s="38">
        <v>4660</v>
      </c>
      <c r="F3975" s="39">
        <v>3790476.92</v>
      </c>
      <c r="G3975" s="40">
        <v>813.40706437768233</v>
      </c>
      <c r="H3975" s="41">
        <v>1.6986378611250359E-2</v>
      </c>
      <c r="I3975" s="40">
        <v>164.96455282008009</v>
      </c>
      <c r="J3975" s="41">
        <v>0.20280688482376341</v>
      </c>
      <c r="K3975" s="9" t="s">
        <v>5467</v>
      </c>
    </row>
    <row r="3976" spans="1:11" x14ac:dyDescent="0.2">
      <c r="A3976" s="9" t="s">
        <v>67</v>
      </c>
      <c r="B3976" s="9" t="s">
        <v>173</v>
      </c>
      <c r="C3976" s="9"/>
      <c r="D3976" s="9" t="s">
        <v>80</v>
      </c>
      <c r="E3976" s="38">
        <v>395</v>
      </c>
      <c r="F3976" s="39">
        <v>1402325.37</v>
      </c>
      <c r="G3976" s="40">
        <v>3550.1908101265831</v>
      </c>
      <c r="H3976" s="41">
        <v>-0.1554774176920162</v>
      </c>
      <c r="I3976" s="40">
        <v>327.83976619032092</v>
      </c>
      <c r="J3976" s="41">
        <v>9.234426647018211E-2</v>
      </c>
      <c r="K3976" s="9" t="s">
        <v>5468</v>
      </c>
    </row>
    <row r="3977" spans="1:11" x14ac:dyDescent="0.2">
      <c r="A3977" s="9" t="s">
        <v>67</v>
      </c>
      <c r="B3977" s="9" t="s">
        <v>2331</v>
      </c>
      <c r="C3977" s="9"/>
      <c r="D3977" s="9" t="s">
        <v>79</v>
      </c>
      <c r="E3977" s="38">
        <v>1000</v>
      </c>
      <c r="F3977" s="39">
        <v>637537.6</v>
      </c>
      <c r="G3977" s="40">
        <v>637.5376</v>
      </c>
      <c r="H3977" s="41">
        <v>-7.7148034589518064E-2</v>
      </c>
      <c r="I3977" s="40">
        <v>248.0699978761775</v>
      </c>
      <c r="J3977" s="41">
        <v>0.38910645878168992</v>
      </c>
      <c r="K3977" s="9" t="s">
        <v>5469</v>
      </c>
    </row>
    <row r="3978" spans="1:11" x14ac:dyDescent="0.2">
      <c r="A3978" s="9" t="s">
        <v>67</v>
      </c>
      <c r="B3978" s="9" t="s">
        <v>5470</v>
      </c>
      <c r="C3978" s="9"/>
      <c r="D3978" s="9" t="s">
        <v>85</v>
      </c>
      <c r="E3978" s="38">
        <v>12575</v>
      </c>
      <c r="F3978" s="39">
        <v>5073831</v>
      </c>
      <c r="G3978" s="40">
        <v>403.48556660039759</v>
      </c>
      <c r="H3978" s="41">
        <v>-3.4447313705825038E-2</v>
      </c>
      <c r="I3978" s="40">
        <v>93.294405728369199</v>
      </c>
      <c r="J3978" s="41">
        <v>0.2312211723319603</v>
      </c>
      <c r="K3978" s="9" t="s">
        <v>5471</v>
      </c>
    </row>
    <row r="3979" spans="1:11" x14ac:dyDescent="0.2">
      <c r="A3979" s="9" t="s">
        <v>67</v>
      </c>
      <c r="B3979" s="9" t="s">
        <v>661</v>
      </c>
      <c r="C3979" s="9"/>
      <c r="D3979" s="9" t="s">
        <v>76</v>
      </c>
      <c r="E3979" s="38">
        <v>13116</v>
      </c>
      <c r="F3979" s="39">
        <v>5659558.54</v>
      </c>
      <c r="G3979" s="40">
        <v>431.50034614211648</v>
      </c>
      <c r="H3979" s="41">
        <v>-0.1689243581292964</v>
      </c>
      <c r="I3979" s="40">
        <v>179.98961936683909</v>
      </c>
      <c r="J3979" s="41">
        <v>0.41712508686507233</v>
      </c>
      <c r="K3979" s="9" t="s">
        <v>5472</v>
      </c>
    </row>
    <row r="3980" spans="1:11" x14ac:dyDescent="0.2">
      <c r="A3980" s="9" t="s">
        <v>67</v>
      </c>
      <c r="B3980" s="9" t="s">
        <v>175</v>
      </c>
      <c r="C3980" s="9"/>
      <c r="D3980" s="9" t="s">
        <v>78</v>
      </c>
      <c r="E3980" s="38">
        <v>180</v>
      </c>
      <c r="F3980" s="39">
        <v>530893.98</v>
      </c>
      <c r="G3980" s="40">
        <v>2949.4110000000001</v>
      </c>
      <c r="H3980" s="41">
        <v>2.9718878775747321E-2</v>
      </c>
      <c r="I3980" s="40">
        <v>781.98438293356469</v>
      </c>
      <c r="J3980" s="41">
        <v>0.26513238844418918</v>
      </c>
      <c r="K3980" s="9" t="s">
        <v>5473</v>
      </c>
    </row>
    <row r="3981" spans="1:11" x14ac:dyDescent="0.2">
      <c r="A3981" s="9" t="s">
        <v>67</v>
      </c>
      <c r="B3981" s="9" t="s">
        <v>177</v>
      </c>
      <c r="C3981" s="9"/>
      <c r="D3981" s="9" t="s">
        <v>85</v>
      </c>
      <c r="E3981" s="38">
        <v>16345</v>
      </c>
      <c r="F3981" s="39">
        <v>8071661.4199999999</v>
      </c>
      <c r="G3981" s="40">
        <v>493.83061609054761</v>
      </c>
      <c r="H3981" s="41">
        <v>-0.1422961025014777</v>
      </c>
      <c r="I3981" s="40">
        <v>70</v>
      </c>
      <c r="J3981" s="41">
        <v>0.14174900809949981</v>
      </c>
      <c r="K3981" s="9" t="s">
        <v>5474</v>
      </c>
    </row>
    <row r="3982" spans="1:11" x14ac:dyDescent="0.2">
      <c r="A3982" s="9" t="s">
        <v>67</v>
      </c>
      <c r="B3982" s="9" t="s">
        <v>179</v>
      </c>
      <c r="C3982" s="9"/>
      <c r="D3982" s="9" t="s">
        <v>79</v>
      </c>
      <c r="E3982" s="38">
        <v>4906</v>
      </c>
      <c r="F3982" s="39">
        <v>5489607</v>
      </c>
      <c r="G3982" s="40">
        <v>1118.9578067672239</v>
      </c>
      <c r="H3982" s="41">
        <v>-3.0743174778827809E-2</v>
      </c>
      <c r="I3982" s="40">
        <v>191.96813921417001</v>
      </c>
      <c r="J3982" s="41">
        <v>0.17155976575093951</v>
      </c>
      <c r="K3982" s="9" t="s">
        <v>5475</v>
      </c>
    </row>
    <row r="3983" spans="1:11" x14ac:dyDescent="0.2">
      <c r="A3983" s="9" t="s">
        <v>67</v>
      </c>
      <c r="B3983" s="9" t="s">
        <v>5476</v>
      </c>
      <c r="C3983" s="9"/>
      <c r="D3983" s="9" t="s">
        <v>83</v>
      </c>
      <c r="E3983" s="38">
        <v>1380</v>
      </c>
      <c r="F3983" s="39">
        <v>197340</v>
      </c>
      <c r="G3983" s="40">
        <v>143</v>
      </c>
      <c r="H3983" s="41">
        <v>-0.19483003606951579</v>
      </c>
      <c r="I3983" s="40">
        <v>177.4125395957887</v>
      </c>
      <c r="J3983" s="41">
        <v>1.2406471300404801E-2</v>
      </c>
      <c r="K3983" s="9" t="s">
        <v>5477</v>
      </c>
    </row>
    <row r="3984" spans="1:11" x14ac:dyDescent="0.2">
      <c r="A3984" s="9" t="s">
        <v>67</v>
      </c>
      <c r="B3984" s="9" t="s">
        <v>5478</v>
      </c>
      <c r="C3984" s="9"/>
      <c r="D3984" s="9" t="s">
        <v>80</v>
      </c>
      <c r="E3984" s="38">
        <v>800</v>
      </c>
      <c r="F3984" s="39">
        <v>815619.7</v>
      </c>
      <c r="G3984" s="40">
        <v>1019.524625</v>
      </c>
      <c r="H3984" s="41">
        <v>-0.1951051180042922</v>
      </c>
      <c r="I3984" s="40">
        <v>223.25518674925951</v>
      </c>
      <c r="J3984" s="41">
        <v>0.21897969041136159</v>
      </c>
      <c r="K3984" s="9" t="s">
        <v>5479</v>
      </c>
    </row>
    <row r="3985" spans="1:11" x14ac:dyDescent="0.2">
      <c r="A3985" s="9" t="s">
        <v>67</v>
      </c>
      <c r="B3985" s="9" t="s">
        <v>5480</v>
      </c>
      <c r="C3985" s="9"/>
      <c r="D3985" s="9" t="s">
        <v>79</v>
      </c>
      <c r="E3985" s="38">
        <v>1313</v>
      </c>
      <c r="F3985" s="39">
        <v>0</v>
      </c>
      <c r="G3985" s="40"/>
      <c r="H3985" s="41"/>
      <c r="I3985" s="40">
        <v>170.4070368543388</v>
      </c>
      <c r="J3985" s="41"/>
      <c r="K3985" s="9" t="s">
        <v>5481</v>
      </c>
    </row>
    <row r="3986" spans="1:11" x14ac:dyDescent="0.2">
      <c r="A3986" s="9" t="s">
        <v>67</v>
      </c>
      <c r="B3986" s="9" t="s">
        <v>5482</v>
      </c>
      <c r="C3986" s="9"/>
      <c r="D3986" s="9" t="s">
        <v>76</v>
      </c>
      <c r="E3986" s="38">
        <v>4948</v>
      </c>
      <c r="F3986" s="39">
        <v>2886541.41</v>
      </c>
      <c r="G3986" s="40">
        <v>583.3753860145514</v>
      </c>
      <c r="H3986" s="41">
        <v>-0.99999996670748337</v>
      </c>
      <c r="I3986" s="40">
        <v>85.41832108847214</v>
      </c>
      <c r="J3986" s="41">
        <v>0.14642085205552621</v>
      </c>
      <c r="K3986" s="9" t="s">
        <v>5483</v>
      </c>
    </row>
    <row r="3987" spans="1:11" x14ac:dyDescent="0.2">
      <c r="A3987" s="9" t="s">
        <v>67</v>
      </c>
      <c r="B3987" s="9" t="s">
        <v>1206</v>
      </c>
      <c r="C3987" s="9"/>
      <c r="D3987" s="9" t="s">
        <v>86</v>
      </c>
      <c r="E3987" s="38">
        <v>252754</v>
      </c>
      <c r="F3987" s="39">
        <v>92930560.340000004</v>
      </c>
      <c r="G3987" s="40">
        <v>367.67196697183817</v>
      </c>
      <c r="H3987" s="41">
        <v>-7.2459287491139848E-2</v>
      </c>
      <c r="I3987" s="40">
        <v>4.8208609165461258</v>
      </c>
      <c r="J3987" s="41">
        <v>1.3111853362797649E-2</v>
      </c>
      <c r="K3987" s="9" t="s">
        <v>5484</v>
      </c>
    </row>
    <row r="3988" spans="1:11" x14ac:dyDescent="0.2">
      <c r="A3988" s="9" t="s">
        <v>67</v>
      </c>
      <c r="B3988" s="9" t="s">
        <v>5485</v>
      </c>
      <c r="C3988" s="9"/>
      <c r="D3988" s="9" t="s">
        <v>78</v>
      </c>
      <c r="E3988" s="38">
        <v>2296</v>
      </c>
      <c r="F3988" s="39">
        <v>4449147.07</v>
      </c>
      <c r="G3988" s="40">
        <v>1937.781824912892</v>
      </c>
      <c r="H3988" s="41">
        <v>0.5212853304714048</v>
      </c>
      <c r="I3988" s="40">
        <v>210.25774070352719</v>
      </c>
      <c r="J3988" s="41">
        <v>0.10850434140746409</v>
      </c>
      <c r="K3988" s="9" t="s">
        <v>5486</v>
      </c>
    </row>
    <row r="3989" spans="1:11" x14ac:dyDescent="0.2">
      <c r="A3989" s="9" t="s">
        <v>67</v>
      </c>
      <c r="B3989" s="9" t="s">
        <v>1758</v>
      </c>
      <c r="C3989" s="9"/>
      <c r="D3989" s="9" t="s">
        <v>76</v>
      </c>
      <c r="E3989" s="38">
        <v>10395</v>
      </c>
      <c r="F3989" s="39">
        <v>4219332.1100000003</v>
      </c>
      <c r="G3989" s="40">
        <v>405.90015488215488</v>
      </c>
      <c r="H3989" s="41">
        <v>-0.31163096585803562</v>
      </c>
      <c r="I3989" s="40">
        <v>60.885023232323242</v>
      </c>
      <c r="J3989" s="41">
        <v>0.15</v>
      </c>
      <c r="K3989" s="9" t="s">
        <v>5487</v>
      </c>
    </row>
    <row r="3990" spans="1:11" x14ac:dyDescent="0.2">
      <c r="A3990" s="9" t="s">
        <v>67</v>
      </c>
      <c r="B3990" s="9" t="s">
        <v>5488</v>
      </c>
      <c r="C3990" s="9"/>
      <c r="D3990" s="9" t="s">
        <v>83</v>
      </c>
      <c r="E3990" s="38">
        <v>550</v>
      </c>
      <c r="F3990" s="39">
        <v>204861.3</v>
      </c>
      <c r="G3990" s="40">
        <v>372.47509090909091</v>
      </c>
      <c r="H3990" s="41">
        <v>-0.38052321187004268</v>
      </c>
      <c r="I3990" s="40">
        <v>257.08543001473879</v>
      </c>
      <c r="J3990" s="41">
        <v>0.69020838249150218</v>
      </c>
      <c r="K3990" s="9" t="s">
        <v>5489</v>
      </c>
    </row>
    <row r="3991" spans="1:11" x14ac:dyDescent="0.2">
      <c r="A3991" s="9" t="s">
        <v>67</v>
      </c>
      <c r="B3991" s="9" t="s">
        <v>5490</v>
      </c>
      <c r="C3991" s="9"/>
      <c r="D3991" s="9" t="s">
        <v>76</v>
      </c>
      <c r="E3991" s="38">
        <v>1540</v>
      </c>
      <c r="F3991" s="39">
        <v>0</v>
      </c>
      <c r="G3991" s="40"/>
      <c r="H3991" s="41"/>
      <c r="I3991" s="40">
        <v>207.95389460247219</v>
      </c>
      <c r="J3991" s="41"/>
      <c r="K3991" s="9" t="s">
        <v>5491</v>
      </c>
    </row>
    <row r="3992" spans="1:11" x14ac:dyDescent="0.2">
      <c r="A3992" s="9" t="s">
        <v>67</v>
      </c>
      <c r="B3992" s="9" t="s">
        <v>426</v>
      </c>
      <c r="C3992" s="9"/>
      <c r="D3992" s="9" t="s">
        <v>81</v>
      </c>
      <c r="E3992" s="38">
        <v>4560</v>
      </c>
      <c r="F3992" s="39">
        <v>3268006.5</v>
      </c>
      <c r="G3992" s="40">
        <v>716.66809210526321</v>
      </c>
      <c r="H3992" s="41">
        <v>-0.12961839295501329</v>
      </c>
      <c r="I3992" s="40">
        <v>93.938578406899964</v>
      </c>
      <c r="J3992" s="41">
        <v>0.1310768254394426</v>
      </c>
      <c r="K3992" s="9" t="s">
        <v>5492</v>
      </c>
    </row>
    <row r="3993" spans="1:11" x14ac:dyDescent="0.2">
      <c r="A3993" s="9" t="s">
        <v>67</v>
      </c>
      <c r="B3993" s="9" t="s">
        <v>5493</v>
      </c>
      <c r="C3993" s="9"/>
      <c r="D3993" s="9" t="s">
        <v>81</v>
      </c>
      <c r="E3993" s="38">
        <v>673</v>
      </c>
      <c r="F3993" s="39">
        <v>879654.02</v>
      </c>
      <c r="G3993" s="40">
        <v>1307.0639227340271</v>
      </c>
      <c r="H3993" s="41">
        <v>-0.14610456214725501</v>
      </c>
      <c r="I3993" s="40">
        <v>255.9579061098656</v>
      </c>
      <c r="J3993" s="41">
        <v>0.19582661693734951</v>
      </c>
      <c r="K3993" s="9" t="s">
        <v>5494</v>
      </c>
    </row>
    <row r="3994" spans="1:11" x14ac:dyDescent="0.2">
      <c r="A3994" s="9" t="s">
        <v>67</v>
      </c>
      <c r="B3994" s="9" t="s">
        <v>5495</v>
      </c>
      <c r="C3994" s="9"/>
      <c r="D3994" s="9" t="s">
        <v>76</v>
      </c>
      <c r="E3994" s="38">
        <v>2501</v>
      </c>
      <c r="F3994" s="39">
        <v>1407099.21</v>
      </c>
      <c r="G3994" s="40">
        <v>562.61463814474212</v>
      </c>
      <c r="H3994" s="41">
        <v>-9.2706143500146859E-2</v>
      </c>
      <c r="I3994" s="40">
        <v>186.74422985588089</v>
      </c>
      <c r="J3994" s="41">
        <v>0.33192209586242177</v>
      </c>
      <c r="K3994" s="9" t="s">
        <v>5496</v>
      </c>
    </row>
    <row r="3995" spans="1:11" x14ac:dyDescent="0.2">
      <c r="A3995" s="9" t="s">
        <v>67</v>
      </c>
      <c r="B3995" s="9" t="s">
        <v>5497</v>
      </c>
      <c r="C3995" s="9"/>
      <c r="D3995" s="9" t="s">
        <v>85</v>
      </c>
      <c r="E3995" s="38">
        <v>10979</v>
      </c>
      <c r="F3995" s="39">
        <v>0</v>
      </c>
      <c r="G3995" s="40"/>
      <c r="H3995" s="41"/>
      <c r="I3995" s="40">
        <v>44.127740563587572</v>
      </c>
      <c r="J3995" s="41"/>
      <c r="K3995" s="9" t="s">
        <v>5498</v>
      </c>
    </row>
    <row r="3996" spans="1:11" x14ac:dyDescent="0.2">
      <c r="A3996" s="9" t="s">
        <v>67</v>
      </c>
      <c r="B3996" s="9" t="s">
        <v>5499</v>
      </c>
      <c r="C3996" s="9"/>
      <c r="D3996" s="9" t="s">
        <v>80</v>
      </c>
      <c r="E3996" s="38">
        <v>1366</v>
      </c>
      <c r="F3996" s="39">
        <v>1056177</v>
      </c>
      <c r="G3996" s="40">
        <v>773.18960468521232</v>
      </c>
      <c r="H3996" s="41">
        <v>-3.1513108850960828E-2</v>
      </c>
      <c r="I3996" s="40">
        <v>230.18357324656449</v>
      </c>
      <c r="J3996" s="41">
        <v>0.297706502844511</v>
      </c>
      <c r="K3996" s="9" t="s">
        <v>5500</v>
      </c>
    </row>
    <row r="3997" spans="1:11" x14ac:dyDescent="0.2">
      <c r="A3997" s="9" t="s">
        <v>67</v>
      </c>
      <c r="B3997" s="9" t="s">
        <v>1213</v>
      </c>
      <c r="C3997" s="9"/>
      <c r="D3997" s="9" t="s">
        <v>85</v>
      </c>
      <c r="E3997" s="38">
        <v>1708</v>
      </c>
      <c r="F3997" s="39">
        <v>1376206.09</v>
      </c>
      <c r="G3997" s="40">
        <v>805.74127049180333</v>
      </c>
      <c r="H3997" s="41">
        <v>0.3720602165142754</v>
      </c>
      <c r="I3997" s="40">
        <v>190.41131824537101</v>
      </c>
      <c r="J3997" s="41">
        <v>0.23631818949667169</v>
      </c>
      <c r="K3997" s="9" t="s">
        <v>5501</v>
      </c>
    </row>
    <row r="3998" spans="1:11" x14ac:dyDescent="0.2">
      <c r="A3998" s="9" t="s">
        <v>67</v>
      </c>
      <c r="B3998" s="9" t="s">
        <v>5502</v>
      </c>
      <c r="C3998" s="9"/>
      <c r="D3998" s="9" t="s">
        <v>81</v>
      </c>
      <c r="E3998" s="38">
        <v>1871</v>
      </c>
      <c r="F3998" s="39">
        <v>1774064.84</v>
      </c>
      <c r="G3998" s="40">
        <v>948.1907215392838</v>
      </c>
      <c r="H3998" s="41"/>
      <c r="I3998" s="40">
        <v>114.9953584123798</v>
      </c>
      <c r="J3998" s="41">
        <v>0.1212787214640715</v>
      </c>
      <c r="K3998" s="9" t="s">
        <v>5503</v>
      </c>
    </row>
    <row r="3999" spans="1:11" x14ac:dyDescent="0.2">
      <c r="A3999" s="9" t="s">
        <v>67</v>
      </c>
      <c r="B3999" s="9" t="s">
        <v>5504</v>
      </c>
      <c r="C3999" s="9"/>
      <c r="D3999" s="9" t="s">
        <v>76</v>
      </c>
      <c r="E3999" s="38">
        <v>2542</v>
      </c>
      <c r="F3999" s="39">
        <v>489930</v>
      </c>
      <c r="G3999" s="40">
        <v>192.73406766325729</v>
      </c>
      <c r="H3999" s="41">
        <v>-0.24236060141415169</v>
      </c>
      <c r="I3999" s="40">
        <v>103.91640474542621</v>
      </c>
      <c r="J3999" s="41">
        <v>0.53916988317284797</v>
      </c>
      <c r="K3999" s="9" t="s">
        <v>5505</v>
      </c>
    </row>
    <row r="4000" spans="1:11" x14ac:dyDescent="0.2">
      <c r="A4000" s="9" t="s">
        <v>67</v>
      </c>
      <c r="B4000" s="9" t="s">
        <v>200</v>
      </c>
      <c r="C4000" s="9"/>
      <c r="D4000" s="9" t="s">
        <v>77</v>
      </c>
      <c r="E4000" s="38">
        <v>6633</v>
      </c>
      <c r="F4000" s="39">
        <v>3112824.97</v>
      </c>
      <c r="G4000" s="40">
        <v>469.29367857681291</v>
      </c>
      <c r="H4000" s="41">
        <v>1.467674112345824E-2</v>
      </c>
      <c r="I4000" s="40">
        <v>158.98920412480689</v>
      </c>
      <c r="J4000" s="41">
        <v>0.33878403094403492</v>
      </c>
      <c r="K4000" s="9" t="s">
        <v>5506</v>
      </c>
    </row>
    <row r="4001" spans="1:11" x14ac:dyDescent="0.2">
      <c r="A4001" s="9" t="s">
        <v>67</v>
      </c>
      <c r="B4001" s="9" t="s">
        <v>5507</v>
      </c>
      <c r="C4001" s="9"/>
      <c r="D4001" s="9" t="s">
        <v>76</v>
      </c>
      <c r="E4001" s="38">
        <v>2358</v>
      </c>
      <c r="F4001" s="39">
        <v>3031293.2</v>
      </c>
      <c r="G4001" s="40">
        <v>1285.535708227311</v>
      </c>
      <c r="H4001" s="41">
        <v>-0.28468878136844988</v>
      </c>
      <c r="I4001" s="40">
        <v>212.90061901288109</v>
      </c>
      <c r="J4001" s="41">
        <v>0.16561237284218289</v>
      </c>
      <c r="K4001" s="9" t="s">
        <v>5508</v>
      </c>
    </row>
    <row r="4002" spans="1:11" x14ac:dyDescent="0.2">
      <c r="A4002" s="9" t="s">
        <v>67</v>
      </c>
      <c r="B4002" s="9" t="s">
        <v>202</v>
      </c>
      <c r="C4002" s="9"/>
      <c r="D4002" s="9" t="s">
        <v>81</v>
      </c>
      <c r="E4002" s="38">
        <v>505</v>
      </c>
      <c r="F4002" s="39">
        <v>1960807.34</v>
      </c>
      <c r="G4002" s="40">
        <v>3882.786811881188</v>
      </c>
      <c r="H4002" s="41">
        <v>-0.1245215111325931</v>
      </c>
      <c r="I4002" s="40">
        <v>578.88067653628002</v>
      </c>
      <c r="J4002" s="41">
        <v>0.14908896743053879</v>
      </c>
      <c r="K4002" s="9" t="s">
        <v>5509</v>
      </c>
    </row>
    <row r="4003" spans="1:11" x14ac:dyDescent="0.2">
      <c r="A4003" s="9" t="s">
        <v>67</v>
      </c>
      <c r="B4003" s="9" t="s">
        <v>5510</v>
      </c>
      <c r="C4003" s="9"/>
      <c r="D4003" s="9" t="s">
        <v>80</v>
      </c>
      <c r="E4003" s="38">
        <v>247</v>
      </c>
      <c r="F4003" s="39">
        <v>352764.54</v>
      </c>
      <c r="G4003" s="40">
        <v>1428.1965182186229</v>
      </c>
      <c r="H4003" s="41">
        <v>-0.1297009749162433</v>
      </c>
      <c r="I4003" s="40">
        <v>485.00264493854451</v>
      </c>
      <c r="J4003" s="41">
        <v>0.33959097277697042</v>
      </c>
      <c r="K4003" s="9" t="s">
        <v>5511</v>
      </c>
    </row>
    <row r="4004" spans="1:11" x14ac:dyDescent="0.2">
      <c r="A4004" s="9" t="s">
        <v>67</v>
      </c>
      <c r="B4004" s="9" t="s">
        <v>5512</v>
      </c>
      <c r="C4004" s="9"/>
      <c r="D4004" s="9" t="s">
        <v>81</v>
      </c>
      <c r="E4004" s="38">
        <v>1175</v>
      </c>
      <c r="F4004" s="39">
        <v>1052449.52</v>
      </c>
      <c r="G4004" s="40">
        <v>895.70171914893615</v>
      </c>
      <c r="H4004" s="41">
        <v>-0.28819455009706141</v>
      </c>
      <c r="I4004" s="40">
        <v>259.73822503630981</v>
      </c>
      <c r="J4004" s="41">
        <v>0.28998294798753288</v>
      </c>
      <c r="K4004" s="9" t="s">
        <v>5513</v>
      </c>
    </row>
    <row r="4005" spans="1:11" x14ac:dyDescent="0.2">
      <c r="A4005" s="9" t="s">
        <v>67</v>
      </c>
      <c r="B4005" s="9" t="s">
        <v>759</v>
      </c>
      <c r="C4005" s="9"/>
      <c r="D4005" s="9" t="s">
        <v>76</v>
      </c>
      <c r="E4005" s="38">
        <v>4124</v>
      </c>
      <c r="F4005" s="39">
        <v>1725037</v>
      </c>
      <c r="G4005" s="40">
        <v>418.29219204655669</v>
      </c>
      <c r="H4005" s="41">
        <v>-0.31383544193012958</v>
      </c>
      <c r="I4005" s="40">
        <v>136.4671053254973</v>
      </c>
      <c r="J4005" s="41">
        <v>0.32624827314564908</v>
      </c>
      <c r="K4005" s="9" t="s">
        <v>5514</v>
      </c>
    </row>
    <row r="4006" spans="1:11" x14ac:dyDescent="0.2">
      <c r="A4006" s="9" t="s">
        <v>67</v>
      </c>
      <c r="B4006" s="9" t="s">
        <v>5515</v>
      </c>
      <c r="C4006" s="9"/>
      <c r="D4006" s="9" t="s">
        <v>80</v>
      </c>
      <c r="E4006" s="38">
        <v>690</v>
      </c>
      <c r="F4006" s="39">
        <v>846684.44</v>
      </c>
      <c r="G4006" s="40">
        <v>1227.078898550724</v>
      </c>
      <c r="H4006" s="41">
        <v>-0.2182653299042191</v>
      </c>
      <c r="I4006" s="40">
        <v>360.57468848027497</v>
      </c>
      <c r="J4006" s="41">
        <v>0.29384800676316869</v>
      </c>
      <c r="K4006" s="9" t="s">
        <v>5516</v>
      </c>
    </row>
    <row r="4007" spans="1:11" x14ac:dyDescent="0.2">
      <c r="A4007" s="9" t="s">
        <v>67</v>
      </c>
      <c r="B4007" s="9" t="s">
        <v>204</v>
      </c>
      <c r="C4007" s="9"/>
      <c r="D4007" s="9" t="s">
        <v>81</v>
      </c>
      <c r="E4007" s="38">
        <v>2435</v>
      </c>
      <c r="F4007" s="39">
        <v>2780407.8</v>
      </c>
      <c r="G4007" s="40">
        <v>1141.851252566735</v>
      </c>
      <c r="H4007" s="41">
        <v>-0.17534757120328009</v>
      </c>
      <c r="I4007" s="40">
        <v>129.89485264158259</v>
      </c>
      <c r="J4007" s="41">
        <v>0.1137581207268422</v>
      </c>
      <c r="K4007" s="9" t="s">
        <v>5517</v>
      </c>
    </row>
    <row r="4008" spans="1:11" x14ac:dyDescent="0.2">
      <c r="A4008" s="9" t="s">
        <v>67</v>
      </c>
      <c r="B4008" s="9" t="s">
        <v>5518</v>
      </c>
      <c r="C4008" s="9"/>
      <c r="D4008" s="9" t="s">
        <v>81</v>
      </c>
      <c r="E4008" s="38">
        <v>2524</v>
      </c>
      <c r="F4008" s="39">
        <v>272660.27</v>
      </c>
      <c r="G4008" s="40">
        <v>108.0270483359747</v>
      </c>
      <c r="H4008" s="41">
        <v>-0.99999908016042338</v>
      </c>
      <c r="I4008" s="40">
        <v>62.119703290239279</v>
      </c>
      <c r="J4008" s="41">
        <v>0.57503842090585455</v>
      </c>
      <c r="K4008" s="9" t="s">
        <v>5519</v>
      </c>
    </row>
    <row r="4009" spans="1:11" x14ac:dyDescent="0.2">
      <c r="A4009" s="9" t="s">
        <v>67</v>
      </c>
      <c r="B4009" s="9" t="s">
        <v>206</v>
      </c>
      <c r="C4009" s="9"/>
      <c r="D4009" s="9" t="s">
        <v>80</v>
      </c>
      <c r="E4009" s="38">
        <v>578</v>
      </c>
      <c r="F4009" s="39">
        <v>1419306.1</v>
      </c>
      <c r="G4009" s="40">
        <v>2455.5468858131489</v>
      </c>
      <c r="H4009" s="41">
        <v>-0.13975437800229401</v>
      </c>
      <c r="I4009" s="40">
        <v>453.90868177778128</v>
      </c>
      <c r="J4009" s="41">
        <v>0.18485034205627501</v>
      </c>
      <c r="K4009" s="9" t="s">
        <v>5520</v>
      </c>
    </row>
    <row r="4010" spans="1:11" x14ac:dyDescent="0.2">
      <c r="A4010" s="9" t="s">
        <v>67</v>
      </c>
      <c r="B4010" s="9" t="s">
        <v>208</v>
      </c>
      <c r="C4010" s="9"/>
      <c r="D4010" s="9" t="s">
        <v>78</v>
      </c>
      <c r="E4010" s="38">
        <v>1901</v>
      </c>
      <c r="F4010" s="39">
        <v>1248633.29</v>
      </c>
      <c r="G4010" s="40">
        <v>656.82971593897946</v>
      </c>
      <c r="H4010" s="41">
        <v>0.16158976263675329</v>
      </c>
      <c r="I4010" s="40">
        <v>150.19989253694021</v>
      </c>
      <c r="J4010" s="41">
        <v>0.2286740214276389</v>
      </c>
      <c r="K4010" s="9" t="s">
        <v>5521</v>
      </c>
    </row>
    <row r="4011" spans="1:11" x14ac:dyDescent="0.2">
      <c r="A4011" s="9" t="s">
        <v>67</v>
      </c>
      <c r="B4011" s="9" t="s">
        <v>5522</v>
      </c>
      <c r="C4011" s="9"/>
      <c r="D4011" s="9" t="s">
        <v>78</v>
      </c>
      <c r="E4011" s="38">
        <v>1299</v>
      </c>
      <c r="F4011" s="39">
        <v>586787</v>
      </c>
      <c r="G4011" s="40">
        <v>451.72209391839868</v>
      </c>
      <c r="H4011" s="41"/>
      <c r="I4011" s="40">
        <v>201.65449009732129</v>
      </c>
      <c r="J4011" s="41">
        <v>0.44641272324782311</v>
      </c>
      <c r="K4011" s="9" t="s">
        <v>5523</v>
      </c>
    </row>
    <row r="4012" spans="1:11" x14ac:dyDescent="0.2">
      <c r="A4012" s="9" t="s">
        <v>67</v>
      </c>
      <c r="B4012" s="9" t="s">
        <v>212</v>
      </c>
      <c r="C4012" s="9"/>
      <c r="D4012" s="9" t="s">
        <v>76</v>
      </c>
      <c r="E4012" s="38">
        <v>2380</v>
      </c>
      <c r="F4012" s="39">
        <v>2351026.7200000002</v>
      </c>
      <c r="G4012" s="40">
        <v>987.82635294117654</v>
      </c>
      <c r="H4012" s="41">
        <v>-0.19992622808251939</v>
      </c>
      <c r="I4012" s="40">
        <v>276.68034987360949</v>
      </c>
      <c r="J4012" s="41">
        <v>0.28009006750003701</v>
      </c>
      <c r="K4012" s="9" t="s">
        <v>5524</v>
      </c>
    </row>
    <row r="4013" spans="1:11" x14ac:dyDescent="0.2">
      <c r="A4013" s="9" t="s">
        <v>67</v>
      </c>
      <c r="B4013" s="9" t="s">
        <v>5525</v>
      </c>
      <c r="C4013" s="9"/>
      <c r="D4013" s="9" t="s">
        <v>85</v>
      </c>
      <c r="E4013" s="38">
        <v>10769</v>
      </c>
      <c r="F4013" s="39">
        <v>9673493.0899999999</v>
      </c>
      <c r="G4013" s="40">
        <v>898.27217847525299</v>
      </c>
      <c r="H4013" s="41">
        <v>-0.18711660115496781</v>
      </c>
      <c r="I4013" s="40">
        <v>91.462009240718118</v>
      </c>
      <c r="J4013" s="41">
        <v>0.10181992878368749</v>
      </c>
      <c r="K4013" s="9" t="s">
        <v>5526</v>
      </c>
    </row>
    <row r="4014" spans="1:11" x14ac:dyDescent="0.2">
      <c r="A4014" s="9" t="s">
        <v>67</v>
      </c>
      <c r="B4014" s="9" t="s">
        <v>5527</v>
      </c>
      <c r="C4014" s="9"/>
      <c r="D4014" s="9" t="s">
        <v>77</v>
      </c>
      <c r="E4014" s="38">
        <v>5011</v>
      </c>
      <c r="F4014" s="39">
        <v>0</v>
      </c>
      <c r="G4014" s="40"/>
      <c r="H4014" s="41"/>
      <c r="I4014" s="40">
        <v>143.41940726708191</v>
      </c>
      <c r="J4014" s="41"/>
      <c r="K4014" s="9" t="s">
        <v>5528</v>
      </c>
    </row>
    <row r="4015" spans="1:11" x14ac:dyDescent="0.2">
      <c r="A4015" s="9" t="s">
        <v>67</v>
      </c>
      <c r="B4015" s="9" t="s">
        <v>884</v>
      </c>
      <c r="C4015" s="9"/>
      <c r="D4015" s="9" t="s">
        <v>76</v>
      </c>
      <c r="E4015" s="38">
        <v>7140</v>
      </c>
      <c r="F4015" s="39">
        <v>2937465.18</v>
      </c>
      <c r="G4015" s="40">
        <v>411.4096890756303</v>
      </c>
      <c r="H4015" s="41">
        <v>-2.6758491722630721E-2</v>
      </c>
      <c r="I4015" s="40">
        <v>120.26638534242331</v>
      </c>
      <c r="J4015" s="41">
        <v>0.29232754729875732</v>
      </c>
      <c r="K4015" s="9" t="s">
        <v>5529</v>
      </c>
    </row>
    <row r="4016" spans="1:11" x14ac:dyDescent="0.2">
      <c r="A4016" s="9" t="s">
        <v>67</v>
      </c>
      <c r="B4016" s="9" t="s">
        <v>1613</v>
      </c>
      <c r="C4016" s="9"/>
      <c r="D4016" s="9" t="s">
        <v>76</v>
      </c>
      <c r="E4016" s="38">
        <v>2680</v>
      </c>
      <c r="F4016" s="39">
        <v>0</v>
      </c>
      <c r="G4016" s="40"/>
      <c r="H4016" s="41"/>
      <c r="I4016" s="40">
        <v>99.787237621328615</v>
      </c>
      <c r="J4016" s="41"/>
      <c r="K4016" s="9" t="s">
        <v>5530</v>
      </c>
    </row>
    <row r="4017" spans="1:11" x14ac:dyDescent="0.2">
      <c r="A4017" s="9" t="s">
        <v>67</v>
      </c>
      <c r="B4017" s="9" t="s">
        <v>5531</v>
      </c>
      <c r="C4017" s="9"/>
      <c r="D4017" s="9" t="s">
        <v>76</v>
      </c>
      <c r="E4017" s="38">
        <v>4907</v>
      </c>
      <c r="F4017" s="39">
        <v>0</v>
      </c>
      <c r="G4017" s="40"/>
      <c r="H4017" s="41"/>
      <c r="I4017" s="40">
        <v>36.679845119217447</v>
      </c>
      <c r="J4017" s="41"/>
      <c r="K4017" s="9" t="s">
        <v>5532</v>
      </c>
    </row>
    <row r="4018" spans="1:11" x14ac:dyDescent="0.2">
      <c r="A4018" s="9" t="s">
        <v>67</v>
      </c>
      <c r="B4018" s="9" t="s">
        <v>5533</v>
      </c>
      <c r="C4018" s="9"/>
      <c r="D4018" s="9" t="s">
        <v>76</v>
      </c>
      <c r="E4018" s="38">
        <v>2207</v>
      </c>
      <c r="F4018" s="39">
        <v>953725.81</v>
      </c>
      <c r="G4018" s="40">
        <v>432.13675124603537</v>
      </c>
      <c r="H4018" s="41">
        <v>0.59160756609219278</v>
      </c>
      <c r="I4018" s="40">
        <v>169.30674339991009</v>
      </c>
      <c r="J4018" s="41">
        <v>0.39178973533661782</v>
      </c>
      <c r="K4018" s="9" t="s">
        <v>5534</v>
      </c>
    </row>
    <row r="4019" spans="1:11" x14ac:dyDescent="0.2">
      <c r="A4019" s="9" t="s">
        <v>67</v>
      </c>
      <c r="B4019" s="9" t="s">
        <v>5535</v>
      </c>
      <c r="C4019" s="9"/>
      <c r="D4019" s="9" t="s">
        <v>77</v>
      </c>
      <c r="E4019" s="38">
        <v>2114</v>
      </c>
      <c r="F4019" s="39">
        <v>95858.01</v>
      </c>
      <c r="G4019" s="40">
        <v>45.344375591296121</v>
      </c>
      <c r="H4019" s="41"/>
      <c r="I4019" s="40">
        <v>193.12144683639141</v>
      </c>
      <c r="J4019" s="41">
        <v>4.258994512948177E-2</v>
      </c>
      <c r="K4019" s="9" t="s">
        <v>5536</v>
      </c>
    </row>
    <row r="4020" spans="1:11" x14ac:dyDescent="0.2">
      <c r="A4020" s="9" t="s">
        <v>67</v>
      </c>
      <c r="B4020" s="9" t="s">
        <v>2945</v>
      </c>
      <c r="C4020" s="9"/>
      <c r="D4020" s="9" t="s">
        <v>83</v>
      </c>
      <c r="E4020" s="38">
        <v>2340</v>
      </c>
      <c r="F4020" s="39">
        <v>484219.61</v>
      </c>
      <c r="G4020" s="40">
        <v>206.93145726495729</v>
      </c>
      <c r="H4020" s="41">
        <v>0.19900140049030821</v>
      </c>
      <c r="I4020" s="40">
        <v>109.62913674827691</v>
      </c>
      <c r="J4020" s="41">
        <v>0.5297847808992453</v>
      </c>
      <c r="K4020" s="9" t="s">
        <v>5537</v>
      </c>
    </row>
    <row r="4021" spans="1:11" x14ac:dyDescent="0.2">
      <c r="A4021" s="9" t="s">
        <v>67</v>
      </c>
      <c r="B4021" s="9" t="s">
        <v>5538</v>
      </c>
      <c r="C4021" s="9"/>
      <c r="D4021" s="9" t="s">
        <v>84</v>
      </c>
      <c r="E4021" s="38">
        <v>2001</v>
      </c>
      <c r="F4021" s="39">
        <v>3555644</v>
      </c>
      <c r="G4021" s="40">
        <v>1776.9335332333831</v>
      </c>
      <c r="H4021" s="41">
        <v>-0.1128757701802571</v>
      </c>
      <c r="I4021" s="40">
        <v>245.5371517730772</v>
      </c>
      <c r="J4021" s="41">
        <v>0.1381802679621266</v>
      </c>
      <c r="K4021" s="9" t="s">
        <v>5539</v>
      </c>
    </row>
    <row r="4022" spans="1:11" x14ac:dyDescent="0.2">
      <c r="A4022" s="9" t="s">
        <v>67</v>
      </c>
      <c r="B4022" s="9" t="s">
        <v>678</v>
      </c>
      <c r="C4022" s="9"/>
      <c r="D4022" s="9" t="s">
        <v>77</v>
      </c>
      <c r="E4022" s="38">
        <v>975</v>
      </c>
      <c r="F4022" s="39">
        <v>974310.35</v>
      </c>
      <c r="G4022" s="40">
        <v>999.29266666666661</v>
      </c>
      <c r="H4022" s="41">
        <v>-0.15895724448923421</v>
      </c>
      <c r="I4022" s="40">
        <v>221.6654431633753</v>
      </c>
      <c r="J4022" s="41">
        <v>0.2218223455024273</v>
      </c>
      <c r="K4022" s="9" t="s">
        <v>5540</v>
      </c>
    </row>
    <row r="4023" spans="1:11" x14ac:dyDescent="0.2">
      <c r="A4023" s="9" t="s">
        <v>67</v>
      </c>
      <c r="B4023" s="9" t="s">
        <v>228</v>
      </c>
      <c r="C4023" s="9"/>
      <c r="D4023" s="9" t="s">
        <v>76</v>
      </c>
      <c r="E4023" s="38">
        <v>7144</v>
      </c>
      <c r="F4023" s="39">
        <v>2307497.4300000002</v>
      </c>
      <c r="G4023" s="40">
        <v>322.99796052631581</v>
      </c>
      <c r="H4023" s="41">
        <v>-0.4400451292852422</v>
      </c>
      <c r="I4023" s="40">
        <v>95.089684735296643</v>
      </c>
      <c r="J4023" s="41">
        <v>0.29439716764883211</v>
      </c>
      <c r="K4023" s="9" t="s">
        <v>5541</v>
      </c>
    </row>
    <row r="4024" spans="1:11" x14ac:dyDescent="0.2">
      <c r="A4024" s="9" t="s">
        <v>67</v>
      </c>
      <c r="B4024" s="9" t="s">
        <v>5542</v>
      </c>
      <c r="C4024" s="9"/>
      <c r="D4024" s="9" t="s">
        <v>78</v>
      </c>
      <c r="E4024" s="38">
        <v>1385</v>
      </c>
      <c r="F4024" s="39">
        <v>1742714.9</v>
      </c>
      <c r="G4024" s="40">
        <v>1258.2779061371839</v>
      </c>
      <c r="H4024" s="41">
        <v>0.1029927708833944</v>
      </c>
      <c r="I4024" s="40">
        <v>173.70887009187311</v>
      </c>
      <c r="J4024" s="41">
        <v>0.13805286514578161</v>
      </c>
      <c r="K4024" s="9" t="s">
        <v>5543</v>
      </c>
    </row>
    <row r="4025" spans="1:11" x14ac:dyDescent="0.2">
      <c r="A4025" s="9" t="s">
        <v>67</v>
      </c>
      <c r="B4025" s="9" t="s">
        <v>5544</v>
      </c>
      <c r="C4025" s="9"/>
      <c r="D4025" s="9" t="s">
        <v>78</v>
      </c>
      <c r="E4025" s="38">
        <v>1000</v>
      </c>
      <c r="F4025" s="39">
        <v>802388.28</v>
      </c>
      <c r="G4025" s="40">
        <v>802.38828000000001</v>
      </c>
      <c r="H4025" s="41">
        <v>-0.17035609208234159</v>
      </c>
      <c r="I4025" s="40">
        <v>165</v>
      </c>
      <c r="J4025" s="41">
        <v>0.20563610425615891</v>
      </c>
      <c r="K4025" s="9" t="s">
        <v>5545</v>
      </c>
    </row>
    <row r="4026" spans="1:11" x14ac:dyDescent="0.2">
      <c r="A4026" s="9" t="s">
        <v>67</v>
      </c>
      <c r="B4026" s="9" t="s">
        <v>5546</v>
      </c>
      <c r="C4026" s="9"/>
      <c r="D4026" s="9" t="s">
        <v>76</v>
      </c>
      <c r="E4026" s="38">
        <v>3794</v>
      </c>
      <c r="F4026" s="39">
        <v>1822152</v>
      </c>
      <c r="G4026" s="40">
        <v>480.27200843436998</v>
      </c>
      <c r="H4026" s="41">
        <v>-1</v>
      </c>
      <c r="I4026" s="40">
        <v>169.98099306007401</v>
      </c>
      <c r="J4026" s="41">
        <v>0.35392650430365902</v>
      </c>
      <c r="K4026" s="9" t="s">
        <v>5547</v>
      </c>
    </row>
    <row r="4027" spans="1:11" x14ac:dyDescent="0.2">
      <c r="A4027" s="9" t="s">
        <v>67</v>
      </c>
      <c r="B4027" s="9" t="s">
        <v>231</v>
      </c>
      <c r="C4027" s="9"/>
      <c r="D4027" s="9" t="s">
        <v>76</v>
      </c>
      <c r="E4027" s="38">
        <v>12707</v>
      </c>
      <c r="F4027" s="39">
        <v>4515346.95</v>
      </c>
      <c r="G4027" s="40">
        <v>355.34327142519868</v>
      </c>
      <c r="H4027" s="41">
        <v>-0.2073635392746784</v>
      </c>
      <c r="I4027" s="40">
        <v>165.88908764131881</v>
      </c>
      <c r="J4027" s="41">
        <v>0.46684178646742491</v>
      </c>
      <c r="K4027" s="9" t="s">
        <v>5548</v>
      </c>
    </row>
    <row r="4028" spans="1:11" x14ac:dyDescent="0.2">
      <c r="A4028" s="9" t="s">
        <v>67</v>
      </c>
      <c r="B4028" s="9" t="s">
        <v>1236</v>
      </c>
      <c r="C4028" s="9"/>
      <c r="D4028" s="9" t="s">
        <v>76</v>
      </c>
      <c r="E4028" s="38">
        <v>3177</v>
      </c>
      <c r="F4028" s="39">
        <v>922680.84</v>
      </c>
      <c r="G4028" s="40">
        <v>290.42519357884788</v>
      </c>
      <c r="H4028" s="41">
        <v>-0.65629722360870713</v>
      </c>
      <c r="I4028" s="40">
        <v>198.8595686101601</v>
      </c>
      <c r="J4028" s="41">
        <v>0.68471872622225327</v>
      </c>
      <c r="K4028" s="9" t="s">
        <v>5549</v>
      </c>
    </row>
    <row r="4029" spans="1:11" x14ac:dyDescent="0.2">
      <c r="A4029" s="9" t="s">
        <v>67</v>
      </c>
      <c r="B4029" s="9" t="s">
        <v>5550</v>
      </c>
      <c r="C4029" s="9"/>
      <c r="D4029" s="9" t="s">
        <v>80</v>
      </c>
      <c r="E4029" s="38">
        <v>355</v>
      </c>
      <c r="F4029" s="39">
        <v>552873.68000000005</v>
      </c>
      <c r="G4029" s="40">
        <v>1557.3906478873239</v>
      </c>
      <c r="H4029" s="41">
        <v>-0.99999977680985586</v>
      </c>
      <c r="I4029" s="40">
        <v>353.66724095443891</v>
      </c>
      <c r="J4029" s="41">
        <v>0.22708961392198271</v>
      </c>
      <c r="K4029" s="9" t="s">
        <v>5551</v>
      </c>
    </row>
    <row r="4030" spans="1:11" x14ac:dyDescent="0.2">
      <c r="A4030" s="9" t="s">
        <v>67</v>
      </c>
      <c r="B4030" s="9" t="s">
        <v>893</v>
      </c>
      <c r="C4030" s="9"/>
      <c r="D4030" s="9" t="s">
        <v>78</v>
      </c>
      <c r="E4030" s="38">
        <v>577</v>
      </c>
      <c r="F4030" s="39">
        <v>677144.3</v>
      </c>
      <c r="G4030" s="40">
        <v>1173.5603119584059</v>
      </c>
      <c r="H4030" s="41">
        <v>-0.13834755648970651</v>
      </c>
      <c r="I4030" s="40">
        <v>198.95071898625889</v>
      </c>
      <c r="J4030" s="41">
        <v>0.1695274771641308</v>
      </c>
      <c r="K4030" s="9" t="s">
        <v>5552</v>
      </c>
    </row>
    <row r="4031" spans="1:11" x14ac:dyDescent="0.2">
      <c r="A4031" s="9" t="s">
        <v>67</v>
      </c>
      <c r="B4031" s="9" t="s">
        <v>449</v>
      </c>
      <c r="C4031" s="9"/>
      <c r="D4031" s="9" t="s">
        <v>81</v>
      </c>
      <c r="E4031" s="38">
        <v>832</v>
      </c>
      <c r="F4031" s="39">
        <v>2422931.0099999998</v>
      </c>
      <c r="G4031" s="40">
        <v>2912.1766947115379</v>
      </c>
      <c r="H4031" s="41">
        <v>-0.1941882925117327</v>
      </c>
      <c r="I4031" s="40">
        <v>642.81113283663694</v>
      </c>
      <c r="J4031" s="41">
        <v>0.22073218771511041</v>
      </c>
      <c r="K4031" s="9" t="s">
        <v>5553</v>
      </c>
    </row>
    <row r="4032" spans="1:11" x14ac:dyDescent="0.2">
      <c r="A4032" s="9" t="s">
        <v>67</v>
      </c>
      <c r="B4032" s="9" t="s">
        <v>5554</v>
      </c>
      <c r="C4032" s="9"/>
      <c r="D4032" s="9" t="s">
        <v>84</v>
      </c>
      <c r="E4032" s="38">
        <v>150</v>
      </c>
      <c r="F4032" s="39">
        <v>294417</v>
      </c>
      <c r="G4032" s="40">
        <v>1962.78</v>
      </c>
      <c r="H4032" s="41"/>
      <c r="I4032" s="40">
        <v>884.08326666666665</v>
      </c>
      <c r="J4032" s="41">
        <v>0.45042402442793722</v>
      </c>
      <c r="K4032" s="9" t="s">
        <v>5555</v>
      </c>
    </row>
    <row r="4033" spans="1:11" x14ac:dyDescent="0.2">
      <c r="A4033" s="9" t="s">
        <v>67</v>
      </c>
      <c r="B4033" s="9" t="s">
        <v>235</v>
      </c>
      <c r="C4033" s="9"/>
      <c r="D4033" s="9" t="s">
        <v>77</v>
      </c>
      <c r="E4033" s="38">
        <v>11748</v>
      </c>
      <c r="F4033" s="39">
        <v>6760528.7000000002</v>
      </c>
      <c r="G4033" s="40">
        <v>575.4620956758597</v>
      </c>
      <c r="H4033" s="41">
        <v>-0.18144276642757451</v>
      </c>
      <c r="I4033" s="40">
        <v>106.4990160109213</v>
      </c>
      <c r="J4033" s="41">
        <v>0.1850669519524861</v>
      </c>
      <c r="K4033" s="9" t="s">
        <v>5556</v>
      </c>
    </row>
    <row r="4034" spans="1:11" x14ac:dyDescent="0.2">
      <c r="A4034" s="9" t="s">
        <v>67</v>
      </c>
      <c r="B4034" s="9" t="s">
        <v>901</v>
      </c>
      <c r="C4034" s="9"/>
      <c r="D4034" s="9" t="s">
        <v>78</v>
      </c>
      <c r="E4034" s="38">
        <v>1522</v>
      </c>
      <c r="F4034" s="39">
        <v>715905.37</v>
      </c>
      <c r="G4034" s="40">
        <v>470.37146517739808</v>
      </c>
      <c r="H4034" s="41">
        <v>-5.6736426289633497E-2</v>
      </c>
      <c r="I4034" s="40">
        <v>279.33385241193599</v>
      </c>
      <c r="J4034" s="41">
        <v>0.59385798903976172</v>
      </c>
      <c r="K4034" s="9" t="s">
        <v>5557</v>
      </c>
    </row>
    <row r="4035" spans="1:11" x14ac:dyDescent="0.2">
      <c r="A4035" s="9" t="s">
        <v>67</v>
      </c>
      <c r="B4035" s="9" t="s">
        <v>456</v>
      </c>
      <c r="C4035" s="9"/>
      <c r="D4035" s="9" t="s">
        <v>76</v>
      </c>
      <c r="E4035" s="38">
        <v>1634</v>
      </c>
      <c r="F4035" s="39">
        <v>1307693.6399999999</v>
      </c>
      <c r="G4035" s="40">
        <v>800.30210526315784</v>
      </c>
      <c r="H4035" s="41"/>
      <c r="I4035" s="40">
        <v>194.9004508107262</v>
      </c>
      <c r="J4035" s="41">
        <v>0.24353359753644341</v>
      </c>
      <c r="K4035" s="9" t="s">
        <v>5558</v>
      </c>
    </row>
    <row r="4036" spans="1:11" x14ac:dyDescent="0.2">
      <c r="A4036" s="9" t="s">
        <v>67</v>
      </c>
      <c r="B4036" s="9" t="s">
        <v>458</v>
      </c>
      <c r="C4036" s="9"/>
      <c r="D4036" s="9" t="s">
        <v>76</v>
      </c>
      <c r="E4036" s="38">
        <v>3000</v>
      </c>
      <c r="F4036" s="39">
        <v>2255374.14</v>
      </c>
      <c r="G4036" s="40">
        <v>751.79138</v>
      </c>
      <c r="H4036" s="41">
        <v>-2.8339676901942262E-2</v>
      </c>
      <c r="I4036" s="40">
        <v>148.6136037649768</v>
      </c>
      <c r="J4036" s="41">
        <v>0.19767931332888761</v>
      </c>
      <c r="K4036" s="9" t="s">
        <v>5559</v>
      </c>
    </row>
    <row r="4037" spans="1:11" x14ac:dyDescent="0.2">
      <c r="A4037" s="9" t="s">
        <v>67</v>
      </c>
      <c r="B4037" s="9" t="s">
        <v>5560</v>
      </c>
      <c r="C4037" s="9"/>
      <c r="D4037" s="9" t="s">
        <v>81</v>
      </c>
      <c r="E4037" s="38">
        <v>3828</v>
      </c>
      <c r="F4037" s="39">
        <v>0</v>
      </c>
      <c r="G4037" s="40"/>
      <c r="H4037" s="41"/>
      <c r="I4037" s="40">
        <v>80.264889271186362</v>
      </c>
      <c r="J4037" s="41"/>
      <c r="K4037" s="9" t="s">
        <v>5561</v>
      </c>
    </row>
    <row r="4038" spans="1:11" x14ac:dyDescent="0.2">
      <c r="A4038" s="9" t="s">
        <v>67</v>
      </c>
      <c r="B4038" s="9" t="s">
        <v>243</v>
      </c>
      <c r="C4038" s="9"/>
      <c r="D4038" s="9" t="s">
        <v>82</v>
      </c>
      <c r="E4038" s="38">
        <v>1243</v>
      </c>
      <c r="F4038" s="39">
        <v>1488857.84</v>
      </c>
      <c r="G4038" s="40">
        <v>1197.7939179404671</v>
      </c>
      <c r="H4038" s="41">
        <v>-0.16742371132640479</v>
      </c>
      <c r="I4038" s="40">
        <v>277.17513696885811</v>
      </c>
      <c r="J4038" s="41">
        <v>0.23140469559692181</v>
      </c>
      <c r="K4038" s="9" t="s">
        <v>5562</v>
      </c>
    </row>
    <row r="4039" spans="1:11" x14ac:dyDescent="0.2">
      <c r="A4039" s="9" t="s">
        <v>67</v>
      </c>
      <c r="B4039" s="9" t="s">
        <v>1788</v>
      </c>
      <c r="C4039" s="9"/>
      <c r="D4039" s="9" t="s">
        <v>76</v>
      </c>
      <c r="E4039" s="38">
        <v>17373</v>
      </c>
      <c r="F4039" s="39">
        <v>4565188.5</v>
      </c>
      <c r="G4039" s="40">
        <v>262.77490934208248</v>
      </c>
      <c r="H4039" s="41">
        <v>-3.8549258230768817E-2</v>
      </c>
      <c r="I4039" s="40">
        <v>169.76857199589699</v>
      </c>
      <c r="J4039" s="41">
        <v>0.64606081463771292</v>
      </c>
      <c r="K4039" s="9" t="s">
        <v>5563</v>
      </c>
    </row>
    <row r="4040" spans="1:11" x14ac:dyDescent="0.2">
      <c r="A4040" s="9" t="s">
        <v>67</v>
      </c>
      <c r="B4040" s="9" t="s">
        <v>461</v>
      </c>
      <c r="C4040" s="9"/>
      <c r="D4040" s="9" t="s">
        <v>76</v>
      </c>
      <c r="E4040" s="38">
        <v>2827</v>
      </c>
      <c r="F4040" s="39">
        <v>3150638.31</v>
      </c>
      <c r="G4040" s="40">
        <v>1114.4811850017691</v>
      </c>
      <c r="H4040" s="41">
        <v>-0.11445471973054611</v>
      </c>
      <c r="I4040" s="40">
        <v>187.9512870768946</v>
      </c>
      <c r="J4040" s="41">
        <v>0.16864464793687509</v>
      </c>
      <c r="K4040" s="9" t="s">
        <v>5564</v>
      </c>
    </row>
    <row r="4041" spans="1:11" x14ac:dyDescent="0.2">
      <c r="A4041" s="9" t="s">
        <v>67</v>
      </c>
      <c r="B4041" s="9" t="s">
        <v>245</v>
      </c>
      <c r="C4041" s="9"/>
      <c r="D4041" s="9" t="s">
        <v>79</v>
      </c>
      <c r="E4041" s="38">
        <v>1008</v>
      </c>
      <c r="F4041" s="39">
        <v>782940.06</v>
      </c>
      <c r="G4041" s="40">
        <v>776.72625000000005</v>
      </c>
      <c r="H4041" s="41">
        <v>-0.1365315785857415</v>
      </c>
      <c r="I4041" s="40">
        <v>159.78826089293679</v>
      </c>
      <c r="J4041" s="41">
        <v>0.20572017605036111</v>
      </c>
      <c r="K4041" s="9" t="s">
        <v>5565</v>
      </c>
    </row>
    <row r="4042" spans="1:11" x14ac:dyDescent="0.2">
      <c r="A4042" s="9" t="s">
        <v>67</v>
      </c>
      <c r="B4042" s="9" t="s">
        <v>5566</v>
      </c>
      <c r="C4042" s="9"/>
      <c r="D4042" s="9" t="s">
        <v>76</v>
      </c>
      <c r="E4042" s="38">
        <v>6328</v>
      </c>
      <c r="F4042" s="39">
        <v>4118147.74</v>
      </c>
      <c r="G4042" s="40">
        <v>650.78188053097347</v>
      </c>
      <c r="H4042" s="41">
        <v>-0.66575969871819873</v>
      </c>
      <c r="I4042" s="40">
        <v>72.03386831461664</v>
      </c>
      <c r="J4042" s="41">
        <v>0.1106881898061516</v>
      </c>
      <c r="K4042" s="9" t="s">
        <v>5567</v>
      </c>
    </row>
    <row r="4043" spans="1:11" x14ac:dyDescent="0.2">
      <c r="A4043" s="9" t="s">
        <v>67</v>
      </c>
      <c r="B4043" s="9" t="s">
        <v>5568</v>
      </c>
      <c r="C4043" s="9"/>
      <c r="D4043" s="9" t="s">
        <v>80</v>
      </c>
      <c r="E4043" s="38">
        <v>693</v>
      </c>
      <c r="F4043" s="39">
        <v>1284865.79</v>
      </c>
      <c r="G4043" s="40">
        <v>1854.063189033189</v>
      </c>
      <c r="H4043" s="41">
        <v>-0.61095034352256383</v>
      </c>
      <c r="I4043" s="40">
        <v>608.15630505077809</v>
      </c>
      <c r="J4043" s="41">
        <v>0.32801271749961458</v>
      </c>
      <c r="K4043" s="9" t="s">
        <v>5569</v>
      </c>
    </row>
    <row r="4044" spans="1:11" x14ac:dyDescent="0.2">
      <c r="A4044" s="9" t="s">
        <v>67</v>
      </c>
      <c r="B4044" s="9" t="s">
        <v>777</v>
      </c>
      <c r="C4044" s="9"/>
      <c r="D4044" s="9" t="s">
        <v>76</v>
      </c>
      <c r="E4044" s="38">
        <v>5085</v>
      </c>
      <c r="F4044" s="39">
        <v>1223217.76</v>
      </c>
      <c r="G4044" s="40">
        <v>240.55413176007869</v>
      </c>
      <c r="H4044" s="41">
        <v>3.1033947233230118E-2</v>
      </c>
      <c r="I4044" s="40">
        <v>51.496063599556663</v>
      </c>
      <c r="J4044" s="41">
        <v>0.21407266307492601</v>
      </c>
      <c r="K4044" s="9" t="s">
        <v>5570</v>
      </c>
    </row>
    <row r="4045" spans="1:11" x14ac:dyDescent="0.2">
      <c r="A4045" s="9" t="s">
        <v>67</v>
      </c>
      <c r="B4045" s="9" t="s">
        <v>247</v>
      </c>
      <c r="C4045" s="9"/>
      <c r="D4045" s="9" t="s">
        <v>76</v>
      </c>
      <c r="E4045" s="38">
        <v>30798</v>
      </c>
      <c r="F4045" s="39">
        <v>9932807.2899999991</v>
      </c>
      <c r="G4045" s="40">
        <v>322.51468569387617</v>
      </c>
      <c r="H4045" s="41">
        <v>-9.1690705131843211E-3</v>
      </c>
      <c r="I4045" s="40">
        <v>115.09902847776981</v>
      </c>
      <c r="J4045" s="41">
        <v>0.35687996107879338</v>
      </c>
      <c r="K4045" s="9" t="s">
        <v>5571</v>
      </c>
    </row>
    <row r="4046" spans="1:11" x14ac:dyDescent="0.2">
      <c r="A4046" s="9" t="s">
        <v>67</v>
      </c>
      <c r="B4046" s="9" t="s">
        <v>464</v>
      </c>
      <c r="C4046" s="9"/>
      <c r="D4046" s="9" t="s">
        <v>80</v>
      </c>
      <c r="E4046" s="38">
        <v>936</v>
      </c>
      <c r="F4046" s="39">
        <v>978584.03</v>
      </c>
      <c r="G4046" s="40">
        <v>1045.495758547009</v>
      </c>
      <c r="H4046" s="41">
        <v>-0.22475971599528649</v>
      </c>
      <c r="I4046" s="40">
        <v>269.46188368268218</v>
      </c>
      <c r="J4046" s="41">
        <v>0.25773598934267361</v>
      </c>
      <c r="K4046" s="9" t="s">
        <v>5572</v>
      </c>
    </row>
    <row r="4047" spans="1:11" x14ac:dyDescent="0.2">
      <c r="A4047" s="9" t="s">
        <v>67</v>
      </c>
      <c r="B4047" s="9" t="s">
        <v>5573</v>
      </c>
      <c r="C4047" s="9"/>
      <c r="D4047" s="9" t="s">
        <v>80</v>
      </c>
      <c r="E4047" s="38">
        <v>1005</v>
      </c>
      <c r="F4047" s="39">
        <v>962923.95</v>
      </c>
      <c r="G4047" s="40">
        <v>958.13328358208946</v>
      </c>
      <c r="H4047" s="41">
        <v>-9.5432052590297287E-2</v>
      </c>
      <c r="I4047" s="40">
        <v>275.10276421922907</v>
      </c>
      <c r="J4047" s="41">
        <v>0.28712369033953861</v>
      </c>
      <c r="K4047" s="9" t="s">
        <v>5574</v>
      </c>
    </row>
    <row r="4048" spans="1:11" x14ac:dyDescent="0.2">
      <c r="A4048" s="9" t="s">
        <v>67</v>
      </c>
      <c r="B4048" s="9" t="s">
        <v>467</v>
      </c>
      <c r="C4048" s="9"/>
      <c r="D4048" s="9" t="s">
        <v>78</v>
      </c>
      <c r="E4048" s="38">
        <v>2096</v>
      </c>
      <c r="F4048" s="39">
        <v>4759553.05</v>
      </c>
      <c r="G4048" s="40">
        <v>2270.7791269083968</v>
      </c>
      <c r="H4048" s="41">
        <v>-9.2235002471156666E-2</v>
      </c>
      <c r="I4048" s="40">
        <v>306.63126700153799</v>
      </c>
      <c r="J4048" s="41">
        <v>0.13503350606318459</v>
      </c>
      <c r="K4048" s="9" t="s">
        <v>5575</v>
      </c>
    </row>
    <row r="4049" spans="1:11" x14ac:dyDescent="0.2">
      <c r="A4049" s="9" t="s">
        <v>67</v>
      </c>
      <c r="B4049" s="9" t="s">
        <v>5576</v>
      </c>
      <c r="C4049" s="9"/>
      <c r="D4049" s="9" t="s">
        <v>80</v>
      </c>
      <c r="E4049" s="38">
        <v>298</v>
      </c>
      <c r="F4049" s="39">
        <v>298871.06</v>
      </c>
      <c r="G4049" s="40">
        <v>1002.923020134228</v>
      </c>
      <c r="H4049" s="41">
        <v>-1</v>
      </c>
      <c r="I4049" s="40">
        <v>431.87556685713662</v>
      </c>
      <c r="J4049" s="41">
        <v>0.43061686509033931</v>
      </c>
      <c r="K4049" s="9" t="s">
        <v>5577</v>
      </c>
    </row>
    <row r="4050" spans="1:11" x14ac:dyDescent="0.2">
      <c r="A4050" s="9" t="s">
        <v>67</v>
      </c>
      <c r="B4050" s="9" t="s">
        <v>5578</v>
      </c>
      <c r="C4050" s="9"/>
      <c r="D4050" s="9" t="s">
        <v>76</v>
      </c>
      <c r="E4050" s="38">
        <v>3651</v>
      </c>
      <c r="F4050" s="39">
        <v>0</v>
      </c>
      <c r="G4050" s="40"/>
      <c r="H4050" s="41"/>
      <c r="I4050" s="40">
        <v>168.41938265824311</v>
      </c>
      <c r="J4050" s="41"/>
      <c r="K4050" s="9" t="s">
        <v>5579</v>
      </c>
    </row>
    <row r="4051" spans="1:11" x14ac:dyDescent="0.2">
      <c r="A4051" s="9" t="s">
        <v>67</v>
      </c>
      <c r="B4051" s="9" t="s">
        <v>140</v>
      </c>
      <c r="C4051" s="9"/>
      <c r="D4051" s="9" t="s">
        <v>83</v>
      </c>
      <c r="E4051" s="38">
        <v>5358</v>
      </c>
      <c r="F4051" s="39">
        <v>6713230.5800000001</v>
      </c>
      <c r="G4051" s="40">
        <v>1252.9359051885031</v>
      </c>
      <c r="H4051" s="41">
        <v>-0.2922519049729228</v>
      </c>
      <c r="I4051" s="40">
        <v>175.14880913502151</v>
      </c>
      <c r="J4051" s="41">
        <v>0.1397907174738284</v>
      </c>
      <c r="K4051" s="9" t="s">
        <v>5580</v>
      </c>
    </row>
    <row r="4052" spans="1:11" x14ac:dyDescent="0.2">
      <c r="A4052" s="9" t="s">
        <v>67</v>
      </c>
      <c r="B4052" s="9" t="s">
        <v>5581</v>
      </c>
      <c r="C4052" s="9"/>
      <c r="D4052" s="9" t="s">
        <v>85</v>
      </c>
      <c r="E4052" s="38">
        <v>3638</v>
      </c>
      <c r="F4052" s="39">
        <v>512171.58</v>
      </c>
      <c r="G4052" s="40">
        <v>140.78383177570089</v>
      </c>
      <c r="H4052" s="41">
        <v>-1</v>
      </c>
      <c r="I4052" s="40">
        <v>168.36694654541199</v>
      </c>
      <c r="J4052" s="41">
        <v>1.19592530208765E-2</v>
      </c>
      <c r="K4052" s="9" t="s">
        <v>5582</v>
      </c>
    </row>
    <row r="4053" spans="1:11" x14ac:dyDescent="0.2">
      <c r="A4053" s="9" t="s">
        <v>67</v>
      </c>
      <c r="B4053" s="9" t="s">
        <v>5583</v>
      </c>
      <c r="C4053" s="9"/>
      <c r="D4053" s="9" t="s">
        <v>84</v>
      </c>
      <c r="E4053" s="38">
        <v>1256</v>
      </c>
      <c r="F4053" s="39">
        <v>0</v>
      </c>
      <c r="G4053" s="40"/>
      <c r="H4053" s="41">
        <v>-1</v>
      </c>
      <c r="I4053" s="40">
        <v>253.0175538233398</v>
      </c>
      <c r="J4053" s="41"/>
      <c r="K4053" s="9" t="s">
        <v>5584</v>
      </c>
    </row>
    <row r="4054" spans="1:11" x14ac:dyDescent="0.2">
      <c r="A4054" s="9" t="s">
        <v>67</v>
      </c>
      <c r="B4054" s="9" t="s">
        <v>260</v>
      </c>
      <c r="C4054" s="9"/>
      <c r="D4054" s="9" t="s">
        <v>76</v>
      </c>
      <c r="E4054" s="38">
        <v>3908</v>
      </c>
      <c r="F4054" s="39">
        <v>1946119.83</v>
      </c>
      <c r="G4054" s="40">
        <v>497.98357983623339</v>
      </c>
      <c r="H4054" s="41">
        <v>-0.16541888306454561</v>
      </c>
      <c r="I4054" s="40">
        <v>260.1652361823721</v>
      </c>
      <c r="J4054" s="41">
        <v>0.52243737889496256</v>
      </c>
      <c r="K4054" s="9" t="s">
        <v>5585</v>
      </c>
    </row>
    <row r="4055" spans="1:11" x14ac:dyDescent="0.2">
      <c r="A4055" s="9" t="s">
        <v>67</v>
      </c>
      <c r="B4055" s="9" t="s">
        <v>263</v>
      </c>
      <c r="C4055" s="9"/>
      <c r="D4055" s="9" t="s">
        <v>80</v>
      </c>
      <c r="E4055" s="38">
        <v>260</v>
      </c>
      <c r="F4055" s="39">
        <v>804152.69</v>
      </c>
      <c r="G4055" s="40">
        <v>3092.8949615384608</v>
      </c>
      <c r="H4055" s="41">
        <v>-0.1375272042895985</v>
      </c>
      <c r="I4055" s="40">
        <v>531.9014217196808</v>
      </c>
      <c r="J4055" s="41">
        <v>0.1719752621198308</v>
      </c>
      <c r="K4055" s="9" t="s">
        <v>5586</v>
      </c>
    </row>
    <row r="4056" spans="1:11" x14ac:dyDescent="0.2">
      <c r="A4056" s="9" t="s">
        <v>67</v>
      </c>
      <c r="B4056" s="9" t="s">
        <v>5587</v>
      </c>
      <c r="C4056" s="9"/>
      <c r="D4056" s="9" t="s">
        <v>80</v>
      </c>
      <c r="E4056" s="38">
        <v>1403</v>
      </c>
      <c r="F4056" s="39">
        <v>1680883.96</v>
      </c>
      <c r="G4056" s="40">
        <v>1198.064119743407</v>
      </c>
      <c r="H4056" s="41">
        <v>-0.18576818496422071</v>
      </c>
      <c r="I4056" s="40">
        <v>228.64316241453361</v>
      </c>
      <c r="J4056" s="41">
        <v>0.19084384437078611</v>
      </c>
      <c r="K4056" s="9" t="s">
        <v>5588</v>
      </c>
    </row>
    <row r="4057" spans="1:11" x14ac:dyDescent="0.2">
      <c r="A4057" s="9" t="s">
        <v>67</v>
      </c>
      <c r="B4057" s="9" t="s">
        <v>479</v>
      </c>
      <c r="C4057" s="9"/>
      <c r="D4057" s="9" t="s">
        <v>77</v>
      </c>
      <c r="E4057" s="38">
        <v>5695</v>
      </c>
      <c r="F4057" s="39">
        <v>4953252.8499999996</v>
      </c>
      <c r="G4057" s="40">
        <v>869.7546707638279</v>
      </c>
      <c r="H4057" s="41">
        <v>-0.186003032252471</v>
      </c>
      <c r="I4057" s="40">
        <v>179.5769555735852</v>
      </c>
      <c r="J4057" s="41">
        <v>0.20646851532959151</v>
      </c>
      <c r="K4057" s="9" t="s">
        <v>5589</v>
      </c>
    </row>
    <row r="4058" spans="1:11" x14ac:dyDescent="0.2">
      <c r="A4058" s="9" t="s">
        <v>67</v>
      </c>
      <c r="B4058" s="9" t="s">
        <v>481</v>
      </c>
      <c r="C4058" s="9"/>
      <c r="D4058" s="9" t="s">
        <v>77</v>
      </c>
      <c r="E4058" s="38">
        <v>1328</v>
      </c>
      <c r="F4058" s="39">
        <v>2162700.46</v>
      </c>
      <c r="G4058" s="40">
        <v>1628.539503012048</v>
      </c>
      <c r="H4058" s="41">
        <v>-0.26617454784535299</v>
      </c>
      <c r="I4058" s="40">
        <v>305.62569506084401</v>
      </c>
      <c r="J4058" s="41">
        <v>0.18766857942074919</v>
      </c>
      <c r="K4058" s="9" t="s">
        <v>5590</v>
      </c>
    </row>
    <row r="4059" spans="1:11" x14ac:dyDescent="0.2">
      <c r="A4059" s="9" t="s">
        <v>67</v>
      </c>
      <c r="B4059" s="9" t="s">
        <v>267</v>
      </c>
      <c r="C4059" s="9"/>
      <c r="D4059" s="9" t="s">
        <v>77</v>
      </c>
      <c r="E4059" s="38">
        <v>2498</v>
      </c>
      <c r="F4059" s="39">
        <v>1540186.32</v>
      </c>
      <c r="G4059" s="40">
        <v>616.56778222578066</v>
      </c>
      <c r="H4059" s="41">
        <v>5.3031657046716564E-3</v>
      </c>
      <c r="I4059" s="40">
        <v>209.77029830204501</v>
      </c>
      <c r="J4059" s="41">
        <v>0.34022260706646729</v>
      </c>
      <c r="K4059" s="9" t="s">
        <v>5591</v>
      </c>
    </row>
    <row r="4060" spans="1:11" x14ac:dyDescent="0.2">
      <c r="A4060" s="9" t="s">
        <v>67</v>
      </c>
      <c r="B4060" s="9" t="s">
        <v>271</v>
      </c>
      <c r="C4060" s="9"/>
      <c r="D4060" s="9" t="s">
        <v>78</v>
      </c>
      <c r="E4060" s="38">
        <v>2048</v>
      </c>
      <c r="F4060" s="39">
        <v>2340549.06</v>
      </c>
      <c r="G4060" s="40">
        <v>1142.846220703125</v>
      </c>
      <c r="H4060" s="41">
        <v>6.9426304455578347E-2</v>
      </c>
      <c r="I4060" s="40">
        <v>261.60947321637678</v>
      </c>
      <c r="J4060" s="41">
        <v>0.22891047673537751</v>
      </c>
      <c r="K4060" s="9" t="s">
        <v>5592</v>
      </c>
    </row>
    <row r="4061" spans="1:11" x14ac:dyDescent="0.2">
      <c r="A4061" s="9" t="s">
        <v>67</v>
      </c>
      <c r="B4061" s="9" t="s">
        <v>597</v>
      </c>
      <c r="C4061" s="9"/>
      <c r="D4061" s="9" t="s">
        <v>78</v>
      </c>
      <c r="E4061" s="38">
        <v>2760</v>
      </c>
      <c r="F4061" s="39">
        <v>911194.5</v>
      </c>
      <c r="G4061" s="40">
        <v>330.14293478260868</v>
      </c>
      <c r="H4061" s="41"/>
      <c r="I4061" s="40">
        <v>208.35954628575621</v>
      </c>
      <c r="J4061" s="41">
        <v>0.63111920424090262</v>
      </c>
      <c r="K4061" s="9" t="s">
        <v>5593</v>
      </c>
    </row>
    <row r="4062" spans="1:11" x14ac:dyDescent="0.2">
      <c r="A4062" s="9" t="s">
        <v>67</v>
      </c>
      <c r="B4062" s="9" t="s">
        <v>5594</v>
      </c>
      <c r="C4062" s="9"/>
      <c r="D4062" s="9" t="s">
        <v>76</v>
      </c>
      <c r="E4062" s="38">
        <v>5491</v>
      </c>
      <c r="F4062" s="39">
        <v>0</v>
      </c>
      <c r="G4062" s="40"/>
      <c r="H4062" s="41"/>
      <c r="I4062" s="40">
        <v>146.65378006448401</v>
      </c>
      <c r="J4062" s="41"/>
      <c r="K4062" s="9" t="s">
        <v>5595</v>
      </c>
    </row>
    <row r="4063" spans="1:11" x14ac:dyDescent="0.2">
      <c r="A4063" s="9" t="s">
        <v>67</v>
      </c>
      <c r="B4063" s="9" t="s">
        <v>5596</v>
      </c>
      <c r="C4063" s="9"/>
      <c r="D4063" s="9" t="s">
        <v>79</v>
      </c>
      <c r="E4063" s="38">
        <v>750</v>
      </c>
      <c r="F4063" s="39">
        <v>1278582.02</v>
      </c>
      <c r="G4063" s="40">
        <v>1704.7760266666669</v>
      </c>
      <c r="H4063" s="41">
        <v>4.833553058764483E-2</v>
      </c>
      <c r="I4063" s="40">
        <v>412.48934983225308</v>
      </c>
      <c r="J4063" s="41">
        <v>0.24196102208146941</v>
      </c>
      <c r="K4063" s="9" t="s">
        <v>5597</v>
      </c>
    </row>
    <row r="4064" spans="1:11" x14ac:dyDescent="0.2">
      <c r="A4064" s="9" t="s">
        <v>67</v>
      </c>
      <c r="B4064" s="9" t="s">
        <v>2204</v>
      </c>
      <c r="C4064" s="9"/>
      <c r="D4064" s="9" t="s">
        <v>80</v>
      </c>
      <c r="E4064" s="38">
        <v>406</v>
      </c>
      <c r="F4064" s="39">
        <v>902019.04</v>
      </c>
      <c r="G4064" s="40">
        <v>2221.7217733990151</v>
      </c>
      <c r="H4064" s="41">
        <v>1.6340606794446651E-2</v>
      </c>
      <c r="I4064" s="40">
        <v>347.18629711354578</v>
      </c>
      <c r="J4064" s="41">
        <v>0.15626902579362359</v>
      </c>
      <c r="K4064" s="9" t="s">
        <v>5598</v>
      </c>
    </row>
    <row r="4065" spans="1:11" x14ac:dyDescent="0.2">
      <c r="A4065" s="9" t="s">
        <v>67</v>
      </c>
      <c r="B4065" s="9" t="s">
        <v>2204</v>
      </c>
      <c r="C4065" s="9"/>
      <c r="D4065" s="9" t="s">
        <v>80</v>
      </c>
      <c r="E4065" s="38">
        <v>406</v>
      </c>
      <c r="F4065" s="39">
        <v>539368.56999999995</v>
      </c>
      <c r="G4065" s="40">
        <v>1328.494014778325</v>
      </c>
      <c r="H4065" s="41">
        <v>9.7262753448526893E-3</v>
      </c>
      <c r="I4065" s="40">
        <v>300.28586807624612</v>
      </c>
      <c r="J4065" s="41">
        <v>0.2260347918288155</v>
      </c>
      <c r="K4065" s="9" t="s">
        <v>5598</v>
      </c>
    </row>
    <row r="4066" spans="1:11" x14ac:dyDescent="0.2">
      <c r="A4066" s="9" t="s">
        <v>67</v>
      </c>
      <c r="B4066" s="9" t="s">
        <v>5599</v>
      </c>
      <c r="C4066" s="9"/>
      <c r="D4066" s="9" t="s">
        <v>80</v>
      </c>
      <c r="E4066" s="38">
        <v>761</v>
      </c>
      <c r="F4066" s="39">
        <v>1332411.8700000001</v>
      </c>
      <c r="G4066" s="40">
        <v>1750.8697371879109</v>
      </c>
      <c r="H4066" s="41">
        <v>-1</v>
      </c>
      <c r="I4066" s="40">
        <v>331.70718146084158</v>
      </c>
      <c r="J4066" s="41">
        <v>0.18945280417811081</v>
      </c>
      <c r="K4066" s="9" t="s">
        <v>5600</v>
      </c>
    </row>
    <row r="4067" spans="1:11" x14ac:dyDescent="0.2">
      <c r="A4067" s="9" t="s">
        <v>67</v>
      </c>
      <c r="B4067" s="9" t="s">
        <v>489</v>
      </c>
      <c r="C4067" s="9"/>
      <c r="D4067" s="9" t="s">
        <v>82</v>
      </c>
      <c r="E4067" s="38">
        <v>2585</v>
      </c>
      <c r="F4067" s="39">
        <v>7567184.1299999999</v>
      </c>
      <c r="G4067" s="40">
        <v>2927.343957446808</v>
      </c>
      <c r="H4067" s="41">
        <v>-0.13231477217365201</v>
      </c>
      <c r="I4067" s="40">
        <v>284.86249667329997</v>
      </c>
      <c r="J4067" s="41">
        <v>9.7310907366605956E-2</v>
      </c>
      <c r="K4067" s="9" t="s">
        <v>5601</v>
      </c>
    </row>
    <row r="4068" spans="1:11" x14ac:dyDescent="0.2">
      <c r="A4068" s="9" t="s">
        <v>67</v>
      </c>
      <c r="B4068" s="9" t="s">
        <v>5602</v>
      </c>
      <c r="C4068" s="9"/>
      <c r="D4068" s="9" t="s">
        <v>78</v>
      </c>
      <c r="E4068" s="38">
        <v>7704</v>
      </c>
      <c r="F4068" s="39">
        <v>29894118.879999999</v>
      </c>
      <c r="G4068" s="40">
        <v>3880.3373416407062</v>
      </c>
      <c r="H4068" s="41">
        <v>-0.18194573666327049</v>
      </c>
      <c r="I4068" s="40">
        <v>236.96943490241441</v>
      </c>
      <c r="J4068" s="41">
        <v>6.106928703322935E-2</v>
      </c>
      <c r="K4068" s="9" t="s">
        <v>5603</v>
      </c>
    </row>
    <row r="4069" spans="1:11" x14ac:dyDescent="0.2">
      <c r="A4069" s="9" t="s">
        <v>67</v>
      </c>
      <c r="B4069" s="9" t="s">
        <v>275</v>
      </c>
      <c r="C4069" s="9"/>
      <c r="D4069" s="9" t="s">
        <v>83</v>
      </c>
      <c r="E4069" s="38">
        <v>4217</v>
      </c>
      <c r="F4069" s="39">
        <v>2875125</v>
      </c>
      <c r="G4069" s="40">
        <v>681.79392933364954</v>
      </c>
      <c r="H4069" s="41">
        <v>-5.3213667118951029E-2</v>
      </c>
      <c r="I4069" s="40">
        <v>104.0013157586768</v>
      </c>
      <c r="J4069" s="41">
        <v>0.15254068903242121</v>
      </c>
      <c r="K4069" s="9" t="s">
        <v>5604</v>
      </c>
    </row>
    <row r="4070" spans="1:11" x14ac:dyDescent="0.2">
      <c r="A4070" s="9" t="s">
        <v>67</v>
      </c>
      <c r="B4070" s="9" t="s">
        <v>5605</v>
      </c>
      <c r="C4070" s="9"/>
      <c r="D4070" s="9" t="s">
        <v>85</v>
      </c>
      <c r="E4070" s="38">
        <v>41600</v>
      </c>
      <c r="F4070" s="39">
        <v>0</v>
      </c>
      <c r="G4070" s="40"/>
      <c r="H4070" s="41"/>
      <c r="I4070" s="40">
        <v>50.439633766858762</v>
      </c>
      <c r="J4070" s="41"/>
      <c r="K4070" s="9" t="s">
        <v>5606</v>
      </c>
    </row>
    <row r="4071" spans="1:11" x14ac:dyDescent="0.2">
      <c r="A4071" s="9" t="s">
        <v>67</v>
      </c>
      <c r="B4071" s="9" t="s">
        <v>4788</v>
      </c>
      <c r="C4071" s="9"/>
      <c r="D4071" s="9" t="s">
        <v>76</v>
      </c>
      <c r="E4071" s="38">
        <v>2733</v>
      </c>
      <c r="F4071" s="39">
        <v>2080796.51</v>
      </c>
      <c r="G4071" s="40">
        <v>761.35986461763628</v>
      </c>
      <c r="H4071" s="41">
        <v>-8.7936206922894791E-2</v>
      </c>
      <c r="I4071" s="40">
        <v>185.7917634849542</v>
      </c>
      <c r="J4071" s="41">
        <v>0.24402621167621041</v>
      </c>
      <c r="K4071" s="9" t="s">
        <v>5607</v>
      </c>
    </row>
    <row r="4072" spans="1:11" x14ac:dyDescent="0.2">
      <c r="A4072" s="9" t="s">
        <v>67</v>
      </c>
      <c r="B4072" s="9" t="s">
        <v>277</v>
      </c>
      <c r="C4072" s="9"/>
      <c r="D4072" s="9" t="s">
        <v>76</v>
      </c>
      <c r="E4072" s="38">
        <v>1153</v>
      </c>
      <c r="F4072" s="39">
        <v>808853.27</v>
      </c>
      <c r="G4072" s="40">
        <v>701.52061578490895</v>
      </c>
      <c r="H4072" s="41">
        <v>-0.63320255927954494</v>
      </c>
      <c r="I4072" s="40">
        <v>124.5268416017577</v>
      </c>
      <c r="J4072" s="41">
        <v>0.17750988181926569</v>
      </c>
      <c r="K4072" s="9" t="s">
        <v>5608</v>
      </c>
    </row>
    <row r="4073" spans="1:11" x14ac:dyDescent="0.2">
      <c r="A4073" s="9" t="s">
        <v>67</v>
      </c>
      <c r="B4073" s="9" t="s">
        <v>1262</v>
      </c>
      <c r="C4073" s="9"/>
      <c r="D4073" s="9" t="s">
        <v>79</v>
      </c>
      <c r="E4073" s="38">
        <v>620</v>
      </c>
      <c r="F4073" s="39">
        <v>1027125.02</v>
      </c>
      <c r="G4073" s="40">
        <v>1656.653258064516</v>
      </c>
      <c r="H4073" s="41">
        <v>-0.10320854262777911</v>
      </c>
      <c r="I4073" s="40">
        <v>396.52115137063458</v>
      </c>
      <c r="J4073" s="41">
        <v>0.23935072076210689</v>
      </c>
      <c r="K4073" s="9" t="s">
        <v>5609</v>
      </c>
    </row>
    <row r="4074" spans="1:11" x14ac:dyDescent="0.2">
      <c r="A4074" s="9" t="s">
        <v>67</v>
      </c>
      <c r="B4074" s="9" t="s">
        <v>281</v>
      </c>
      <c r="C4074" s="9"/>
      <c r="D4074" s="9" t="s">
        <v>80</v>
      </c>
      <c r="E4074" s="38">
        <v>1957</v>
      </c>
      <c r="F4074" s="39">
        <v>1133235.3999999999</v>
      </c>
      <c r="G4074" s="40">
        <v>579.06765457332642</v>
      </c>
      <c r="H4074" s="41">
        <v>1.613946936251304E-2</v>
      </c>
      <c r="I4074" s="40">
        <v>211.58134617003151</v>
      </c>
      <c r="J4074" s="41">
        <v>0.36538277435981242</v>
      </c>
      <c r="K4074" s="9" t="s">
        <v>5610</v>
      </c>
    </row>
    <row r="4075" spans="1:11" x14ac:dyDescent="0.2">
      <c r="A4075" s="9" t="s">
        <v>67</v>
      </c>
      <c r="B4075" s="9" t="s">
        <v>494</v>
      </c>
      <c r="C4075" s="9"/>
      <c r="D4075" s="9" t="s">
        <v>85</v>
      </c>
      <c r="E4075" s="38">
        <v>1158</v>
      </c>
      <c r="F4075" s="39">
        <v>6308294.7599999998</v>
      </c>
      <c r="G4075" s="40">
        <v>5447.5775129533677</v>
      </c>
      <c r="H4075" s="41">
        <v>-0.13931132805971641</v>
      </c>
      <c r="I4075" s="40">
        <v>437.74085083694058</v>
      </c>
      <c r="J4075" s="41">
        <v>8.0355139471824127E-2</v>
      </c>
      <c r="K4075" s="9" t="s">
        <v>5611</v>
      </c>
    </row>
    <row r="4076" spans="1:11" x14ac:dyDescent="0.2">
      <c r="A4076" s="9" t="s">
        <v>67</v>
      </c>
      <c r="B4076" s="9" t="s">
        <v>283</v>
      </c>
      <c r="C4076" s="9"/>
      <c r="D4076" s="9" t="s">
        <v>78</v>
      </c>
      <c r="E4076" s="38">
        <v>531</v>
      </c>
      <c r="F4076" s="39">
        <v>232569.94</v>
      </c>
      <c r="G4076" s="40">
        <v>437.98482109227871</v>
      </c>
      <c r="H4076" s="41"/>
      <c r="I4076" s="40">
        <v>327.76961848906649</v>
      </c>
      <c r="J4076" s="41">
        <v>0.74835839669432047</v>
      </c>
      <c r="K4076" s="9" t="s">
        <v>5612</v>
      </c>
    </row>
    <row r="4077" spans="1:11" x14ac:dyDescent="0.2">
      <c r="A4077" s="9" t="s">
        <v>67</v>
      </c>
      <c r="B4077" s="9" t="s">
        <v>5613</v>
      </c>
      <c r="C4077" s="9"/>
      <c r="D4077" s="9" t="s">
        <v>84</v>
      </c>
      <c r="E4077" s="38">
        <v>4462</v>
      </c>
      <c r="F4077" s="39">
        <v>20409158.260000002</v>
      </c>
      <c r="G4077" s="40">
        <v>4573.9933348274317</v>
      </c>
      <c r="H4077" s="41">
        <v>-1</v>
      </c>
      <c r="I4077" s="40">
        <v>228.5573257609208</v>
      </c>
      <c r="J4077" s="41">
        <v>4.9968880369945672E-2</v>
      </c>
      <c r="K4077" s="9" t="s">
        <v>5614</v>
      </c>
    </row>
    <row r="4078" spans="1:11" x14ac:dyDescent="0.2">
      <c r="A4078" s="9" t="s">
        <v>67</v>
      </c>
      <c r="B4078" s="9" t="s">
        <v>285</v>
      </c>
      <c r="C4078" s="9"/>
      <c r="D4078" s="9" t="s">
        <v>76</v>
      </c>
      <c r="E4078" s="38">
        <v>6999</v>
      </c>
      <c r="F4078" s="39">
        <v>15630204.52</v>
      </c>
      <c r="G4078" s="40">
        <v>2233.205389341334</v>
      </c>
      <c r="H4078" s="41">
        <v>-0.27067852284581689</v>
      </c>
      <c r="I4078" s="40">
        <v>166.9029811450223</v>
      </c>
      <c r="J4078" s="41">
        <v>7.4736959682086823E-2</v>
      </c>
      <c r="K4078" s="9" t="s">
        <v>5615</v>
      </c>
    </row>
    <row r="4079" spans="1:11" x14ac:dyDescent="0.2">
      <c r="A4079" s="9" t="s">
        <v>67</v>
      </c>
      <c r="B4079" s="9" t="s">
        <v>287</v>
      </c>
      <c r="C4079" s="9"/>
      <c r="D4079" s="9" t="s">
        <v>79</v>
      </c>
      <c r="E4079" s="38">
        <v>3840</v>
      </c>
      <c r="F4079" s="39">
        <v>3100882.05</v>
      </c>
      <c r="G4079" s="40">
        <v>807.5213671875</v>
      </c>
      <c r="H4079" s="41">
        <v>-3.412551774901116E-2</v>
      </c>
      <c r="I4079" s="40">
        <v>212.76683362526549</v>
      </c>
      <c r="J4079" s="41">
        <v>0.26348136689720902</v>
      </c>
      <c r="K4079" s="9" t="s">
        <v>5616</v>
      </c>
    </row>
    <row r="4080" spans="1:11" x14ac:dyDescent="0.2">
      <c r="A4080" s="9" t="s">
        <v>67</v>
      </c>
      <c r="B4080" s="9" t="s">
        <v>502</v>
      </c>
      <c r="C4080" s="9"/>
      <c r="D4080" s="9" t="s">
        <v>86</v>
      </c>
      <c r="E4080" s="38">
        <v>237076</v>
      </c>
      <c r="F4080" s="39">
        <v>77142355.629999995</v>
      </c>
      <c r="G4080" s="40">
        <v>325.39082669692419</v>
      </c>
      <c r="H4080" s="41">
        <v>-0.13136664856635749</v>
      </c>
      <c r="I4080" s="40">
        <v>0.39981254956216572</v>
      </c>
      <c r="J4080" s="41">
        <v>1.2287148768780731E-3</v>
      </c>
      <c r="K4080" s="9" t="s">
        <v>5617</v>
      </c>
    </row>
    <row r="4081" spans="1:11" x14ac:dyDescent="0.2">
      <c r="A4081" s="9" t="s">
        <v>67</v>
      </c>
      <c r="B4081" s="9" t="s">
        <v>2976</v>
      </c>
      <c r="C4081" s="9"/>
      <c r="D4081" s="9" t="s">
        <v>76</v>
      </c>
      <c r="E4081" s="38">
        <v>3779</v>
      </c>
      <c r="F4081" s="39">
        <v>3134246.68</v>
      </c>
      <c r="G4081" s="40">
        <v>829.38520243450648</v>
      </c>
      <c r="H4081" s="41">
        <v>-8.7717833140271803E-2</v>
      </c>
      <c r="I4081" s="40">
        <v>198.0422386081645</v>
      </c>
      <c r="J4081" s="41">
        <v>0.23878197733314779</v>
      </c>
      <c r="K4081" s="9" t="s">
        <v>5618</v>
      </c>
    </row>
    <row r="4082" spans="1:11" x14ac:dyDescent="0.2">
      <c r="A4082" s="9" t="s">
        <v>67</v>
      </c>
      <c r="B4082" s="9" t="s">
        <v>504</v>
      </c>
      <c r="C4082" s="9"/>
      <c r="D4082" s="9" t="s">
        <v>81</v>
      </c>
      <c r="E4082" s="38">
        <v>17078</v>
      </c>
      <c r="F4082" s="39">
        <v>0</v>
      </c>
      <c r="G4082" s="40"/>
      <c r="H4082" s="41"/>
      <c r="I4082" s="40">
        <v>71.172436676951705</v>
      </c>
      <c r="J4082" s="41"/>
      <c r="K4082" s="9" t="s">
        <v>5619</v>
      </c>
    </row>
    <row r="4083" spans="1:11" x14ac:dyDescent="0.2">
      <c r="A4083" s="9" t="s">
        <v>67</v>
      </c>
      <c r="B4083" s="9" t="s">
        <v>4914</v>
      </c>
      <c r="C4083" s="9"/>
      <c r="D4083" s="9" t="s">
        <v>76</v>
      </c>
      <c r="E4083" s="38">
        <v>7072</v>
      </c>
      <c r="F4083" s="39">
        <v>0</v>
      </c>
      <c r="G4083" s="40"/>
      <c r="H4083" s="41"/>
      <c r="I4083" s="40">
        <v>129.51068475998071</v>
      </c>
      <c r="J4083" s="41"/>
      <c r="K4083" s="9" t="s">
        <v>5620</v>
      </c>
    </row>
    <row r="4084" spans="1:11" x14ac:dyDescent="0.2">
      <c r="A4084" s="9" t="s">
        <v>67</v>
      </c>
      <c r="B4084" s="9" t="s">
        <v>5621</v>
      </c>
      <c r="C4084" s="9"/>
      <c r="D4084" s="9" t="s">
        <v>83</v>
      </c>
      <c r="E4084" s="38">
        <v>1197</v>
      </c>
      <c r="F4084" s="39">
        <v>155956.01999999999</v>
      </c>
      <c r="G4084" s="40">
        <v>130.28907268170431</v>
      </c>
      <c r="H4084" s="41">
        <v>-0.99999556792105571</v>
      </c>
      <c r="I4084" s="40">
        <v>117.6461466907745</v>
      </c>
      <c r="J4084" s="41">
        <v>0.90296249922803273</v>
      </c>
      <c r="K4084" s="9" t="s">
        <v>5622</v>
      </c>
    </row>
    <row r="4085" spans="1:11" x14ac:dyDescent="0.2">
      <c r="A4085" s="9" t="s">
        <v>67</v>
      </c>
      <c r="B4085" s="9" t="s">
        <v>5623</v>
      </c>
      <c r="C4085" s="9"/>
      <c r="D4085" s="9" t="s">
        <v>80</v>
      </c>
      <c r="E4085" s="38">
        <v>300</v>
      </c>
      <c r="F4085" s="39">
        <v>415318.21</v>
      </c>
      <c r="G4085" s="40">
        <v>1384.394033333333</v>
      </c>
      <c r="H4085" s="41">
        <v>-0.1395805202960016</v>
      </c>
      <c r="I4085" s="40">
        <v>589.11584493159341</v>
      </c>
      <c r="J4085" s="41">
        <v>0.42554058363941721</v>
      </c>
      <c r="K4085" s="9" t="s">
        <v>5624</v>
      </c>
    </row>
    <row r="4086" spans="1:11" x14ac:dyDescent="0.2">
      <c r="A4086" s="9" t="s">
        <v>67</v>
      </c>
      <c r="B4086" s="9" t="s">
        <v>2698</v>
      </c>
      <c r="C4086" s="9"/>
      <c r="D4086" s="9" t="s">
        <v>81</v>
      </c>
      <c r="E4086" s="38">
        <v>2498</v>
      </c>
      <c r="F4086" s="39">
        <v>2408050.54</v>
      </c>
      <c r="G4086" s="40">
        <v>963.99140912730184</v>
      </c>
      <c r="H4086" s="41">
        <v>-0.21024721883818409</v>
      </c>
      <c r="I4086" s="40">
        <v>165.34980563926041</v>
      </c>
      <c r="J4086" s="41">
        <v>0.17152622323569361</v>
      </c>
      <c r="K4086" s="9" t="s">
        <v>5625</v>
      </c>
    </row>
    <row r="4087" spans="1:11" x14ac:dyDescent="0.2">
      <c r="A4087" s="9" t="s">
        <v>67</v>
      </c>
      <c r="B4087" s="9" t="s">
        <v>5626</v>
      </c>
      <c r="C4087" s="9"/>
      <c r="D4087" s="9" t="s">
        <v>81</v>
      </c>
      <c r="E4087" s="38">
        <v>3134</v>
      </c>
      <c r="F4087" s="39">
        <v>0</v>
      </c>
      <c r="G4087" s="40"/>
      <c r="H4087" s="41">
        <v>-1</v>
      </c>
      <c r="I4087" s="40">
        <v>127.52858574760999</v>
      </c>
      <c r="J4087" s="41"/>
      <c r="K4087" s="9" t="s">
        <v>5627</v>
      </c>
    </row>
    <row r="4088" spans="1:11" x14ac:dyDescent="0.2">
      <c r="A4088" s="9" t="s">
        <v>67</v>
      </c>
      <c r="B4088" s="9" t="s">
        <v>508</v>
      </c>
      <c r="C4088" s="9"/>
      <c r="D4088" s="9" t="s">
        <v>76</v>
      </c>
      <c r="E4088" s="38">
        <v>5262</v>
      </c>
      <c r="F4088" s="39">
        <v>1576954.06</v>
      </c>
      <c r="G4088" s="40">
        <v>299.68720258456858</v>
      </c>
      <c r="H4088" s="41">
        <v>-3.0191593367203229E-2</v>
      </c>
      <c r="I4088" s="40">
        <v>280.72085932734319</v>
      </c>
      <c r="J4088" s="41">
        <v>0.93671286897253037</v>
      </c>
      <c r="K4088" s="9" t="s">
        <v>5628</v>
      </c>
    </row>
    <row r="4089" spans="1:11" x14ac:dyDescent="0.2">
      <c r="A4089" s="9" t="s">
        <v>67</v>
      </c>
      <c r="B4089" s="9" t="s">
        <v>301</v>
      </c>
      <c r="C4089" s="9"/>
      <c r="D4089" s="9" t="s">
        <v>82</v>
      </c>
      <c r="E4089" s="38">
        <v>3022</v>
      </c>
      <c r="F4089" s="39">
        <v>1587745.18</v>
      </c>
      <c r="G4089" s="40">
        <v>525.39549305095966</v>
      </c>
      <c r="H4089" s="41">
        <v>-0.60076524069123327</v>
      </c>
      <c r="I4089" s="40">
        <v>111.6206540947915</v>
      </c>
      <c r="J4089" s="41">
        <v>0.21245072630260481</v>
      </c>
      <c r="K4089" s="9" t="s">
        <v>5629</v>
      </c>
    </row>
    <row r="4090" spans="1:11" x14ac:dyDescent="0.2">
      <c r="A4090" s="9" t="s">
        <v>67</v>
      </c>
      <c r="B4090" s="9" t="s">
        <v>5630</v>
      </c>
      <c r="C4090" s="9"/>
      <c r="D4090" s="9" t="s">
        <v>84</v>
      </c>
      <c r="E4090" s="38">
        <v>112</v>
      </c>
      <c r="F4090" s="39">
        <v>185007</v>
      </c>
      <c r="G4090" s="40">
        <v>1651.848214285714</v>
      </c>
      <c r="H4090" s="41">
        <v>-0.8354973834401096</v>
      </c>
      <c r="I4090" s="40">
        <v>902.56695266784459</v>
      </c>
      <c r="J4090" s="41">
        <v>0.54639823735749782</v>
      </c>
      <c r="K4090" s="9" t="s">
        <v>5631</v>
      </c>
    </row>
    <row r="4091" spans="1:11" x14ac:dyDescent="0.2">
      <c r="A4091" s="9" t="s">
        <v>67</v>
      </c>
      <c r="B4091" s="9" t="s">
        <v>5630</v>
      </c>
      <c r="C4091" s="9"/>
      <c r="D4091" s="9" t="s">
        <v>84</v>
      </c>
      <c r="E4091" s="38">
        <v>112</v>
      </c>
      <c r="F4091" s="39">
        <v>215832</v>
      </c>
      <c r="G4091" s="40">
        <v>1927.0714285714289</v>
      </c>
      <c r="H4091" s="41">
        <v>-1</v>
      </c>
      <c r="I4091" s="40">
        <v>1116.575725407122</v>
      </c>
      <c r="J4091" s="41">
        <v>0.57941584772229149</v>
      </c>
      <c r="K4091" s="9" t="s">
        <v>5631</v>
      </c>
    </row>
    <row r="4092" spans="1:11" x14ac:dyDescent="0.2">
      <c r="A4092" s="9" t="s">
        <v>67</v>
      </c>
      <c r="B4092" s="9" t="s">
        <v>5632</v>
      </c>
      <c r="C4092" s="9"/>
      <c r="D4092" s="9" t="s">
        <v>80</v>
      </c>
      <c r="E4092" s="38">
        <v>1000</v>
      </c>
      <c r="F4092" s="39">
        <v>822978.16</v>
      </c>
      <c r="G4092" s="40">
        <v>822.97816</v>
      </c>
      <c r="H4092" s="41">
        <v>-0.29481989840221251</v>
      </c>
      <c r="I4092" s="40">
        <v>158.98180025729829</v>
      </c>
      <c r="J4092" s="41">
        <v>0.1931786382487943</v>
      </c>
      <c r="K4092" s="9" t="s">
        <v>5633</v>
      </c>
    </row>
    <row r="4093" spans="1:11" x14ac:dyDescent="0.2">
      <c r="A4093" s="9" t="s">
        <v>67</v>
      </c>
      <c r="B4093" s="9" t="s">
        <v>5634</v>
      </c>
      <c r="C4093" s="9"/>
      <c r="D4093" s="9" t="s">
        <v>78</v>
      </c>
      <c r="E4093" s="38">
        <v>2387</v>
      </c>
      <c r="F4093" s="39">
        <v>1049003.8899999999</v>
      </c>
      <c r="G4093" s="40">
        <v>439.46539170506912</v>
      </c>
      <c r="H4093" s="41">
        <v>-5.4348902158962042E-2</v>
      </c>
      <c r="I4093" s="40">
        <v>75.190016757436112</v>
      </c>
      <c r="J4093" s="41">
        <v>0.17109428450260561</v>
      </c>
      <c r="K4093" s="9" t="s">
        <v>5635</v>
      </c>
    </row>
    <row r="4094" spans="1:11" x14ac:dyDescent="0.2">
      <c r="A4094" s="9" t="s">
        <v>67</v>
      </c>
      <c r="B4094" s="9" t="s">
        <v>5636</v>
      </c>
      <c r="C4094" s="9"/>
      <c r="D4094" s="9" t="s">
        <v>78</v>
      </c>
      <c r="E4094" s="38">
        <v>879</v>
      </c>
      <c r="F4094" s="39">
        <v>2249082.44</v>
      </c>
      <c r="G4094" s="40">
        <v>2558.683094425483</v>
      </c>
      <c r="H4094" s="41">
        <v>-5.9035246505224508E-2</v>
      </c>
      <c r="I4094" s="40">
        <v>368.16583904154271</v>
      </c>
      <c r="J4094" s="41">
        <v>0.14388879961088311</v>
      </c>
      <c r="K4094" s="9" t="s">
        <v>5637</v>
      </c>
    </row>
    <row r="4095" spans="1:11" x14ac:dyDescent="0.2">
      <c r="A4095" s="9" t="s">
        <v>67</v>
      </c>
      <c r="B4095" s="9" t="s">
        <v>5638</v>
      </c>
      <c r="C4095" s="9"/>
      <c r="D4095" s="9" t="s">
        <v>80</v>
      </c>
      <c r="E4095" s="38">
        <v>1495</v>
      </c>
      <c r="F4095" s="39">
        <v>5922748</v>
      </c>
      <c r="G4095" s="40">
        <v>3961.7043478260871</v>
      </c>
      <c r="H4095" s="41">
        <v>-0.1142794690766458</v>
      </c>
      <c r="I4095" s="40">
        <v>410.94853847874828</v>
      </c>
      <c r="J4095" s="41">
        <v>0.10373023890696161</v>
      </c>
      <c r="K4095" s="9" t="s">
        <v>5639</v>
      </c>
    </row>
    <row r="4096" spans="1:11" x14ac:dyDescent="0.2">
      <c r="A4096" s="9" t="s">
        <v>67</v>
      </c>
      <c r="B4096" s="9" t="s">
        <v>800</v>
      </c>
      <c r="C4096" s="9"/>
      <c r="D4096" s="9" t="s">
        <v>86</v>
      </c>
      <c r="E4096" s="38">
        <v>200000</v>
      </c>
      <c r="F4096" s="39">
        <v>69823919.450000003</v>
      </c>
      <c r="G4096" s="40">
        <v>349.11959725000003</v>
      </c>
      <c r="H4096" s="41">
        <v>-0.15669865186148521</v>
      </c>
      <c r="I4096" s="40">
        <v>1.4149969988499591</v>
      </c>
      <c r="J4096" s="41">
        <v>4.0530437420180062E-3</v>
      </c>
      <c r="K4096" s="9" t="s">
        <v>5640</v>
      </c>
    </row>
    <row r="4097" spans="1:11" x14ac:dyDescent="0.2">
      <c r="A4097" s="9" t="s">
        <v>67</v>
      </c>
      <c r="B4097" s="9" t="s">
        <v>800</v>
      </c>
      <c r="C4097" s="9"/>
      <c r="D4097" s="9" t="s">
        <v>86</v>
      </c>
      <c r="E4097" s="38">
        <v>200000</v>
      </c>
      <c r="F4097" s="39">
        <v>0</v>
      </c>
      <c r="G4097" s="40"/>
      <c r="H4097" s="41"/>
      <c r="I4097" s="40">
        <v>0.125639</v>
      </c>
      <c r="J4097" s="41"/>
      <c r="K4097" s="9" t="s">
        <v>5640</v>
      </c>
    </row>
    <row r="4098" spans="1:11" x14ac:dyDescent="0.2">
      <c r="A4098" s="9" t="s">
        <v>67</v>
      </c>
      <c r="B4098" s="9" t="s">
        <v>5641</v>
      </c>
      <c r="C4098" s="9"/>
      <c r="D4098" s="9" t="s">
        <v>83</v>
      </c>
      <c r="E4098" s="38">
        <v>960</v>
      </c>
      <c r="F4098" s="39">
        <v>1545017.3</v>
      </c>
      <c r="G4098" s="40">
        <v>1609.3930208333329</v>
      </c>
      <c r="H4098" s="41">
        <v>0.25623315142770309</v>
      </c>
      <c r="I4098" s="40">
        <v>217.91764068945241</v>
      </c>
      <c r="J4098" s="41">
        <v>0.1354036197923961</v>
      </c>
      <c r="K4098" s="9" t="s">
        <v>5642</v>
      </c>
    </row>
    <row r="4099" spans="1:11" x14ac:dyDescent="0.2">
      <c r="A4099" s="9" t="s">
        <v>67</v>
      </c>
      <c r="B4099" s="9" t="s">
        <v>5643</v>
      </c>
      <c r="C4099" s="9"/>
      <c r="D4099" s="9" t="s">
        <v>76</v>
      </c>
      <c r="E4099" s="38">
        <v>3003</v>
      </c>
      <c r="F4099" s="39">
        <v>2191381.85</v>
      </c>
      <c r="G4099" s="40">
        <v>729.73088578088584</v>
      </c>
      <c r="H4099" s="41">
        <v>-1</v>
      </c>
      <c r="I4099" s="40">
        <v>200.6209325815955</v>
      </c>
      <c r="J4099" s="41">
        <v>0.27492454614540651</v>
      </c>
      <c r="K4099" s="9" t="s">
        <v>5644</v>
      </c>
    </row>
    <row r="4100" spans="1:11" x14ac:dyDescent="0.2">
      <c r="A4100" s="9" t="s">
        <v>67</v>
      </c>
      <c r="B4100" s="9" t="s">
        <v>710</v>
      </c>
      <c r="C4100" s="9"/>
      <c r="D4100" s="9" t="s">
        <v>76</v>
      </c>
      <c r="E4100" s="38">
        <v>3097</v>
      </c>
      <c r="F4100" s="39">
        <v>1095160.0900000001</v>
      </c>
      <c r="G4100" s="40">
        <v>353.61966096222147</v>
      </c>
      <c r="H4100" s="41">
        <v>1.220114325810632E-2</v>
      </c>
      <c r="I4100" s="40">
        <v>81.164817896259649</v>
      </c>
      <c r="J4100" s="41">
        <v>0.22952574999762471</v>
      </c>
      <c r="K4100" s="9" t="s">
        <v>5645</v>
      </c>
    </row>
    <row r="4101" spans="1:11" x14ac:dyDescent="0.2">
      <c r="A4101" s="9" t="s">
        <v>67</v>
      </c>
      <c r="B4101" s="9" t="s">
        <v>1816</v>
      </c>
      <c r="C4101" s="9"/>
      <c r="D4101" s="9" t="s">
        <v>76</v>
      </c>
      <c r="E4101" s="38">
        <v>8618</v>
      </c>
      <c r="F4101" s="39">
        <v>0</v>
      </c>
      <c r="G4101" s="40"/>
      <c r="H4101" s="41"/>
      <c r="I4101" s="40">
        <v>162.83148538026481</v>
      </c>
      <c r="J4101" s="41"/>
      <c r="K4101" s="9" t="s">
        <v>5646</v>
      </c>
    </row>
    <row r="4102" spans="1:11" x14ac:dyDescent="0.2">
      <c r="A4102" s="9" t="s">
        <v>67</v>
      </c>
      <c r="B4102" s="9" t="s">
        <v>1149</v>
      </c>
      <c r="C4102" s="9"/>
      <c r="D4102" s="9" t="s">
        <v>76</v>
      </c>
      <c r="E4102" s="38">
        <v>16906</v>
      </c>
      <c r="F4102" s="39">
        <v>6420230.1900000004</v>
      </c>
      <c r="G4102" s="40">
        <v>379.76045131905829</v>
      </c>
      <c r="H4102" s="41">
        <v>-3.8307528828539293E-2</v>
      </c>
      <c r="I4102" s="40">
        <v>77.962280930411126</v>
      </c>
      <c r="J4102" s="41">
        <v>0.2052933122962575</v>
      </c>
      <c r="K4102" s="9" t="s">
        <v>5647</v>
      </c>
    </row>
    <row r="4103" spans="1:11" x14ac:dyDescent="0.2">
      <c r="A4103" s="9" t="s">
        <v>67</v>
      </c>
      <c r="B4103" s="9" t="s">
        <v>5648</v>
      </c>
      <c r="C4103" s="9"/>
      <c r="D4103" s="9" t="s">
        <v>80</v>
      </c>
      <c r="E4103" s="38">
        <v>150</v>
      </c>
      <c r="F4103" s="39">
        <v>596442.6</v>
      </c>
      <c r="G4103" s="40">
        <v>3976.2840000000001</v>
      </c>
      <c r="H4103" s="41">
        <v>5.9099634892689559E-3</v>
      </c>
      <c r="I4103" s="40">
        <v>880</v>
      </c>
      <c r="J4103" s="41">
        <v>0.22131215979542709</v>
      </c>
      <c r="K4103" s="9" t="s">
        <v>5649</v>
      </c>
    </row>
    <row r="4104" spans="1:11" x14ac:dyDescent="0.2">
      <c r="A4104" s="9" t="s">
        <v>67</v>
      </c>
      <c r="B4104" s="9" t="s">
        <v>317</v>
      </c>
      <c r="C4104" s="9"/>
      <c r="D4104" s="9" t="s">
        <v>76</v>
      </c>
      <c r="E4104" s="38">
        <v>3888</v>
      </c>
      <c r="F4104" s="39">
        <v>3541722.17</v>
      </c>
      <c r="G4104" s="40">
        <v>910.93677211934153</v>
      </c>
      <c r="H4104" s="41">
        <v>-3.5442673678832623E-2</v>
      </c>
      <c r="I4104" s="40">
        <v>154.8902938117819</v>
      </c>
      <c r="J4104" s="41">
        <v>0.17003407761377509</v>
      </c>
      <c r="K4104" s="9" t="s">
        <v>5650</v>
      </c>
    </row>
    <row r="4105" spans="1:11" x14ac:dyDescent="0.2">
      <c r="A4105" s="9" t="s">
        <v>67</v>
      </c>
      <c r="B4105" s="9" t="s">
        <v>319</v>
      </c>
      <c r="C4105" s="9"/>
      <c r="D4105" s="9" t="s">
        <v>81</v>
      </c>
      <c r="E4105" s="38">
        <v>2341</v>
      </c>
      <c r="F4105" s="39">
        <v>2846996.51</v>
      </c>
      <c r="G4105" s="40">
        <v>1216.1454549337891</v>
      </c>
      <c r="H4105" s="41">
        <v>-0.1930544247100989</v>
      </c>
      <c r="I4105" s="40">
        <v>275.6737360008521</v>
      </c>
      <c r="J4105" s="41">
        <v>0.22667826030387189</v>
      </c>
      <c r="K4105" s="9" t="s">
        <v>5651</v>
      </c>
    </row>
    <row r="4106" spans="1:11" x14ac:dyDescent="0.2">
      <c r="A4106" s="9" t="s">
        <v>67</v>
      </c>
      <c r="B4106" s="9" t="s">
        <v>321</v>
      </c>
      <c r="C4106" s="9"/>
      <c r="D4106" s="9" t="s">
        <v>78</v>
      </c>
      <c r="E4106" s="38">
        <v>1000</v>
      </c>
      <c r="F4106" s="39">
        <v>2397597</v>
      </c>
      <c r="G4106" s="40">
        <v>2397.5970000000002</v>
      </c>
      <c r="H4106" s="41">
        <v>7.4764951969394533E-2</v>
      </c>
      <c r="I4106" s="40">
        <v>357.57552424187958</v>
      </c>
      <c r="J4106" s="41">
        <v>0.14913912731867771</v>
      </c>
      <c r="K4106" s="9" t="s">
        <v>5652</v>
      </c>
    </row>
    <row r="4107" spans="1:11" x14ac:dyDescent="0.2">
      <c r="A4107" s="9" t="s">
        <v>67</v>
      </c>
      <c r="B4107" s="9" t="s">
        <v>5653</v>
      </c>
      <c r="C4107" s="9"/>
      <c r="D4107" s="9" t="s">
        <v>79</v>
      </c>
      <c r="E4107" s="38">
        <v>340</v>
      </c>
      <c r="F4107" s="39">
        <v>940800.33</v>
      </c>
      <c r="G4107" s="40">
        <v>2767.059794117647</v>
      </c>
      <c r="H4107" s="41">
        <v>-0.28825893707689593</v>
      </c>
      <c r="I4107" s="40">
        <v>449.00723901968541</v>
      </c>
      <c r="J4107" s="41">
        <v>0.16226871568666759</v>
      </c>
      <c r="K4107" s="9" t="s">
        <v>5654</v>
      </c>
    </row>
    <row r="4108" spans="1:11" x14ac:dyDescent="0.2">
      <c r="A4108" s="9" t="s">
        <v>67</v>
      </c>
      <c r="B4108" s="9" t="s">
        <v>811</v>
      </c>
      <c r="C4108" s="9"/>
      <c r="D4108" s="9" t="s">
        <v>85</v>
      </c>
      <c r="E4108" s="38">
        <v>10995</v>
      </c>
      <c r="F4108" s="39">
        <v>1802429.88</v>
      </c>
      <c r="G4108" s="40">
        <v>163.93177626193719</v>
      </c>
      <c r="H4108" s="41">
        <v>-0.86070199053069996</v>
      </c>
      <c r="I4108" s="40">
        <v>26.149225469459601</v>
      </c>
      <c r="J4108" s="41">
        <v>0.1595128538574318</v>
      </c>
      <c r="K4108" s="9" t="s">
        <v>5655</v>
      </c>
    </row>
    <row r="4109" spans="1:11" x14ac:dyDescent="0.2">
      <c r="A4109" s="9" t="s">
        <v>67</v>
      </c>
      <c r="B4109" s="9" t="s">
        <v>5656</v>
      </c>
      <c r="C4109" s="9"/>
      <c r="D4109" s="9" t="s">
        <v>80</v>
      </c>
      <c r="E4109" s="38">
        <v>298</v>
      </c>
      <c r="F4109" s="39">
        <v>69627.16</v>
      </c>
      <c r="G4109" s="40">
        <v>233.64818791946311</v>
      </c>
      <c r="H4109" s="41">
        <v>-1</v>
      </c>
      <c r="I4109" s="40">
        <v>379.52657356854598</v>
      </c>
      <c r="J4109" s="41">
        <v>1.624350597143797E-2</v>
      </c>
      <c r="K4109" s="9" t="s">
        <v>5657</v>
      </c>
    </row>
    <row r="4110" spans="1:11" x14ac:dyDescent="0.2">
      <c r="A4110" s="9" t="s">
        <v>67</v>
      </c>
      <c r="B4110" s="9" t="s">
        <v>3142</v>
      </c>
      <c r="C4110" s="9"/>
      <c r="D4110" s="9" t="s">
        <v>84</v>
      </c>
      <c r="E4110" s="38">
        <v>5418</v>
      </c>
      <c r="F4110" s="39">
        <v>3241732.32</v>
      </c>
      <c r="G4110" s="40">
        <v>598.32637873754152</v>
      </c>
      <c r="H4110" s="41">
        <v>1.07875288688927E-2</v>
      </c>
      <c r="I4110" s="40">
        <v>165.2750999242723</v>
      </c>
      <c r="J4110" s="41">
        <v>0.27622900443232989</v>
      </c>
      <c r="K4110" s="9" t="s">
        <v>5658</v>
      </c>
    </row>
    <row r="4111" spans="1:11" x14ac:dyDescent="0.2">
      <c r="A4111" s="9" t="s">
        <v>67</v>
      </c>
      <c r="B4111" s="9" t="s">
        <v>5659</v>
      </c>
      <c r="C4111" s="9"/>
      <c r="D4111" s="9" t="s">
        <v>83</v>
      </c>
      <c r="E4111" s="38">
        <v>1179</v>
      </c>
      <c r="F4111" s="39">
        <v>367752</v>
      </c>
      <c r="G4111" s="40">
        <v>311.91857506361322</v>
      </c>
      <c r="H4111" s="41">
        <v>-0.86970964705645493</v>
      </c>
      <c r="I4111" s="40">
        <v>263.94521005560472</v>
      </c>
      <c r="J4111" s="41">
        <v>0.84619907615881873</v>
      </c>
      <c r="K4111" s="9" t="s">
        <v>5660</v>
      </c>
    </row>
    <row r="4112" spans="1:11" x14ac:dyDescent="0.2">
      <c r="A4112" s="9" t="s">
        <v>67</v>
      </c>
      <c r="B4112" s="9" t="s">
        <v>5661</v>
      </c>
      <c r="C4112" s="9"/>
      <c r="D4112" s="9" t="s">
        <v>80</v>
      </c>
      <c r="E4112" s="38">
        <v>1835</v>
      </c>
      <c r="F4112" s="39">
        <v>1067070</v>
      </c>
      <c r="G4112" s="40">
        <v>581.50953678474116</v>
      </c>
      <c r="H4112" s="41">
        <v>2.434835962876641E-2</v>
      </c>
      <c r="I4112" s="40">
        <v>133.01823491582391</v>
      </c>
      <c r="J4112" s="41">
        <v>0.22874643750694601</v>
      </c>
      <c r="K4112" s="9" t="s">
        <v>5662</v>
      </c>
    </row>
    <row r="4113" spans="1:11" x14ac:dyDescent="0.2">
      <c r="A4113" s="9" t="s">
        <v>67</v>
      </c>
      <c r="B4113" s="9" t="s">
        <v>1688</v>
      </c>
      <c r="C4113" s="9"/>
      <c r="D4113" s="9" t="s">
        <v>86</v>
      </c>
      <c r="E4113" s="38">
        <v>50186</v>
      </c>
      <c r="F4113" s="39">
        <v>0</v>
      </c>
      <c r="G4113" s="40"/>
      <c r="H4113" s="41"/>
      <c r="I4113" s="40">
        <v>58.233604740595617</v>
      </c>
      <c r="J4113" s="41"/>
      <c r="K4113" s="9" t="s">
        <v>5663</v>
      </c>
    </row>
    <row r="4114" spans="1:11" x14ac:dyDescent="0.2">
      <c r="A4114" s="9" t="s">
        <v>67</v>
      </c>
      <c r="B4114" s="9" t="s">
        <v>5664</v>
      </c>
      <c r="C4114" s="9"/>
      <c r="D4114" s="9" t="s">
        <v>76</v>
      </c>
      <c r="E4114" s="38">
        <v>2001</v>
      </c>
      <c r="F4114" s="39">
        <v>1184715.76</v>
      </c>
      <c r="G4114" s="40">
        <v>592.06184907546231</v>
      </c>
      <c r="H4114" s="41">
        <v>1.0349426198358051E-2</v>
      </c>
      <c r="I4114" s="40">
        <v>193.58924899039241</v>
      </c>
      <c r="J4114" s="41">
        <v>0.32697470592420858</v>
      </c>
      <c r="K4114" s="9" t="s">
        <v>5665</v>
      </c>
    </row>
    <row r="4115" spans="1:11" x14ac:dyDescent="0.2">
      <c r="A4115" s="9" t="s">
        <v>67</v>
      </c>
      <c r="B4115" s="9" t="s">
        <v>5666</v>
      </c>
      <c r="C4115" s="9"/>
      <c r="D4115" s="9" t="s">
        <v>83</v>
      </c>
      <c r="E4115" s="38">
        <v>1300</v>
      </c>
      <c r="F4115" s="39">
        <v>270859</v>
      </c>
      <c r="G4115" s="40">
        <v>208.35307692307691</v>
      </c>
      <c r="H4115" s="41">
        <v>-0.21625504329460701</v>
      </c>
      <c r="I4115" s="40">
        <v>113.67546718024521</v>
      </c>
      <c r="J4115" s="41">
        <v>0.54559053726964479</v>
      </c>
      <c r="K4115" s="9" t="s">
        <v>5667</v>
      </c>
    </row>
    <row r="4116" spans="1:11" x14ac:dyDescent="0.2">
      <c r="A4116" s="9" t="s">
        <v>67</v>
      </c>
      <c r="B4116" s="9" t="s">
        <v>2993</v>
      </c>
      <c r="C4116" s="9"/>
      <c r="D4116" s="9" t="s">
        <v>82</v>
      </c>
      <c r="E4116" s="38">
        <v>3165</v>
      </c>
      <c r="F4116" s="39">
        <v>2250955.62</v>
      </c>
      <c r="G4116" s="40">
        <v>711.20240758293846</v>
      </c>
      <c r="H4116" s="41">
        <v>2.2907840620925431E-2</v>
      </c>
      <c r="I4116" s="40">
        <v>166.86897141847999</v>
      </c>
      <c r="J4116" s="41">
        <v>0.23462936801014719</v>
      </c>
      <c r="K4116" s="9" t="s">
        <v>5668</v>
      </c>
    </row>
    <row r="4117" spans="1:11" x14ac:dyDescent="0.2">
      <c r="A4117" s="9" t="s">
        <v>67</v>
      </c>
      <c r="B4117" s="9" t="s">
        <v>5669</v>
      </c>
      <c r="C4117" s="9"/>
      <c r="D4117" s="9" t="s">
        <v>76</v>
      </c>
      <c r="E4117" s="38">
        <v>1827</v>
      </c>
      <c r="F4117" s="39">
        <v>431168.18</v>
      </c>
      <c r="G4117" s="40">
        <v>235.99790914066779</v>
      </c>
      <c r="H4117" s="41">
        <v>-6.477808369578443E-2</v>
      </c>
      <c r="I4117" s="40">
        <v>92.862192256186162</v>
      </c>
      <c r="J4117" s="41">
        <v>0.39348735162240428</v>
      </c>
      <c r="K4117" s="9" t="s">
        <v>5670</v>
      </c>
    </row>
    <row r="4118" spans="1:11" x14ac:dyDescent="0.2">
      <c r="A4118" s="9" t="s">
        <v>67</v>
      </c>
      <c r="B4118" s="9" t="s">
        <v>5671</v>
      </c>
      <c r="C4118" s="9"/>
      <c r="D4118" s="9" t="s">
        <v>83</v>
      </c>
      <c r="E4118" s="38">
        <v>484</v>
      </c>
      <c r="F4118" s="39">
        <v>124715</v>
      </c>
      <c r="G4118" s="40">
        <v>257.67561983471069</v>
      </c>
      <c r="H4118" s="41"/>
      <c r="I4118" s="40">
        <v>253.14596220717209</v>
      </c>
      <c r="J4118" s="41">
        <v>0.98242108574166132</v>
      </c>
      <c r="K4118" s="9" t="s">
        <v>5672</v>
      </c>
    </row>
    <row r="4119" spans="1:11" x14ac:dyDescent="0.2">
      <c r="A4119" s="9" t="s">
        <v>67</v>
      </c>
      <c r="B4119" s="9" t="s">
        <v>5673</v>
      </c>
      <c r="C4119" s="9"/>
      <c r="D4119" s="9" t="s">
        <v>77</v>
      </c>
      <c r="E4119" s="38">
        <v>1860</v>
      </c>
      <c r="F4119" s="39">
        <v>0</v>
      </c>
      <c r="G4119" s="40"/>
      <c r="H4119" s="41"/>
      <c r="I4119" s="40">
        <v>198.87753612879129</v>
      </c>
      <c r="J4119" s="41"/>
      <c r="K4119" s="9" t="s">
        <v>5674</v>
      </c>
    </row>
    <row r="4120" spans="1:11" x14ac:dyDescent="0.2">
      <c r="A4120" s="9" t="s">
        <v>67</v>
      </c>
      <c r="B4120" s="9" t="s">
        <v>721</v>
      </c>
      <c r="C4120" s="9"/>
      <c r="D4120" s="9" t="s">
        <v>81</v>
      </c>
      <c r="E4120" s="38">
        <v>9515</v>
      </c>
      <c r="F4120" s="39">
        <v>6481809.6200000001</v>
      </c>
      <c r="G4120" s="40">
        <v>681.22013872832372</v>
      </c>
      <c r="H4120" s="41">
        <v>-0.22895679662210211</v>
      </c>
      <c r="I4120" s="40">
        <v>81.378385218049203</v>
      </c>
      <c r="J4120" s="41">
        <v>0.11945974669798121</v>
      </c>
      <c r="K4120" s="9" t="s">
        <v>5675</v>
      </c>
    </row>
    <row r="4121" spans="1:11" x14ac:dyDescent="0.2">
      <c r="A4121" s="9" t="s">
        <v>67</v>
      </c>
      <c r="B4121" s="9" t="s">
        <v>343</v>
      </c>
      <c r="C4121" s="9"/>
      <c r="D4121" s="9" t="s">
        <v>79</v>
      </c>
      <c r="E4121" s="38">
        <v>7088</v>
      </c>
      <c r="F4121" s="39">
        <v>21996004.329999998</v>
      </c>
      <c r="G4121" s="40">
        <v>3103.2737485891639</v>
      </c>
      <c r="H4121" s="41">
        <v>-0.23508342652830411</v>
      </c>
      <c r="I4121" s="40">
        <v>250.7587619005109</v>
      </c>
      <c r="J4121" s="41">
        <v>8.0804589673892882E-2</v>
      </c>
      <c r="K4121" s="9" t="s">
        <v>5676</v>
      </c>
    </row>
    <row r="4122" spans="1:11" x14ac:dyDescent="0.2">
      <c r="A4122" s="9" t="s">
        <v>67</v>
      </c>
      <c r="B4122" s="9" t="s">
        <v>5677</v>
      </c>
      <c r="C4122" s="9"/>
      <c r="D4122" s="9" t="s">
        <v>80</v>
      </c>
      <c r="E4122" s="38">
        <v>2191</v>
      </c>
      <c r="F4122" s="39">
        <v>1032865</v>
      </c>
      <c r="G4122" s="40">
        <v>471.41259698767692</v>
      </c>
      <c r="H4122" s="41">
        <v>-0.20041072863119869</v>
      </c>
      <c r="I4122" s="40">
        <v>82.330864286154238</v>
      </c>
      <c r="J4122" s="41">
        <v>0.17464714522320329</v>
      </c>
      <c r="K4122" s="9" t="s">
        <v>5678</v>
      </c>
    </row>
    <row r="4123" spans="1:11" x14ac:dyDescent="0.2">
      <c r="A4123" s="9" t="s">
        <v>67</v>
      </c>
      <c r="B4123" s="9" t="s">
        <v>5679</v>
      </c>
      <c r="C4123" s="9"/>
      <c r="D4123" s="9" t="s">
        <v>76</v>
      </c>
      <c r="E4123" s="38">
        <v>1494</v>
      </c>
      <c r="F4123" s="39">
        <v>803204.78</v>
      </c>
      <c r="G4123" s="40">
        <v>537.62033467202139</v>
      </c>
      <c r="H4123" s="41">
        <v>-4.1499396444080183E-2</v>
      </c>
      <c r="I4123" s="40">
        <v>208.81790849426511</v>
      </c>
      <c r="J4123" s="41">
        <v>0.38841147744468357</v>
      </c>
      <c r="K4123" s="9" t="s">
        <v>5680</v>
      </c>
    </row>
    <row r="4124" spans="1:11" x14ac:dyDescent="0.2">
      <c r="A4124" s="9" t="s">
        <v>67</v>
      </c>
      <c r="B4124" s="9" t="s">
        <v>5681</v>
      </c>
      <c r="C4124" s="9"/>
      <c r="D4124" s="9" t="s">
        <v>77</v>
      </c>
      <c r="E4124" s="38">
        <v>768</v>
      </c>
      <c r="F4124" s="39">
        <v>873983.39</v>
      </c>
      <c r="G4124" s="40">
        <v>1137.999205729167</v>
      </c>
      <c r="H4124" s="41">
        <v>-0.34269910038229662</v>
      </c>
      <c r="I4124" s="40">
        <v>191.016111694031</v>
      </c>
      <c r="J4124" s="41">
        <v>0.16785258788615631</v>
      </c>
      <c r="K4124" s="9" t="s">
        <v>5682</v>
      </c>
    </row>
    <row r="4125" spans="1:11" x14ac:dyDescent="0.2">
      <c r="A4125" s="9" t="s">
        <v>67</v>
      </c>
      <c r="B4125" s="9" t="s">
        <v>351</v>
      </c>
      <c r="C4125" s="9"/>
      <c r="D4125" s="9" t="s">
        <v>85</v>
      </c>
      <c r="E4125" s="38">
        <v>1954</v>
      </c>
      <c r="F4125" s="39">
        <v>2874230.77</v>
      </c>
      <c r="G4125" s="40">
        <v>1470.9471699078811</v>
      </c>
      <c r="H4125" s="41">
        <v>0.126370958776753</v>
      </c>
      <c r="I4125" s="40">
        <v>234.93238687492769</v>
      </c>
      <c r="J4125" s="41">
        <v>0.15971504054060651</v>
      </c>
      <c r="K4125" s="9" t="s">
        <v>5683</v>
      </c>
    </row>
    <row r="4126" spans="1:11" x14ac:dyDescent="0.2">
      <c r="A4126" s="9" t="s">
        <v>67</v>
      </c>
      <c r="B4126" s="9" t="s">
        <v>353</v>
      </c>
      <c r="C4126" s="9"/>
      <c r="D4126" s="9" t="s">
        <v>76</v>
      </c>
      <c r="E4126" s="38">
        <v>2210</v>
      </c>
      <c r="F4126" s="39">
        <v>998316.21</v>
      </c>
      <c r="G4126" s="40">
        <v>451.7267918552036</v>
      </c>
      <c r="H4126" s="41">
        <v>-0.1441166011808962</v>
      </c>
      <c r="I4126" s="40">
        <v>184.97488300836599</v>
      </c>
      <c r="J4126" s="41">
        <v>0.4094839764732347</v>
      </c>
      <c r="K4126" s="9" t="s">
        <v>5684</v>
      </c>
    </row>
    <row r="4127" spans="1:11" x14ac:dyDescent="0.2">
      <c r="A4127" s="9" t="s">
        <v>67</v>
      </c>
      <c r="B4127" s="9" t="s">
        <v>5685</v>
      </c>
      <c r="C4127" s="9"/>
      <c r="D4127" s="9" t="s">
        <v>80</v>
      </c>
      <c r="E4127" s="38">
        <v>160</v>
      </c>
      <c r="F4127" s="39">
        <v>271617</v>
      </c>
      <c r="G4127" s="40">
        <v>1697.60625</v>
      </c>
      <c r="H4127" s="41">
        <v>-1</v>
      </c>
      <c r="I4127" s="40">
        <v>841.2068873580331</v>
      </c>
      <c r="J4127" s="41">
        <v>0.49552532417810852</v>
      </c>
      <c r="K4127" s="9" t="s">
        <v>5686</v>
      </c>
    </row>
    <row r="4128" spans="1:11" x14ac:dyDescent="0.2">
      <c r="A4128" s="9" t="s">
        <v>67</v>
      </c>
      <c r="B4128" s="9" t="s">
        <v>355</v>
      </c>
      <c r="C4128" s="9"/>
      <c r="D4128" s="9" t="s">
        <v>82</v>
      </c>
      <c r="E4128" s="38">
        <v>2100</v>
      </c>
      <c r="F4128" s="39">
        <v>1544152.33</v>
      </c>
      <c r="G4128" s="40">
        <v>735.31063333333339</v>
      </c>
      <c r="H4128" s="41">
        <v>-4.1445529204425999E-2</v>
      </c>
      <c r="I4128" s="40">
        <v>199.27540904272851</v>
      </c>
      <c r="J4128" s="41">
        <v>0.27100846908655041</v>
      </c>
      <c r="K4128" s="9" t="s">
        <v>5687</v>
      </c>
    </row>
    <row r="4129" spans="1:11" x14ac:dyDescent="0.2">
      <c r="A4129" s="9" t="s">
        <v>67</v>
      </c>
      <c r="B4129" s="9" t="s">
        <v>538</v>
      </c>
      <c r="C4129" s="9"/>
      <c r="D4129" s="9" t="s">
        <v>80</v>
      </c>
      <c r="E4129" s="38">
        <v>1085</v>
      </c>
      <c r="F4129" s="39">
        <v>2739288.72</v>
      </c>
      <c r="G4129" s="40">
        <v>2524.690064516129</v>
      </c>
      <c r="H4129" s="41">
        <v>-0.21288996166336241</v>
      </c>
      <c r="I4129" s="40">
        <v>304.21714214881632</v>
      </c>
      <c r="J4129" s="41">
        <v>0.12049682708563331</v>
      </c>
      <c r="K4129" s="9" t="s">
        <v>5688</v>
      </c>
    </row>
    <row r="4130" spans="1:11" x14ac:dyDescent="0.2">
      <c r="A4130" s="9" t="s">
        <v>67</v>
      </c>
      <c r="B4130" s="9" t="s">
        <v>5689</v>
      </c>
      <c r="C4130" s="9"/>
      <c r="D4130" s="9" t="s">
        <v>85</v>
      </c>
      <c r="E4130" s="38">
        <v>2000</v>
      </c>
      <c r="F4130" s="39">
        <v>250157.02</v>
      </c>
      <c r="G4130" s="40">
        <v>125.07850999999999</v>
      </c>
      <c r="H4130" s="41">
        <v>0.72649062559873978</v>
      </c>
      <c r="I4130" s="40">
        <v>48.297540728831329</v>
      </c>
      <c r="J4130" s="41">
        <v>0.38613780040097478</v>
      </c>
      <c r="K4130" s="9" t="s">
        <v>5690</v>
      </c>
    </row>
    <row r="4131" spans="1:11" x14ac:dyDescent="0.2">
      <c r="A4131" s="9" t="s">
        <v>67</v>
      </c>
      <c r="B4131" s="9" t="s">
        <v>1417</v>
      </c>
      <c r="C4131" s="9"/>
      <c r="D4131" s="9" t="s">
        <v>83</v>
      </c>
      <c r="E4131" s="38">
        <v>1386</v>
      </c>
      <c r="F4131" s="39">
        <v>1699358.61</v>
      </c>
      <c r="G4131" s="40">
        <v>1226.0884632034631</v>
      </c>
      <c r="H4131" s="41">
        <v>-0.23749111927500699</v>
      </c>
      <c r="I4131" s="40">
        <v>219.96486372632219</v>
      </c>
      <c r="J4131" s="41">
        <v>0.17940374640799481</v>
      </c>
      <c r="K4131" s="9" t="s">
        <v>5691</v>
      </c>
    </row>
    <row r="4132" spans="1:11" x14ac:dyDescent="0.2">
      <c r="A4132" s="9" t="s">
        <v>67</v>
      </c>
      <c r="B4132" s="9" t="s">
        <v>357</v>
      </c>
      <c r="C4132" s="9"/>
      <c r="D4132" s="9" t="s">
        <v>76</v>
      </c>
      <c r="E4132" s="38">
        <v>640</v>
      </c>
      <c r="F4132" s="39">
        <v>1543598.9</v>
      </c>
      <c r="G4132" s="40">
        <v>2411.8732812500002</v>
      </c>
      <c r="H4132" s="41">
        <v>-9.1167421577402014E-2</v>
      </c>
      <c r="I4132" s="40">
        <v>720.75289350158062</v>
      </c>
      <c r="J4132" s="41">
        <v>0.2988353074370626</v>
      </c>
      <c r="K4132" s="9" t="s">
        <v>5692</v>
      </c>
    </row>
    <row r="4133" spans="1:11" x14ac:dyDescent="0.2">
      <c r="A4133" s="9" t="s">
        <v>67</v>
      </c>
      <c r="B4133" s="9" t="s">
        <v>357</v>
      </c>
      <c r="C4133" s="9"/>
      <c r="D4133" s="9" t="s">
        <v>76</v>
      </c>
      <c r="E4133" s="38">
        <v>640</v>
      </c>
      <c r="F4133" s="39">
        <v>2285020.9700000002</v>
      </c>
      <c r="G4133" s="40">
        <v>3570.3452656250001</v>
      </c>
      <c r="H4133" s="41">
        <v>0.1621726510743931</v>
      </c>
      <c r="I4133" s="40">
        <v>658.75411638607147</v>
      </c>
      <c r="J4133" s="41">
        <v>0.1845071183250829</v>
      </c>
      <c r="K4133" s="9" t="s">
        <v>5692</v>
      </c>
    </row>
    <row r="4134" spans="1:11" x14ac:dyDescent="0.2">
      <c r="A4134" s="9" t="s">
        <v>67</v>
      </c>
      <c r="B4134" s="9" t="s">
        <v>731</v>
      </c>
      <c r="C4134" s="9"/>
      <c r="D4134" s="9" t="s">
        <v>78</v>
      </c>
      <c r="E4134" s="38">
        <v>863</v>
      </c>
      <c r="F4134" s="39">
        <v>1820200</v>
      </c>
      <c r="G4134" s="40">
        <v>2109.154113557358</v>
      </c>
      <c r="H4134" s="41">
        <v>-0.17805022424571421</v>
      </c>
      <c r="I4134" s="40">
        <v>483.30688417933652</v>
      </c>
      <c r="J4134" s="41">
        <v>0.22914725911810099</v>
      </c>
      <c r="K4134" s="9" t="s">
        <v>5693</v>
      </c>
    </row>
    <row r="4135" spans="1:11" x14ac:dyDescent="0.2">
      <c r="A4135" s="9" t="s">
        <v>67</v>
      </c>
      <c r="B4135" s="9" t="s">
        <v>2281</v>
      </c>
      <c r="C4135" s="9"/>
      <c r="D4135" s="9" t="s">
        <v>81</v>
      </c>
      <c r="E4135" s="38">
        <v>8606</v>
      </c>
      <c r="F4135" s="39">
        <v>4977023.6900000004</v>
      </c>
      <c r="G4135" s="40">
        <v>578.32020567046254</v>
      </c>
      <c r="H4135" s="41">
        <v>-8.5485972976643163E-2</v>
      </c>
      <c r="I4135" s="40">
        <v>105.49001544229181</v>
      </c>
      <c r="J4135" s="41">
        <v>0.18240762540882399</v>
      </c>
      <c r="K4135" s="9" t="s">
        <v>5694</v>
      </c>
    </row>
    <row r="4136" spans="1:11" x14ac:dyDescent="0.2">
      <c r="A4136" s="9" t="s">
        <v>67</v>
      </c>
      <c r="B4136" s="9" t="s">
        <v>545</v>
      </c>
      <c r="C4136" s="9"/>
      <c r="D4136" s="9" t="s">
        <v>76</v>
      </c>
      <c r="E4136" s="38">
        <v>9351</v>
      </c>
      <c r="F4136" s="39">
        <v>3220613.89</v>
      </c>
      <c r="G4136" s="40">
        <v>344.41384771682169</v>
      </c>
      <c r="H4136" s="41">
        <v>-0.30025990894025151</v>
      </c>
      <c r="I4136" s="40">
        <v>190.80651877259481</v>
      </c>
      <c r="J4136" s="41">
        <v>0.55400362104335754</v>
      </c>
      <c r="K4136" s="9" t="s">
        <v>5695</v>
      </c>
    </row>
    <row r="4137" spans="1:11" x14ac:dyDescent="0.2">
      <c r="A4137" s="9" t="s">
        <v>67</v>
      </c>
      <c r="B4137" s="9" t="s">
        <v>2284</v>
      </c>
      <c r="C4137" s="9"/>
      <c r="D4137" s="9" t="s">
        <v>84</v>
      </c>
      <c r="E4137" s="38">
        <v>120</v>
      </c>
      <c r="F4137" s="39">
        <v>202700.49</v>
      </c>
      <c r="G4137" s="40">
        <v>1689.17075</v>
      </c>
      <c r="H4137" s="41">
        <v>-0.45859530246156449</v>
      </c>
      <c r="I4137" s="40">
        <v>1135.5333333333331</v>
      </c>
      <c r="J4137" s="41">
        <v>0.67224307153870233</v>
      </c>
      <c r="K4137" s="9" t="s">
        <v>5696</v>
      </c>
    </row>
    <row r="4138" spans="1:11" x14ac:dyDescent="0.2">
      <c r="A4138" s="9" t="s">
        <v>67</v>
      </c>
      <c r="B4138" s="9" t="s">
        <v>626</v>
      </c>
      <c r="C4138" s="9"/>
      <c r="D4138" s="9" t="s">
        <v>83</v>
      </c>
      <c r="E4138" s="38">
        <v>3403</v>
      </c>
      <c r="F4138" s="39">
        <v>4333832.26</v>
      </c>
      <c r="G4138" s="40">
        <v>1273.5328416103439</v>
      </c>
      <c r="H4138" s="41"/>
      <c r="I4138" s="40">
        <v>210.052942013305</v>
      </c>
      <c r="J4138" s="41">
        <v>0.16493720079310981</v>
      </c>
      <c r="K4138" s="9" t="s">
        <v>5697</v>
      </c>
    </row>
    <row r="4139" spans="1:11" x14ac:dyDescent="0.2">
      <c r="A4139" s="9" t="s">
        <v>67</v>
      </c>
      <c r="B4139" s="9" t="s">
        <v>554</v>
      </c>
      <c r="C4139" s="9"/>
      <c r="D4139" s="9" t="s">
        <v>76</v>
      </c>
      <c r="E4139" s="38">
        <v>6536</v>
      </c>
      <c r="F4139" s="39">
        <v>3930629.19</v>
      </c>
      <c r="G4139" s="40">
        <v>601.38145501835982</v>
      </c>
      <c r="H4139" s="41">
        <v>-0.18109319347524599</v>
      </c>
      <c r="I4139" s="40">
        <v>205.18239480521541</v>
      </c>
      <c r="J4139" s="41">
        <v>0.34118510488314169</v>
      </c>
      <c r="K4139" s="9" t="s">
        <v>5698</v>
      </c>
    </row>
    <row r="4140" spans="1:11" x14ac:dyDescent="0.2">
      <c r="A4140" s="9" t="s">
        <v>67</v>
      </c>
      <c r="B4140" s="9" t="s">
        <v>5699</v>
      </c>
      <c r="C4140" s="9"/>
      <c r="D4140" s="9" t="s">
        <v>79</v>
      </c>
      <c r="E4140" s="38">
        <v>600</v>
      </c>
      <c r="F4140" s="39">
        <v>427756.77</v>
      </c>
      <c r="G4140" s="40">
        <v>712.92795000000001</v>
      </c>
      <c r="H4140" s="41">
        <v>0.25465475669110482</v>
      </c>
      <c r="I4140" s="40">
        <v>70.9664206464453</v>
      </c>
      <c r="J4140" s="41">
        <v>9.9542205697567762E-2</v>
      </c>
      <c r="K4140" s="9" t="s">
        <v>5700</v>
      </c>
    </row>
    <row r="4141" spans="1:11" x14ac:dyDescent="0.2">
      <c r="A4141" s="9" t="s">
        <v>67</v>
      </c>
      <c r="B4141" s="9" t="s">
        <v>5701</v>
      </c>
      <c r="C4141" s="9"/>
      <c r="D4141" s="9" t="s">
        <v>76</v>
      </c>
      <c r="E4141" s="38">
        <v>1200</v>
      </c>
      <c r="F4141" s="39">
        <v>586473.66</v>
      </c>
      <c r="G4141" s="40">
        <v>488.72805000000011</v>
      </c>
      <c r="H4141" s="41">
        <v>-1</v>
      </c>
      <c r="I4141" s="40">
        <v>206.08159524655571</v>
      </c>
      <c r="J4141" s="41">
        <v>0.4216692601264766</v>
      </c>
      <c r="K4141" s="9" t="s">
        <v>5702</v>
      </c>
    </row>
    <row r="4142" spans="1:11" x14ac:dyDescent="0.2">
      <c r="A4142" s="9" t="s">
        <v>67</v>
      </c>
      <c r="B4142" s="9" t="s">
        <v>369</v>
      </c>
      <c r="C4142" s="9"/>
      <c r="D4142" s="9" t="s">
        <v>84</v>
      </c>
      <c r="E4142" s="38">
        <v>1997</v>
      </c>
      <c r="F4142" s="39">
        <v>0</v>
      </c>
      <c r="G4142" s="40"/>
      <c r="H4142" s="41"/>
      <c r="I4142" s="40">
        <v>208.32442568932171</v>
      </c>
      <c r="J4142" s="41"/>
      <c r="K4142" s="9" t="s">
        <v>5703</v>
      </c>
    </row>
    <row r="4143" spans="1:11" x14ac:dyDescent="0.2">
      <c r="A4143" s="9" t="s">
        <v>67</v>
      </c>
      <c r="B4143" s="9" t="s">
        <v>5704</v>
      </c>
      <c r="C4143" s="9"/>
      <c r="D4143" s="9" t="s">
        <v>84</v>
      </c>
      <c r="E4143" s="38">
        <v>1124</v>
      </c>
      <c r="F4143" s="39">
        <v>3468340</v>
      </c>
      <c r="G4143" s="40">
        <v>3085.7117437722418</v>
      </c>
      <c r="H4143" s="41">
        <v>2.0155064511980791E-2</v>
      </c>
      <c r="I4143" s="40">
        <v>313.09404361178019</v>
      </c>
      <c r="J4143" s="41">
        <v>0.1014657458667953</v>
      </c>
      <c r="K4143" s="9" t="s">
        <v>5705</v>
      </c>
    </row>
    <row r="4144" spans="1:11" x14ac:dyDescent="0.2">
      <c r="A4144" s="9" t="s">
        <v>67</v>
      </c>
      <c r="B4144" s="9" t="s">
        <v>5706</v>
      </c>
      <c r="C4144" s="9"/>
      <c r="D4144" s="9" t="s">
        <v>76</v>
      </c>
      <c r="E4144" s="38">
        <v>1215</v>
      </c>
      <c r="F4144" s="39">
        <v>371312.62</v>
      </c>
      <c r="G4144" s="40">
        <v>305.60709465020568</v>
      </c>
      <c r="H4144" s="41">
        <v>-1</v>
      </c>
      <c r="I4144" s="40">
        <v>163.3056897623261</v>
      </c>
      <c r="J4144" s="41">
        <v>0.53436485153999402</v>
      </c>
      <c r="K4144" s="9" t="s">
        <v>5707</v>
      </c>
    </row>
    <row r="4145" spans="1:11" x14ac:dyDescent="0.2">
      <c r="A4145" s="9" t="s">
        <v>67</v>
      </c>
      <c r="B4145" s="9" t="s">
        <v>563</v>
      </c>
      <c r="C4145" s="9"/>
      <c r="D4145" s="9" t="s">
        <v>76</v>
      </c>
      <c r="E4145" s="38">
        <v>8348</v>
      </c>
      <c r="F4145" s="39">
        <v>3620425.61</v>
      </c>
      <c r="G4145" s="40">
        <v>433.68778270244371</v>
      </c>
      <c r="H4145" s="41">
        <v>4.7542665331100499E-2</v>
      </c>
      <c r="I4145" s="40">
        <v>203.3412871477509</v>
      </c>
      <c r="J4145" s="41">
        <v>0.46886561083336947</v>
      </c>
      <c r="K4145" s="9" t="s">
        <v>5708</v>
      </c>
    </row>
    <row r="4146" spans="1:11" x14ac:dyDescent="0.2">
      <c r="A4146" s="9" t="s">
        <v>67</v>
      </c>
      <c r="B4146" s="9" t="s">
        <v>5278</v>
      </c>
      <c r="C4146" s="9"/>
      <c r="D4146" s="9" t="s">
        <v>76</v>
      </c>
      <c r="E4146" s="38">
        <v>12825</v>
      </c>
      <c r="F4146" s="39">
        <v>19811305.449999999</v>
      </c>
      <c r="G4146" s="40">
        <v>1544.7411656920081</v>
      </c>
      <c r="H4146" s="41">
        <v>-0.25097807463279648</v>
      </c>
      <c r="I4146" s="40">
        <v>166.1314298721866</v>
      </c>
      <c r="J4146" s="41">
        <v>0.1075464508630244</v>
      </c>
      <c r="K4146" s="9" t="s">
        <v>5709</v>
      </c>
    </row>
    <row r="4147" spans="1:11" x14ac:dyDescent="0.2">
      <c r="A4147" s="9" t="s">
        <v>67</v>
      </c>
      <c r="B4147" s="9" t="s">
        <v>5710</v>
      </c>
      <c r="C4147" s="9"/>
      <c r="D4147" s="9" t="s">
        <v>83</v>
      </c>
      <c r="E4147" s="38">
        <v>1486</v>
      </c>
      <c r="F4147" s="39">
        <v>667046.66</v>
      </c>
      <c r="G4147" s="40">
        <v>448.88738896366078</v>
      </c>
      <c r="H4147" s="41">
        <v>-0.88765467015861632</v>
      </c>
      <c r="I4147" s="40">
        <v>103.3525069349889</v>
      </c>
      <c r="J4147" s="41">
        <v>0.2302415026040209</v>
      </c>
      <c r="K4147" s="9" t="s">
        <v>5711</v>
      </c>
    </row>
    <row r="4148" spans="1:11" x14ac:dyDescent="0.2">
      <c r="A4148" s="9" t="s">
        <v>67</v>
      </c>
      <c r="B4148" s="9" t="s">
        <v>2301</v>
      </c>
      <c r="C4148" s="9"/>
      <c r="D4148" s="9" t="s">
        <v>76</v>
      </c>
      <c r="E4148" s="38">
        <v>2000</v>
      </c>
      <c r="F4148" s="39">
        <v>1548933.35</v>
      </c>
      <c r="G4148" s="40">
        <v>774.46667500000001</v>
      </c>
      <c r="H4148" s="41">
        <v>-0.1219948172882116</v>
      </c>
      <c r="I4148" s="40">
        <v>127.9449462849322</v>
      </c>
      <c r="J4148" s="41">
        <v>0.16520394022755369</v>
      </c>
      <c r="K4148" s="9" t="s">
        <v>5712</v>
      </c>
    </row>
    <row r="4149" spans="1:11" x14ac:dyDescent="0.2">
      <c r="A4149" s="9" t="s">
        <v>67</v>
      </c>
      <c r="B4149" s="9" t="s">
        <v>5713</v>
      </c>
      <c r="C4149" s="9"/>
      <c r="D4149" s="9" t="s">
        <v>76</v>
      </c>
      <c r="E4149" s="38">
        <v>1245</v>
      </c>
      <c r="F4149" s="39">
        <v>214666.94</v>
      </c>
      <c r="G4149" s="40">
        <v>172.4232449799197</v>
      </c>
      <c r="H4149" s="41">
        <v>-1</v>
      </c>
      <c r="I4149" s="40">
        <v>154.5296179026185</v>
      </c>
      <c r="J4149" s="41">
        <v>0.89622265211755492</v>
      </c>
      <c r="K4149" s="9" t="s">
        <v>5714</v>
      </c>
    </row>
    <row r="4150" spans="1:11" x14ac:dyDescent="0.2">
      <c r="A4150" s="9" t="s">
        <v>67</v>
      </c>
      <c r="B4150" s="9" t="s">
        <v>565</v>
      </c>
      <c r="C4150" s="9"/>
      <c r="D4150" s="9" t="s">
        <v>76</v>
      </c>
      <c r="E4150" s="38">
        <v>12096</v>
      </c>
      <c r="F4150" s="39">
        <v>4420172.5</v>
      </c>
      <c r="G4150" s="40">
        <v>365.42431382275129</v>
      </c>
      <c r="H4150" s="41">
        <v>7.6716264858047667E-2</v>
      </c>
      <c r="I4150" s="40">
        <v>98.084892628994041</v>
      </c>
      <c r="J4150" s="41">
        <v>0.26841370132960007</v>
      </c>
      <c r="K4150" s="9" t="s">
        <v>5715</v>
      </c>
    </row>
    <row r="4151" spans="1:11" x14ac:dyDescent="0.2">
      <c r="A4151" s="9" t="s">
        <v>67</v>
      </c>
      <c r="B4151" s="9" t="s">
        <v>384</v>
      </c>
      <c r="C4151" s="9"/>
      <c r="D4151" s="9" t="s">
        <v>77</v>
      </c>
      <c r="E4151" s="38">
        <v>2968</v>
      </c>
      <c r="F4151" s="39">
        <v>1356321.97</v>
      </c>
      <c r="G4151" s="40">
        <v>456.98179582210241</v>
      </c>
      <c r="H4151" s="41">
        <v>0.13432343334584229</v>
      </c>
      <c r="I4151" s="40">
        <v>124.9854914320687</v>
      </c>
      <c r="J4151" s="41">
        <v>0.27350212322401579</v>
      </c>
      <c r="K4151" s="9" t="s">
        <v>5716</v>
      </c>
    </row>
    <row r="4152" spans="1:11" x14ac:dyDescent="0.2">
      <c r="A4152" s="9" t="s">
        <v>67</v>
      </c>
      <c r="B4152" s="9" t="s">
        <v>5717</v>
      </c>
      <c r="C4152" s="9"/>
      <c r="D4152" s="9" t="s">
        <v>80</v>
      </c>
      <c r="E4152" s="38">
        <v>477</v>
      </c>
      <c r="F4152" s="39">
        <v>1387611.74</v>
      </c>
      <c r="G4152" s="40">
        <v>2909.03928721174</v>
      </c>
      <c r="H4152" s="41">
        <v>-1</v>
      </c>
      <c r="I4152" s="40">
        <v>424.07043591584898</v>
      </c>
      <c r="J4152" s="41">
        <v>0.14577679915843031</v>
      </c>
      <c r="K4152" s="9" t="s">
        <v>5718</v>
      </c>
    </row>
    <row r="4153" spans="1:11" x14ac:dyDescent="0.2">
      <c r="A4153" s="9" t="s">
        <v>67</v>
      </c>
      <c r="B4153" s="9" t="s">
        <v>386</v>
      </c>
      <c r="C4153" s="9"/>
      <c r="D4153" s="9" t="s">
        <v>84</v>
      </c>
      <c r="E4153" s="38">
        <v>3738</v>
      </c>
      <c r="F4153" s="39">
        <v>0</v>
      </c>
      <c r="G4153" s="40"/>
      <c r="H4153" s="41"/>
      <c r="I4153" s="40">
        <v>193.19100944904051</v>
      </c>
      <c r="J4153" s="41"/>
      <c r="K4153" s="9" t="s">
        <v>5719</v>
      </c>
    </row>
    <row r="4154" spans="1:11" x14ac:dyDescent="0.2">
      <c r="A4154" s="9" t="s">
        <v>67</v>
      </c>
      <c r="B4154" s="9" t="s">
        <v>388</v>
      </c>
      <c r="C4154" s="9"/>
      <c r="D4154" s="9" t="s">
        <v>76</v>
      </c>
      <c r="E4154" s="38">
        <v>19541</v>
      </c>
      <c r="F4154" s="39">
        <v>12457459</v>
      </c>
      <c r="G4154" s="40">
        <v>637.50365897344045</v>
      </c>
      <c r="H4154" s="41">
        <v>1.176197787783846E-2</v>
      </c>
      <c r="I4154" s="40">
        <v>183.3771021605946</v>
      </c>
      <c r="J4154" s="41">
        <v>0.28764870535156323</v>
      </c>
      <c r="K4154" s="9" t="s">
        <v>5720</v>
      </c>
    </row>
    <row r="4155" spans="1:11" x14ac:dyDescent="0.2">
      <c r="A4155" s="9" t="s">
        <v>67</v>
      </c>
      <c r="B4155" s="9" t="s">
        <v>5721</v>
      </c>
      <c r="C4155" s="9"/>
      <c r="D4155" s="9" t="s">
        <v>76</v>
      </c>
      <c r="E4155" s="38">
        <v>973</v>
      </c>
      <c r="F4155" s="39">
        <v>466809.4</v>
      </c>
      <c r="G4155" s="40">
        <v>479.76300102774923</v>
      </c>
      <c r="H4155" s="41">
        <v>-0.90952363012130277</v>
      </c>
      <c r="I4155" s="40">
        <v>153.04564261791671</v>
      </c>
      <c r="J4155" s="41">
        <v>0.31900259563589117</v>
      </c>
      <c r="K4155" s="9" t="s">
        <v>5722</v>
      </c>
    </row>
    <row r="4156" spans="1:11" x14ac:dyDescent="0.2">
      <c r="A4156" s="9" t="s">
        <v>67</v>
      </c>
      <c r="B4156" s="9" t="s">
        <v>5723</v>
      </c>
      <c r="C4156" s="9"/>
      <c r="D4156" s="9" t="s">
        <v>76</v>
      </c>
      <c r="E4156" s="38">
        <v>4600</v>
      </c>
      <c r="F4156" s="39">
        <v>0</v>
      </c>
      <c r="G4156" s="40"/>
      <c r="H4156" s="41"/>
      <c r="I4156" s="40">
        <v>155.31940726708191</v>
      </c>
      <c r="J4156" s="41"/>
      <c r="K4156" s="9" t="s">
        <v>5724</v>
      </c>
    </row>
    <row r="4157" spans="1:11" x14ac:dyDescent="0.2">
      <c r="A4157" s="9" t="s">
        <v>67</v>
      </c>
      <c r="B4157" s="9" t="s">
        <v>640</v>
      </c>
      <c r="C4157" s="9"/>
      <c r="D4157" s="9" t="s">
        <v>83</v>
      </c>
      <c r="E4157" s="38">
        <v>2523</v>
      </c>
      <c r="F4157" s="39">
        <v>2717736.04</v>
      </c>
      <c r="G4157" s="40">
        <v>1077.1843202536661</v>
      </c>
      <c r="H4157" s="41">
        <v>-4.86799445831071E-2</v>
      </c>
      <c r="I4157" s="40">
        <v>203.52879528974319</v>
      </c>
      <c r="J4157" s="41">
        <v>0.18894518928925191</v>
      </c>
      <c r="K4157" s="9" t="s">
        <v>5725</v>
      </c>
    </row>
    <row r="4158" spans="1:11" x14ac:dyDescent="0.2">
      <c r="A4158" s="9" t="s">
        <v>67</v>
      </c>
      <c r="B4158" s="9" t="s">
        <v>846</v>
      </c>
      <c r="C4158" s="9"/>
      <c r="D4158" s="9" t="s">
        <v>81</v>
      </c>
      <c r="E4158" s="38">
        <v>2046</v>
      </c>
      <c r="F4158" s="39">
        <v>3354076.55</v>
      </c>
      <c r="G4158" s="40">
        <v>1639.333602150537</v>
      </c>
      <c r="H4158" s="41">
        <v>-0.20762584567502129</v>
      </c>
      <c r="I4158" s="40">
        <v>165.98708662094671</v>
      </c>
      <c r="J4158" s="41">
        <v>0.1012527812540405</v>
      </c>
      <c r="K4158" s="9" t="s">
        <v>5726</v>
      </c>
    </row>
    <row r="4159" spans="1:11" x14ac:dyDescent="0.2">
      <c r="A4159" s="9" t="s">
        <v>67</v>
      </c>
      <c r="B4159" s="9" t="s">
        <v>571</v>
      </c>
      <c r="C4159" s="9"/>
      <c r="D4159" s="9" t="s">
        <v>76</v>
      </c>
      <c r="E4159" s="38">
        <v>2482</v>
      </c>
      <c r="F4159" s="39">
        <v>1263101.3999999999</v>
      </c>
      <c r="G4159" s="40">
        <v>508.90467365028201</v>
      </c>
      <c r="H4159" s="41">
        <v>-0.1911626256831461</v>
      </c>
      <c r="I4159" s="40">
        <v>205.52654877877609</v>
      </c>
      <c r="J4159" s="41">
        <v>0.403860603803402</v>
      </c>
      <c r="K4159" s="9" t="s">
        <v>5727</v>
      </c>
    </row>
    <row r="4160" spans="1:11" x14ac:dyDescent="0.2">
      <c r="A4160" s="9" t="s">
        <v>67</v>
      </c>
      <c r="B4160" s="9" t="s">
        <v>392</v>
      </c>
      <c r="C4160" s="9"/>
      <c r="D4160" s="9" t="s">
        <v>76</v>
      </c>
      <c r="E4160" s="38">
        <v>4310</v>
      </c>
      <c r="F4160" s="39">
        <v>1744303.02</v>
      </c>
      <c r="G4160" s="40">
        <v>404.71067749419962</v>
      </c>
      <c r="H4160" s="41">
        <v>-5.3922764189442501E-2</v>
      </c>
      <c r="I4160" s="40">
        <v>37</v>
      </c>
      <c r="J4160" s="41">
        <v>9.1423335378964146E-2</v>
      </c>
      <c r="K4160" s="9" t="s">
        <v>5728</v>
      </c>
    </row>
    <row r="4161" spans="1:11" x14ac:dyDescent="0.2">
      <c r="A4161" s="9" t="s">
        <v>67</v>
      </c>
      <c r="B4161" s="9" t="s">
        <v>576</v>
      </c>
      <c r="C4161" s="9"/>
      <c r="D4161" s="9" t="s">
        <v>84</v>
      </c>
      <c r="E4161" s="38">
        <v>150</v>
      </c>
      <c r="F4161" s="39">
        <v>504074.56</v>
      </c>
      <c r="G4161" s="40">
        <v>3360.4970666666668</v>
      </c>
      <c r="H4161" s="41">
        <v>-0.75482306215998951</v>
      </c>
      <c r="I4161" s="40">
        <v>630.88594667614234</v>
      </c>
      <c r="J4161" s="41">
        <v>0.18773590161229589</v>
      </c>
      <c r="K4161" s="9" t="s">
        <v>5729</v>
      </c>
    </row>
    <row r="4162" spans="1:11" x14ac:dyDescent="0.2">
      <c r="A4162" s="9" t="s">
        <v>67</v>
      </c>
      <c r="B4162" s="9" t="s">
        <v>579</v>
      </c>
      <c r="C4162" s="9"/>
      <c r="D4162" s="9" t="s">
        <v>76</v>
      </c>
      <c r="E4162" s="38">
        <v>21062</v>
      </c>
      <c r="F4162" s="39">
        <v>28586503.48</v>
      </c>
      <c r="G4162" s="40">
        <v>1357.2549368530999</v>
      </c>
      <c r="H4162" s="41">
        <v>-0.13214837071301941</v>
      </c>
      <c r="I4162" s="40">
        <v>200.43739497157071</v>
      </c>
      <c r="J4162" s="41">
        <v>0.14767851604673479</v>
      </c>
      <c r="K4162" s="9" t="s">
        <v>5730</v>
      </c>
    </row>
    <row r="4163" spans="1:11" x14ac:dyDescent="0.2">
      <c r="A4163" s="9" t="s">
        <v>67</v>
      </c>
      <c r="B4163" s="9" t="s">
        <v>398</v>
      </c>
      <c r="C4163" s="9"/>
      <c r="D4163" s="9" t="s">
        <v>76</v>
      </c>
      <c r="E4163" s="38">
        <v>2788</v>
      </c>
      <c r="F4163" s="39">
        <v>1241849.21</v>
      </c>
      <c r="G4163" s="40">
        <v>445.42654591104741</v>
      </c>
      <c r="H4163" s="41">
        <v>0.38889724920573099</v>
      </c>
      <c r="I4163" s="40">
        <v>156.15048828593021</v>
      </c>
      <c r="J4163" s="41">
        <v>0.35056394756749371</v>
      </c>
      <c r="K4163" s="9" t="s">
        <v>5731</v>
      </c>
    </row>
    <row r="4164" spans="1:11" x14ac:dyDescent="0.2">
      <c r="A4164" s="9" t="s">
        <v>67</v>
      </c>
      <c r="B4164" s="9" t="s">
        <v>5732</v>
      </c>
      <c r="C4164" s="9"/>
      <c r="D4164" s="9" t="s">
        <v>85</v>
      </c>
      <c r="E4164" s="38">
        <v>1997</v>
      </c>
      <c r="F4164" s="39">
        <v>685100.24</v>
      </c>
      <c r="G4164" s="40">
        <v>343.06471707561337</v>
      </c>
      <c r="H4164" s="41">
        <v>-0.75542552559059384</v>
      </c>
      <c r="I4164" s="40">
        <v>147.21459036797179</v>
      </c>
      <c r="J4164" s="41">
        <v>0.42911609104798992</v>
      </c>
      <c r="K4164" s="9" t="s">
        <v>5733</v>
      </c>
    </row>
    <row r="4165" spans="1:11" x14ac:dyDescent="0.2">
      <c r="A4165" s="9" t="s">
        <v>57</v>
      </c>
      <c r="B4165" s="9" t="s">
        <v>1988</v>
      </c>
      <c r="C4165" s="9" t="s">
        <v>79</v>
      </c>
      <c r="D4165" s="9" t="s">
        <v>85</v>
      </c>
      <c r="E4165" s="38">
        <v>10270</v>
      </c>
      <c r="F4165" s="39">
        <v>900709</v>
      </c>
      <c r="G4165" s="40">
        <v>87.702921129503409</v>
      </c>
      <c r="H4165" s="41">
        <v>4.7006267419040113E-2</v>
      </c>
      <c r="I4165" s="40">
        <v>17.54058422590068</v>
      </c>
      <c r="J4165" s="41">
        <v>0.2</v>
      </c>
      <c r="K4165" s="9" t="s">
        <v>5734</v>
      </c>
    </row>
    <row r="4166" spans="1:11" x14ac:dyDescent="0.2">
      <c r="A4166" s="9" t="s">
        <v>57</v>
      </c>
      <c r="B4166" s="9" t="s">
        <v>650</v>
      </c>
      <c r="C4166" s="9"/>
      <c r="D4166" s="9" t="s">
        <v>76</v>
      </c>
      <c r="E4166" s="38">
        <v>6884</v>
      </c>
      <c r="F4166" s="39">
        <v>1727875.61</v>
      </c>
      <c r="G4166" s="40">
        <v>250.998781231842</v>
      </c>
      <c r="H4166" s="41"/>
      <c r="I4166" s="40">
        <v>43.579314352120861</v>
      </c>
      <c r="J4166" s="41">
        <v>0.1736236093985955</v>
      </c>
      <c r="K4166" s="9" t="s">
        <v>5735</v>
      </c>
    </row>
    <row r="4167" spans="1:11" x14ac:dyDescent="0.2">
      <c r="A4167" s="9" t="s">
        <v>57</v>
      </c>
      <c r="B4167" s="9" t="s">
        <v>166</v>
      </c>
      <c r="C4167" s="9"/>
      <c r="D4167" s="9" t="s">
        <v>76</v>
      </c>
      <c r="E4167" s="38">
        <v>3400</v>
      </c>
      <c r="F4167" s="39">
        <v>1488357.43</v>
      </c>
      <c r="G4167" s="40">
        <v>437.75218529411762</v>
      </c>
      <c r="H4167" s="41">
        <v>0.13235165035535831</v>
      </c>
      <c r="I4167" s="40">
        <v>89.686785409411769</v>
      </c>
      <c r="J4167" s="41">
        <v>0.20488026884241109</v>
      </c>
      <c r="K4167" s="9" t="s">
        <v>5736</v>
      </c>
    </row>
    <row r="4168" spans="1:11" x14ac:dyDescent="0.2">
      <c r="A4168" s="9" t="s">
        <v>57</v>
      </c>
      <c r="B4168" s="9" t="s">
        <v>2099</v>
      </c>
      <c r="C4168" s="9"/>
      <c r="D4168" s="9" t="s">
        <v>76</v>
      </c>
      <c r="E4168" s="38">
        <v>5785</v>
      </c>
      <c r="F4168" s="39">
        <v>1511259.79</v>
      </c>
      <c r="G4168" s="40">
        <v>261.2376473638721</v>
      </c>
      <c r="H4168" s="41">
        <v>-5.6709938949475028E-2</v>
      </c>
      <c r="I4168" s="40">
        <v>53.281079618323247</v>
      </c>
      <c r="J4168" s="41">
        <v>0.20395635987377131</v>
      </c>
      <c r="K4168" s="9" t="s">
        <v>5737</v>
      </c>
    </row>
    <row r="4169" spans="1:11" x14ac:dyDescent="0.2">
      <c r="A4169" s="9" t="s">
        <v>57</v>
      </c>
      <c r="B4169" s="9" t="s">
        <v>5738</v>
      </c>
      <c r="C4169" s="9"/>
      <c r="D4169" s="9" t="s">
        <v>78</v>
      </c>
      <c r="E4169" s="38">
        <v>1358</v>
      </c>
      <c r="F4169" s="39">
        <v>1133725.43</v>
      </c>
      <c r="G4169" s="40">
        <v>834.84935935198814</v>
      </c>
      <c r="H4169" s="41"/>
      <c r="I4169" s="40">
        <v>107.1182730486009</v>
      </c>
      <c r="J4169" s="41">
        <v>0.12830850482025441</v>
      </c>
      <c r="K4169" s="9" t="s">
        <v>5739</v>
      </c>
    </row>
    <row r="4170" spans="1:11" x14ac:dyDescent="0.2">
      <c r="A4170" s="9" t="s">
        <v>57</v>
      </c>
      <c r="B4170" s="9" t="s">
        <v>2101</v>
      </c>
      <c r="C4170" s="9"/>
      <c r="D4170" s="9" t="s">
        <v>81</v>
      </c>
      <c r="E4170" s="38">
        <v>5814</v>
      </c>
      <c r="F4170" s="39">
        <v>2153380</v>
      </c>
      <c r="G4170" s="40">
        <v>370.37839697282419</v>
      </c>
      <c r="H4170" s="41">
        <v>8.0104590053589456E-2</v>
      </c>
      <c r="I4170" s="40">
        <v>37.60535108359133</v>
      </c>
      <c r="J4170" s="41">
        <v>0.1015322475364311</v>
      </c>
      <c r="K4170" s="9" t="s">
        <v>5740</v>
      </c>
    </row>
    <row r="4171" spans="1:11" x14ac:dyDescent="0.2">
      <c r="A4171" s="9" t="s">
        <v>57</v>
      </c>
      <c r="B4171" s="9" t="s">
        <v>169</v>
      </c>
      <c r="C4171" s="9"/>
      <c r="D4171" s="9" t="s">
        <v>76</v>
      </c>
      <c r="E4171" s="38">
        <v>8123</v>
      </c>
      <c r="F4171" s="39">
        <v>3701580.1</v>
      </c>
      <c r="G4171" s="40">
        <v>455.69125938692599</v>
      </c>
      <c r="H4171" s="41">
        <v>-2.7529990998189289E-2</v>
      </c>
      <c r="I4171" s="40">
        <v>83.067208666748741</v>
      </c>
      <c r="J4171" s="41">
        <v>0.18228835193921639</v>
      </c>
      <c r="K4171" s="9" t="s">
        <v>5741</v>
      </c>
    </row>
    <row r="4172" spans="1:11" x14ac:dyDescent="0.2">
      <c r="A4172" s="9" t="s">
        <v>57</v>
      </c>
      <c r="B4172" s="9" t="s">
        <v>582</v>
      </c>
      <c r="C4172" s="9"/>
      <c r="D4172" s="9" t="s">
        <v>76</v>
      </c>
      <c r="E4172" s="38">
        <v>10000</v>
      </c>
      <c r="F4172" s="39">
        <v>2057403</v>
      </c>
      <c r="G4172" s="40">
        <v>205.74029999999999</v>
      </c>
      <c r="H4172" s="41">
        <v>3.5462565081761738E-2</v>
      </c>
      <c r="I4172" s="40">
        <v>20.57403</v>
      </c>
      <c r="J4172" s="41">
        <v>0.1</v>
      </c>
      <c r="K4172" s="9" t="s">
        <v>5742</v>
      </c>
    </row>
    <row r="4173" spans="1:11" x14ac:dyDescent="0.2">
      <c r="A4173" s="9" t="s">
        <v>57</v>
      </c>
      <c r="B4173" s="9" t="s">
        <v>87</v>
      </c>
      <c r="C4173" s="9"/>
      <c r="D4173" s="9" t="s">
        <v>87</v>
      </c>
      <c r="E4173" s="38">
        <v>9263</v>
      </c>
      <c r="F4173" s="39">
        <v>44009956.899999999</v>
      </c>
      <c r="G4173" s="40">
        <v>4751.1558782251968</v>
      </c>
      <c r="H4173" s="41">
        <v>-2.3124951214381281E-2</v>
      </c>
      <c r="I4173" s="40">
        <v>47.712922379358737</v>
      </c>
      <c r="J4173" s="41">
        <v>1.004238202287356E-2</v>
      </c>
      <c r="K4173" s="9" t="s">
        <v>5743</v>
      </c>
    </row>
    <row r="4174" spans="1:11" x14ac:dyDescent="0.2">
      <c r="A4174" s="9" t="s">
        <v>57</v>
      </c>
      <c r="B4174" s="9" t="s">
        <v>2328</v>
      </c>
      <c r="C4174" s="9"/>
      <c r="D4174" s="9" t="s">
        <v>76</v>
      </c>
      <c r="E4174" s="38">
        <v>1306</v>
      </c>
      <c r="F4174" s="39">
        <v>799249.19</v>
      </c>
      <c r="G4174" s="40">
        <v>611.98253445635521</v>
      </c>
      <c r="H4174" s="41">
        <v>-0.1871348583838843</v>
      </c>
      <c r="I4174" s="40">
        <v>123.5625485421133</v>
      </c>
      <c r="J4174" s="41">
        <v>0.2019053511909096</v>
      </c>
      <c r="K4174" s="9" t="s">
        <v>5744</v>
      </c>
    </row>
    <row r="4175" spans="1:11" x14ac:dyDescent="0.2">
      <c r="A4175" s="9" t="s">
        <v>57</v>
      </c>
      <c r="B4175" s="9" t="s">
        <v>171</v>
      </c>
      <c r="C4175" s="9"/>
      <c r="D4175" s="9" t="s">
        <v>84</v>
      </c>
      <c r="E4175" s="38">
        <v>1055</v>
      </c>
      <c r="F4175" s="39">
        <v>0</v>
      </c>
      <c r="G4175" s="40"/>
      <c r="H4175" s="41"/>
      <c r="I4175" s="40">
        <v>192.67225251184831</v>
      </c>
      <c r="J4175" s="41"/>
      <c r="K4175" s="9" t="s">
        <v>5745</v>
      </c>
    </row>
    <row r="4176" spans="1:11" x14ac:dyDescent="0.2">
      <c r="A4176" s="9" t="s">
        <v>57</v>
      </c>
      <c r="B4176" s="9" t="s">
        <v>173</v>
      </c>
      <c r="C4176" s="9"/>
      <c r="D4176" s="9" t="s">
        <v>80</v>
      </c>
      <c r="E4176" s="38">
        <v>1117</v>
      </c>
      <c r="F4176" s="39">
        <v>1313770.67</v>
      </c>
      <c r="G4176" s="40">
        <v>1176.159955237242</v>
      </c>
      <c r="H4176" s="41">
        <v>0.18355217029601609</v>
      </c>
      <c r="I4176" s="40">
        <v>218.314854786034</v>
      </c>
      <c r="J4176" s="41">
        <v>0.18561663642255011</v>
      </c>
      <c r="K4176" s="9" t="s">
        <v>5746</v>
      </c>
    </row>
    <row r="4177" spans="1:11" x14ac:dyDescent="0.2">
      <c r="A4177" s="9" t="s">
        <v>57</v>
      </c>
      <c r="B4177" s="9" t="s">
        <v>2331</v>
      </c>
      <c r="C4177" s="9"/>
      <c r="D4177" s="9" t="s">
        <v>79</v>
      </c>
      <c r="E4177" s="38">
        <v>2330</v>
      </c>
      <c r="F4177" s="39">
        <v>648640.06999999995</v>
      </c>
      <c r="G4177" s="40">
        <v>278.38629613733912</v>
      </c>
      <c r="H4177" s="41">
        <v>-1.892380639319435E-2</v>
      </c>
      <c r="I4177" s="40">
        <v>70.628085836909875</v>
      </c>
      <c r="J4177" s="41">
        <v>0.25370532535863838</v>
      </c>
      <c r="K4177" s="9" t="s">
        <v>5747</v>
      </c>
    </row>
    <row r="4178" spans="1:11" x14ac:dyDescent="0.2">
      <c r="A4178" s="9" t="s">
        <v>57</v>
      </c>
      <c r="B4178" s="9" t="s">
        <v>1443</v>
      </c>
      <c r="C4178" s="9"/>
      <c r="D4178" s="9" t="s">
        <v>78</v>
      </c>
      <c r="E4178" s="38">
        <v>162</v>
      </c>
      <c r="F4178" s="39">
        <v>877440.15</v>
      </c>
      <c r="G4178" s="40">
        <v>5416.2972222222224</v>
      </c>
      <c r="H4178" s="41">
        <v>0.35364085118635619</v>
      </c>
      <c r="I4178" s="40">
        <v>708.79467901234568</v>
      </c>
      <c r="J4178" s="41">
        <v>0.13086332782925419</v>
      </c>
      <c r="K4178" s="9" t="s">
        <v>5748</v>
      </c>
    </row>
    <row r="4179" spans="1:11" x14ac:dyDescent="0.2">
      <c r="A4179" s="9" t="s">
        <v>57</v>
      </c>
      <c r="B4179" s="9" t="s">
        <v>1443</v>
      </c>
      <c r="C4179" s="9"/>
      <c r="D4179" s="9" t="s">
        <v>78</v>
      </c>
      <c r="E4179" s="38">
        <v>158</v>
      </c>
      <c r="F4179" s="39">
        <v>829490.71</v>
      </c>
      <c r="G4179" s="40">
        <v>5249.9412025316451</v>
      </c>
      <c r="H4179" s="41">
        <v>6.5131112969098268E-3</v>
      </c>
      <c r="I4179" s="40">
        <v>664.06053924050627</v>
      </c>
      <c r="J4179" s="41">
        <v>0.1264891383774509</v>
      </c>
      <c r="K4179" s="9" t="s">
        <v>5748</v>
      </c>
    </row>
    <row r="4180" spans="1:11" x14ac:dyDescent="0.2">
      <c r="A4180" s="9" t="s">
        <v>57</v>
      </c>
      <c r="B4180" s="9" t="s">
        <v>177</v>
      </c>
      <c r="C4180" s="9"/>
      <c r="D4180" s="9" t="s">
        <v>85</v>
      </c>
      <c r="E4180" s="38">
        <v>5278</v>
      </c>
      <c r="F4180" s="39">
        <v>1087405.56</v>
      </c>
      <c r="G4180" s="40">
        <v>206.0260629026146</v>
      </c>
      <c r="H4180" s="41"/>
      <c r="I4180" s="40">
        <v>47.404319818112917</v>
      </c>
      <c r="J4180" s="41">
        <v>0.230088946758742</v>
      </c>
      <c r="K4180" s="9" t="s">
        <v>5749</v>
      </c>
    </row>
    <row r="4181" spans="1:11" x14ac:dyDescent="0.2">
      <c r="A4181" s="9" t="s">
        <v>57</v>
      </c>
      <c r="B4181" s="9" t="s">
        <v>179</v>
      </c>
      <c r="C4181" s="9"/>
      <c r="D4181" s="9" t="s">
        <v>79</v>
      </c>
      <c r="E4181" s="38">
        <v>5002</v>
      </c>
      <c r="F4181" s="39">
        <v>2458489</v>
      </c>
      <c r="G4181" s="40">
        <v>491.5011995201919</v>
      </c>
      <c r="H4181" s="41">
        <v>-8.0856288674018284E-3</v>
      </c>
      <c r="I4181" s="40">
        <v>64.111190881247495</v>
      </c>
      <c r="J4181" s="41">
        <v>0.13043954103028321</v>
      </c>
      <c r="K4181" s="9" t="s">
        <v>5750</v>
      </c>
    </row>
    <row r="4182" spans="1:11" x14ac:dyDescent="0.2">
      <c r="A4182" s="9" t="s">
        <v>57</v>
      </c>
      <c r="B4182" s="9" t="s">
        <v>179</v>
      </c>
      <c r="C4182" s="9"/>
      <c r="D4182" s="9" t="s">
        <v>79</v>
      </c>
      <c r="E4182" s="38">
        <v>2966</v>
      </c>
      <c r="F4182" s="39">
        <v>1962522</v>
      </c>
      <c r="G4182" s="40">
        <v>661.67296021577886</v>
      </c>
      <c r="H4182" s="41">
        <v>-4.3098632217891023E-2</v>
      </c>
      <c r="I4182" s="40">
        <v>73.256093727579227</v>
      </c>
      <c r="J4182" s="41">
        <v>0.11071344626760871</v>
      </c>
      <c r="K4182" s="9" t="s">
        <v>5750</v>
      </c>
    </row>
    <row r="4183" spans="1:11" x14ac:dyDescent="0.2">
      <c r="A4183" s="9" t="s">
        <v>57</v>
      </c>
      <c r="B4183" s="9" t="s">
        <v>5751</v>
      </c>
      <c r="C4183" s="9"/>
      <c r="D4183" s="9" t="s">
        <v>76</v>
      </c>
      <c r="E4183" s="38">
        <v>3868</v>
      </c>
      <c r="F4183" s="39">
        <v>588422</v>
      </c>
      <c r="G4183" s="40">
        <v>152.1256463288521</v>
      </c>
      <c r="H4183" s="41"/>
      <c r="I4183" s="40">
        <v>39.636474558428127</v>
      </c>
      <c r="J4183" s="41">
        <v>0.26055090324970848</v>
      </c>
      <c r="K4183" s="9" t="s">
        <v>5752</v>
      </c>
    </row>
    <row r="4184" spans="1:11" x14ac:dyDescent="0.2">
      <c r="A4184" s="9" t="s">
        <v>57</v>
      </c>
      <c r="B4184" s="9" t="s">
        <v>755</v>
      </c>
      <c r="C4184" s="9"/>
      <c r="D4184" s="9" t="s">
        <v>86</v>
      </c>
      <c r="E4184" s="38">
        <v>50000</v>
      </c>
      <c r="F4184" s="39">
        <v>25000000</v>
      </c>
      <c r="G4184" s="40">
        <v>500</v>
      </c>
      <c r="H4184" s="41"/>
      <c r="I4184" s="40">
        <v>22.927780800000001</v>
      </c>
      <c r="J4184" s="41">
        <v>4.5855561599999997E-2</v>
      </c>
      <c r="K4184" s="9" t="s">
        <v>5753</v>
      </c>
    </row>
    <row r="4185" spans="1:11" x14ac:dyDescent="0.2">
      <c r="A4185" s="9" t="s">
        <v>57</v>
      </c>
      <c r="B4185" s="9" t="s">
        <v>2001</v>
      </c>
      <c r="C4185" s="9"/>
      <c r="D4185" s="9" t="s">
        <v>85</v>
      </c>
      <c r="E4185" s="38">
        <v>20214</v>
      </c>
      <c r="F4185" s="39">
        <v>914346.6</v>
      </c>
      <c r="G4185" s="40">
        <v>45.233333333333327</v>
      </c>
      <c r="H4185" s="41">
        <v>-0.28619182672053478</v>
      </c>
      <c r="I4185" s="40">
        <v>18.55149896111606</v>
      </c>
      <c r="J4185" s="41">
        <v>0.41012893797603672</v>
      </c>
      <c r="K4185" s="9" t="s">
        <v>5754</v>
      </c>
    </row>
    <row r="4186" spans="1:11" x14ac:dyDescent="0.2">
      <c r="A4186" s="9" t="s">
        <v>57</v>
      </c>
      <c r="B4186" s="9" t="s">
        <v>5755</v>
      </c>
      <c r="C4186" s="9"/>
      <c r="D4186" s="9" t="s">
        <v>80</v>
      </c>
      <c r="E4186" s="38">
        <v>904</v>
      </c>
      <c r="F4186" s="39">
        <v>638129.73</v>
      </c>
      <c r="G4186" s="40">
        <v>705.8957190265487</v>
      </c>
      <c r="H4186" s="41"/>
      <c r="I4186" s="40">
        <v>108.4879977876106</v>
      </c>
      <c r="J4186" s="41">
        <v>0.1536884200646787</v>
      </c>
      <c r="K4186" s="9" t="s">
        <v>5756</v>
      </c>
    </row>
    <row r="4187" spans="1:11" x14ac:dyDescent="0.2">
      <c r="A4187" s="9" t="s">
        <v>57</v>
      </c>
      <c r="B4187" s="9" t="s">
        <v>187</v>
      </c>
      <c r="C4187" s="9"/>
      <c r="D4187" s="9" t="s">
        <v>76</v>
      </c>
      <c r="E4187" s="38">
        <v>1800</v>
      </c>
      <c r="F4187" s="39">
        <v>782783.48</v>
      </c>
      <c r="G4187" s="40">
        <v>434.87971111111108</v>
      </c>
      <c r="H4187" s="41">
        <v>-0.1178881810350054</v>
      </c>
      <c r="I4187" s="40">
        <v>68.634761106666673</v>
      </c>
      <c r="J4187" s="41">
        <v>0.15782470267768051</v>
      </c>
      <c r="K4187" s="9" t="s">
        <v>5757</v>
      </c>
    </row>
    <row r="4188" spans="1:11" x14ac:dyDescent="0.2">
      <c r="A4188" s="9" t="s">
        <v>57</v>
      </c>
      <c r="B4188" s="9" t="s">
        <v>420</v>
      </c>
      <c r="C4188" s="9"/>
      <c r="D4188" s="9" t="s">
        <v>78</v>
      </c>
      <c r="E4188" s="38">
        <v>1284</v>
      </c>
      <c r="F4188" s="39">
        <v>785331.11</v>
      </c>
      <c r="G4188" s="40">
        <v>611.6285903426791</v>
      </c>
      <c r="H4188" s="41">
        <v>0.20911296076099881</v>
      </c>
      <c r="I4188" s="40">
        <v>73.767531931464177</v>
      </c>
      <c r="J4188" s="41">
        <v>0.12060837752881071</v>
      </c>
      <c r="K4188" s="9" t="s">
        <v>5758</v>
      </c>
    </row>
    <row r="4189" spans="1:11" x14ac:dyDescent="0.2">
      <c r="A4189" s="9" t="s">
        <v>57</v>
      </c>
      <c r="B4189" s="9" t="s">
        <v>191</v>
      </c>
      <c r="C4189" s="9"/>
      <c r="D4189" s="9" t="s">
        <v>76</v>
      </c>
      <c r="E4189" s="38">
        <v>4372</v>
      </c>
      <c r="F4189" s="39">
        <v>1465015.81</v>
      </c>
      <c r="G4189" s="40">
        <v>335.090532936871</v>
      </c>
      <c r="H4189" s="41">
        <v>7.2507960758382214E-2</v>
      </c>
      <c r="I4189" s="40">
        <v>52.111237762122599</v>
      </c>
      <c r="J4189" s="41">
        <v>0.15551390636255319</v>
      </c>
      <c r="K4189" s="9" t="s">
        <v>5759</v>
      </c>
    </row>
    <row r="4190" spans="1:11" x14ac:dyDescent="0.2">
      <c r="A4190" s="9" t="s">
        <v>57</v>
      </c>
      <c r="B4190" s="9" t="s">
        <v>193</v>
      </c>
      <c r="C4190" s="9"/>
      <c r="D4190" s="9" t="s">
        <v>82</v>
      </c>
      <c r="E4190" s="38">
        <v>2800</v>
      </c>
      <c r="F4190" s="39">
        <v>1763639.45</v>
      </c>
      <c r="G4190" s="40">
        <v>629.87123214285714</v>
      </c>
      <c r="H4190" s="41">
        <v>1.3039353212083989E-2</v>
      </c>
      <c r="I4190" s="40">
        <v>112.0114699971429</v>
      </c>
      <c r="J4190" s="41">
        <v>0.17783233188166661</v>
      </c>
      <c r="K4190" s="9" t="s">
        <v>5760</v>
      </c>
    </row>
    <row r="4191" spans="1:11" x14ac:dyDescent="0.2">
      <c r="A4191" s="9" t="s">
        <v>57</v>
      </c>
      <c r="B4191" s="9" t="s">
        <v>2124</v>
      </c>
      <c r="C4191" s="9"/>
      <c r="D4191" s="9" t="s">
        <v>81</v>
      </c>
      <c r="E4191" s="38">
        <v>905</v>
      </c>
      <c r="F4191" s="39">
        <v>926707.34</v>
      </c>
      <c r="G4191" s="40">
        <v>1023.986011049724</v>
      </c>
      <c r="H4191" s="41">
        <v>3.6469907362408537E-2</v>
      </c>
      <c r="I4191" s="40">
        <v>157.3391823116022</v>
      </c>
      <c r="J4191" s="41">
        <v>0.15365364430155479</v>
      </c>
      <c r="K4191" s="9" t="s">
        <v>5761</v>
      </c>
    </row>
    <row r="4192" spans="1:11" x14ac:dyDescent="0.2">
      <c r="A4192" s="9" t="s">
        <v>57</v>
      </c>
      <c r="B4192" s="9" t="s">
        <v>200</v>
      </c>
      <c r="C4192" s="9"/>
      <c r="D4192" s="9" t="s">
        <v>77</v>
      </c>
      <c r="E4192" s="38">
        <v>5507</v>
      </c>
      <c r="F4192" s="39">
        <v>2307920.27</v>
      </c>
      <c r="G4192" s="40">
        <v>419.08848193208638</v>
      </c>
      <c r="H4192" s="41">
        <v>-8.2120947439909983E-2</v>
      </c>
      <c r="I4192" s="40">
        <v>89.572394479753058</v>
      </c>
      <c r="J4192" s="41">
        <v>0.21373146326237691</v>
      </c>
      <c r="K4192" s="9" t="s">
        <v>5762</v>
      </c>
    </row>
    <row r="4193" spans="1:11" x14ac:dyDescent="0.2">
      <c r="A4193" s="9" t="s">
        <v>57</v>
      </c>
      <c r="B4193" s="9" t="s">
        <v>202</v>
      </c>
      <c r="C4193" s="9"/>
      <c r="D4193" s="9" t="s">
        <v>81</v>
      </c>
      <c r="E4193" s="38">
        <v>793</v>
      </c>
      <c r="F4193" s="39">
        <v>1106310.6599999999</v>
      </c>
      <c r="G4193" s="40">
        <v>1395.095409836066</v>
      </c>
      <c r="H4193" s="41">
        <v>-8.4158335301515105E-2</v>
      </c>
      <c r="I4193" s="40">
        <v>217.6054375737705</v>
      </c>
      <c r="J4193" s="41">
        <v>0.15597889294133721</v>
      </c>
      <c r="K4193" s="9" t="s">
        <v>5763</v>
      </c>
    </row>
    <row r="4194" spans="1:11" x14ac:dyDescent="0.2">
      <c r="A4194" s="9" t="s">
        <v>57</v>
      </c>
      <c r="B4194" s="9" t="s">
        <v>877</v>
      </c>
      <c r="C4194" s="9"/>
      <c r="D4194" s="9" t="s">
        <v>76</v>
      </c>
      <c r="E4194" s="38">
        <v>6040</v>
      </c>
      <c r="F4194" s="39">
        <v>941588.59</v>
      </c>
      <c r="G4194" s="40">
        <v>155.89215066225171</v>
      </c>
      <c r="H4194" s="41">
        <v>5.0410820530078244E-3</v>
      </c>
      <c r="I4194" s="40">
        <v>18.945319536423838</v>
      </c>
      <c r="J4194" s="41">
        <v>0.12152837366051771</v>
      </c>
      <c r="K4194" s="9" t="s">
        <v>5764</v>
      </c>
    </row>
    <row r="4195" spans="1:11" x14ac:dyDescent="0.2">
      <c r="A4195" s="9" t="s">
        <v>57</v>
      </c>
      <c r="B4195" s="9" t="s">
        <v>5765</v>
      </c>
      <c r="C4195" s="9"/>
      <c r="D4195" s="9" t="s">
        <v>83</v>
      </c>
      <c r="E4195" s="38">
        <v>1134</v>
      </c>
      <c r="F4195" s="39">
        <v>88125</v>
      </c>
      <c r="G4195" s="40">
        <v>77.711640211640216</v>
      </c>
      <c r="H4195" s="41">
        <v>8.3054299423521702E-2</v>
      </c>
      <c r="I4195" s="40">
        <v>21.164021164021161</v>
      </c>
      <c r="J4195" s="41">
        <v>0.2723404255319149</v>
      </c>
      <c r="K4195" s="9" t="s">
        <v>5766</v>
      </c>
    </row>
    <row r="4196" spans="1:11" x14ac:dyDescent="0.2">
      <c r="A4196" s="9" t="s">
        <v>57</v>
      </c>
      <c r="B4196" s="9" t="s">
        <v>1091</v>
      </c>
      <c r="C4196" s="9"/>
      <c r="D4196" s="9" t="s">
        <v>81</v>
      </c>
      <c r="E4196" s="38">
        <v>10932</v>
      </c>
      <c r="F4196" s="39">
        <v>11972082.779999999</v>
      </c>
      <c r="G4196" s="40">
        <v>1095.1411251372119</v>
      </c>
      <c r="H4196" s="41"/>
      <c r="I4196" s="40">
        <v>52.226871569703633</v>
      </c>
      <c r="J4196" s="41">
        <v>4.768962681696394E-2</v>
      </c>
      <c r="K4196" s="9" t="s">
        <v>5767</v>
      </c>
    </row>
    <row r="4197" spans="1:11" x14ac:dyDescent="0.2">
      <c r="A4197" s="9" t="s">
        <v>57</v>
      </c>
      <c r="B4197" s="9" t="s">
        <v>206</v>
      </c>
      <c r="C4197" s="9"/>
      <c r="D4197" s="9" t="s">
        <v>80</v>
      </c>
      <c r="E4197" s="38">
        <v>661</v>
      </c>
      <c r="F4197" s="39">
        <v>374072.67</v>
      </c>
      <c r="G4197" s="40">
        <v>565.91931921331309</v>
      </c>
      <c r="H4197" s="41"/>
      <c r="I4197" s="40">
        <v>150.4903915279879</v>
      </c>
      <c r="J4197" s="41">
        <v>0.26592198997055838</v>
      </c>
      <c r="K4197" s="9" t="s">
        <v>5768</v>
      </c>
    </row>
    <row r="4198" spans="1:11" x14ac:dyDescent="0.2">
      <c r="A4198" s="9" t="s">
        <v>57</v>
      </c>
      <c r="B4198" s="9" t="s">
        <v>208</v>
      </c>
      <c r="C4198" s="9"/>
      <c r="D4198" s="9" t="s">
        <v>78</v>
      </c>
      <c r="E4198" s="38">
        <v>1050</v>
      </c>
      <c r="F4198" s="39">
        <v>568072.25</v>
      </c>
      <c r="G4198" s="40">
        <v>541.02119047619044</v>
      </c>
      <c r="H4198" s="41">
        <v>-0.18279727612498251</v>
      </c>
      <c r="I4198" s="40">
        <v>117.6416761828571</v>
      </c>
      <c r="J4198" s="41">
        <v>0.21744374943856171</v>
      </c>
      <c r="K4198" s="9" t="s">
        <v>5769</v>
      </c>
    </row>
    <row r="4199" spans="1:11" x14ac:dyDescent="0.2">
      <c r="A4199" s="9" t="s">
        <v>57</v>
      </c>
      <c r="B4199" s="9" t="s">
        <v>212</v>
      </c>
      <c r="C4199" s="9"/>
      <c r="D4199" s="9" t="s">
        <v>76</v>
      </c>
      <c r="E4199" s="38">
        <v>2200</v>
      </c>
      <c r="F4199" s="39">
        <v>1649962.82</v>
      </c>
      <c r="G4199" s="40">
        <v>749.98310000000004</v>
      </c>
      <c r="H4199" s="41">
        <v>0.27074362071934432</v>
      </c>
      <c r="I4199" s="40">
        <v>108.08920999636361</v>
      </c>
      <c r="J4199" s="41">
        <v>0.14412219421526121</v>
      </c>
      <c r="K4199" s="9" t="s">
        <v>5770</v>
      </c>
    </row>
    <row r="4200" spans="1:11" x14ac:dyDescent="0.2">
      <c r="A4200" s="9" t="s">
        <v>57</v>
      </c>
      <c r="B4200" s="9" t="s">
        <v>220</v>
      </c>
      <c r="C4200" s="9"/>
      <c r="D4200" s="9" t="s">
        <v>85</v>
      </c>
      <c r="E4200" s="38">
        <v>33900</v>
      </c>
      <c r="F4200" s="39">
        <v>8450236.5600000005</v>
      </c>
      <c r="G4200" s="40">
        <v>249.26951504424781</v>
      </c>
      <c r="H4200" s="41">
        <v>-8.8104571222283712E-2</v>
      </c>
      <c r="I4200" s="40">
        <v>27.463978690265488</v>
      </c>
      <c r="J4200" s="41">
        <v>0.11017784780216849</v>
      </c>
      <c r="K4200" s="9" t="s">
        <v>5771</v>
      </c>
    </row>
    <row r="4201" spans="1:11" x14ac:dyDescent="0.2">
      <c r="A4201" s="9" t="s">
        <v>57</v>
      </c>
      <c r="B4201" s="9" t="s">
        <v>766</v>
      </c>
      <c r="C4201" s="9"/>
      <c r="D4201" s="9" t="s">
        <v>86</v>
      </c>
      <c r="E4201" s="38">
        <v>78481</v>
      </c>
      <c r="F4201" s="39">
        <v>23151428.800000001</v>
      </c>
      <c r="G4201" s="40">
        <v>294.99405970871931</v>
      </c>
      <c r="H4201" s="41">
        <v>3.7254571402011327E-2</v>
      </c>
      <c r="I4201" s="40">
        <v>2.6365930605369452</v>
      </c>
      <c r="J4201" s="41">
        <v>8.9377835714398758E-3</v>
      </c>
      <c r="K4201" s="9" t="s">
        <v>5772</v>
      </c>
    </row>
    <row r="4202" spans="1:11" x14ac:dyDescent="0.2">
      <c r="A4202" s="9" t="s">
        <v>57</v>
      </c>
      <c r="B4202" s="9" t="s">
        <v>1001</v>
      </c>
      <c r="C4202" s="9"/>
      <c r="D4202" s="9" t="s">
        <v>76</v>
      </c>
      <c r="E4202" s="38">
        <v>3859</v>
      </c>
      <c r="F4202" s="39">
        <v>1063729.04</v>
      </c>
      <c r="G4202" s="40">
        <v>275.64888313034459</v>
      </c>
      <c r="H4202" s="41">
        <v>0.75918229068941345</v>
      </c>
      <c r="I4202" s="40">
        <v>57.407405752785692</v>
      </c>
      <c r="J4202" s="41">
        <v>0.20826279105814391</v>
      </c>
      <c r="K4202" s="9" t="s">
        <v>5773</v>
      </c>
    </row>
    <row r="4203" spans="1:11" x14ac:dyDescent="0.2">
      <c r="A4203" s="9" t="s">
        <v>57</v>
      </c>
      <c r="B4203" s="9" t="s">
        <v>768</v>
      </c>
      <c r="C4203" s="9"/>
      <c r="D4203" s="9" t="s">
        <v>77</v>
      </c>
      <c r="E4203" s="38">
        <v>24138</v>
      </c>
      <c r="F4203" s="39">
        <v>3881975.93</v>
      </c>
      <c r="G4203" s="40">
        <v>160.82425760212121</v>
      </c>
      <c r="H4203" s="41">
        <v>-4.9592613954758863E-2</v>
      </c>
      <c r="I4203" s="40">
        <v>26.324439183030901</v>
      </c>
      <c r="J4203" s="41">
        <v>0.16368450615303021</v>
      </c>
      <c r="K4203" s="9" t="s">
        <v>5774</v>
      </c>
    </row>
    <row r="4204" spans="1:11" x14ac:dyDescent="0.2">
      <c r="A4204" s="9" t="s">
        <v>57</v>
      </c>
      <c r="B4204" s="9" t="s">
        <v>445</v>
      </c>
      <c r="C4204" s="9"/>
      <c r="D4204" s="9" t="s">
        <v>82</v>
      </c>
      <c r="E4204" s="38">
        <v>3128</v>
      </c>
      <c r="F4204" s="39">
        <v>834968.67</v>
      </c>
      <c r="G4204" s="40">
        <v>266.93371803069061</v>
      </c>
      <c r="H4204" s="41">
        <v>-0.22265698545479171</v>
      </c>
      <c r="I4204" s="40">
        <v>41.150095139386188</v>
      </c>
      <c r="J4204" s="41">
        <v>0.1541584759054492</v>
      </c>
      <c r="K4204" s="9" t="s">
        <v>5775</v>
      </c>
    </row>
    <row r="4205" spans="1:11" x14ac:dyDescent="0.2">
      <c r="A4205" s="9" t="s">
        <v>57</v>
      </c>
      <c r="B4205" s="9" t="s">
        <v>228</v>
      </c>
      <c r="C4205" s="9"/>
      <c r="D4205" s="9" t="s">
        <v>76</v>
      </c>
      <c r="E4205" s="38">
        <v>3866</v>
      </c>
      <c r="F4205" s="39">
        <v>727882.07</v>
      </c>
      <c r="G4205" s="40">
        <v>188.27782462493531</v>
      </c>
      <c r="H4205" s="41">
        <v>-0.22446278963814631</v>
      </c>
      <c r="I4205" s="40">
        <v>58.278686806001033</v>
      </c>
      <c r="J4205" s="41">
        <v>0.30953558615889532</v>
      </c>
      <c r="K4205" s="9" t="s">
        <v>5776</v>
      </c>
    </row>
    <row r="4206" spans="1:11" x14ac:dyDescent="0.2">
      <c r="A4206" s="9" t="s">
        <v>57</v>
      </c>
      <c r="B4206" s="9" t="s">
        <v>5777</v>
      </c>
      <c r="C4206" s="9"/>
      <c r="D4206" s="9" t="s">
        <v>83</v>
      </c>
      <c r="E4206" s="38">
        <v>763</v>
      </c>
      <c r="F4206" s="39">
        <v>318234</v>
      </c>
      <c r="G4206" s="40">
        <v>417.08256880733938</v>
      </c>
      <c r="H4206" s="41">
        <v>-0.1279781406268653</v>
      </c>
      <c r="I4206" s="40">
        <v>204.0760225321101</v>
      </c>
      <c r="J4206" s="41">
        <v>0.48929405780651969</v>
      </c>
      <c r="K4206" s="9" t="s">
        <v>5778</v>
      </c>
    </row>
    <row r="4207" spans="1:11" x14ac:dyDescent="0.2">
      <c r="A4207" s="9" t="s">
        <v>57</v>
      </c>
      <c r="B4207" s="9" t="s">
        <v>231</v>
      </c>
      <c r="C4207" s="9"/>
      <c r="D4207" s="9" t="s">
        <v>76</v>
      </c>
      <c r="E4207" s="38">
        <v>8500</v>
      </c>
      <c r="F4207" s="39">
        <v>1487823.82</v>
      </c>
      <c r="G4207" s="40">
        <v>175.03809647058819</v>
      </c>
      <c r="H4207" s="41">
        <v>-0.35539617630709702</v>
      </c>
      <c r="I4207" s="40">
        <v>19.239687505411769</v>
      </c>
      <c r="J4207" s="41">
        <v>0.1099171431440048</v>
      </c>
      <c r="K4207" s="9" t="s">
        <v>5779</v>
      </c>
    </row>
    <row r="4208" spans="1:11" x14ac:dyDescent="0.2">
      <c r="A4208" s="9" t="s">
        <v>57</v>
      </c>
      <c r="B4208" s="9" t="s">
        <v>2157</v>
      </c>
      <c r="C4208" s="9"/>
      <c r="D4208" s="9" t="s">
        <v>78</v>
      </c>
      <c r="E4208" s="38">
        <v>2427</v>
      </c>
      <c r="F4208" s="39">
        <v>455864.07</v>
      </c>
      <c r="G4208" s="40">
        <v>187.8302719406675</v>
      </c>
      <c r="H4208" s="41"/>
      <c r="I4208" s="40">
        <v>82.5994066749073</v>
      </c>
      <c r="J4208" s="41">
        <v>0.43975556134529309</v>
      </c>
      <c r="K4208" s="9" t="s">
        <v>5780</v>
      </c>
    </row>
    <row r="4209" spans="1:11" x14ac:dyDescent="0.2">
      <c r="A4209" s="9" t="s">
        <v>57</v>
      </c>
      <c r="B4209" s="9" t="s">
        <v>5781</v>
      </c>
      <c r="C4209" s="9"/>
      <c r="D4209" s="9" t="s">
        <v>84</v>
      </c>
      <c r="E4209" s="38">
        <v>156</v>
      </c>
      <c r="F4209" s="39">
        <v>179949</v>
      </c>
      <c r="G4209" s="40">
        <v>1153.5192307692309</v>
      </c>
      <c r="H4209" s="41">
        <v>1.4815950739323021E-2</v>
      </c>
      <c r="I4209" s="40">
        <v>630.69948461538456</v>
      </c>
      <c r="J4209" s="41">
        <v>0.5467611356551022</v>
      </c>
      <c r="K4209" s="9" t="s">
        <v>5782</v>
      </c>
    </row>
    <row r="4210" spans="1:11" x14ac:dyDescent="0.2">
      <c r="A4210" s="9" t="s">
        <v>57</v>
      </c>
      <c r="B4210" s="9" t="s">
        <v>233</v>
      </c>
      <c r="C4210" s="9"/>
      <c r="D4210" s="9" t="s">
        <v>77</v>
      </c>
      <c r="E4210" s="38">
        <v>4896</v>
      </c>
      <c r="F4210" s="39">
        <v>1948336.34</v>
      </c>
      <c r="G4210" s="40">
        <v>397.94451388888888</v>
      </c>
      <c r="H4210" s="41">
        <v>7.5582566993047176E-3</v>
      </c>
      <c r="I4210" s="40">
        <v>89.530177450980403</v>
      </c>
      <c r="J4210" s="41">
        <v>0.22498155980604459</v>
      </c>
      <c r="K4210" s="9" t="s">
        <v>5783</v>
      </c>
    </row>
    <row r="4211" spans="1:11" x14ac:dyDescent="0.2">
      <c r="A4211" s="9" t="s">
        <v>57</v>
      </c>
      <c r="B4211" s="9" t="s">
        <v>1477</v>
      </c>
      <c r="C4211" s="9"/>
      <c r="D4211" s="9" t="s">
        <v>85</v>
      </c>
      <c r="E4211" s="38">
        <v>8950</v>
      </c>
      <c r="F4211" s="39">
        <v>2989554.9</v>
      </c>
      <c r="G4211" s="40">
        <v>334.02848044692729</v>
      </c>
      <c r="H4211" s="41">
        <v>-1.258657266806569E-2</v>
      </c>
      <c r="I4211" s="40">
        <v>25.639302792402241</v>
      </c>
      <c r="J4211" s="41">
        <v>7.6757834416086496E-2</v>
      </c>
      <c r="K4211" s="9" t="s">
        <v>5784</v>
      </c>
    </row>
    <row r="4212" spans="1:11" x14ac:dyDescent="0.2">
      <c r="A4212" s="9" t="s">
        <v>57</v>
      </c>
      <c r="B4212" s="9" t="s">
        <v>449</v>
      </c>
      <c r="C4212" s="9"/>
      <c r="D4212" s="9" t="s">
        <v>81</v>
      </c>
      <c r="E4212" s="38">
        <v>2700</v>
      </c>
      <c r="F4212" s="39">
        <v>1647857.06</v>
      </c>
      <c r="G4212" s="40">
        <v>610.3174296296296</v>
      </c>
      <c r="H4212" s="41">
        <v>-7.5986251735840338E-2</v>
      </c>
      <c r="I4212" s="40">
        <v>42.523324888888887</v>
      </c>
      <c r="J4212" s="41">
        <v>6.9674111903856514E-2</v>
      </c>
      <c r="K4212" s="9" t="s">
        <v>5785</v>
      </c>
    </row>
    <row r="4213" spans="1:11" x14ac:dyDescent="0.2">
      <c r="A4213" s="9" t="s">
        <v>57</v>
      </c>
      <c r="B4213" s="9" t="s">
        <v>456</v>
      </c>
      <c r="C4213" s="9"/>
      <c r="D4213" s="9" t="s">
        <v>76</v>
      </c>
      <c r="E4213" s="38">
        <v>1216</v>
      </c>
      <c r="F4213" s="39">
        <v>500847.17</v>
      </c>
      <c r="G4213" s="40">
        <v>411.88089638157891</v>
      </c>
      <c r="H4213" s="41">
        <v>-0.18323091237022529</v>
      </c>
      <c r="I4213" s="40">
        <v>66.696838815789476</v>
      </c>
      <c r="J4213" s="41">
        <v>0.16193234355302441</v>
      </c>
      <c r="K4213" s="9" t="s">
        <v>5786</v>
      </c>
    </row>
    <row r="4214" spans="1:11" x14ac:dyDescent="0.2">
      <c r="A4214" s="9" t="s">
        <v>57</v>
      </c>
      <c r="B4214" s="9" t="s">
        <v>458</v>
      </c>
      <c r="C4214" s="9"/>
      <c r="D4214" s="9" t="s">
        <v>76</v>
      </c>
      <c r="E4214" s="38">
        <v>2381</v>
      </c>
      <c r="F4214" s="39">
        <v>901359.74</v>
      </c>
      <c r="G4214" s="40">
        <v>378.56351952960938</v>
      </c>
      <c r="H4214" s="41">
        <v>1.739244588893589E-2</v>
      </c>
      <c r="I4214" s="40">
        <v>43.502678368752633</v>
      </c>
      <c r="J4214" s="41">
        <v>0.1149151360987124</v>
      </c>
      <c r="K4214" s="9" t="s">
        <v>5787</v>
      </c>
    </row>
    <row r="4215" spans="1:11" x14ac:dyDescent="0.2">
      <c r="A4215" s="9" t="s">
        <v>57</v>
      </c>
      <c r="B4215" s="9" t="s">
        <v>5788</v>
      </c>
      <c r="C4215" s="9"/>
      <c r="D4215" s="9" t="s">
        <v>80</v>
      </c>
      <c r="E4215" s="38">
        <v>204</v>
      </c>
      <c r="F4215" s="39">
        <v>386606.57</v>
      </c>
      <c r="G4215" s="40">
        <v>1895.130245098039</v>
      </c>
      <c r="H4215" s="41">
        <v>2.2886178634039269E-2</v>
      </c>
      <c r="I4215" s="40">
        <v>424.87608823529411</v>
      </c>
      <c r="J4215" s="41">
        <v>0.22419360850489431</v>
      </c>
      <c r="K4215" s="9" t="s">
        <v>5789</v>
      </c>
    </row>
    <row r="4216" spans="1:11" x14ac:dyDescent="0.2">
      <c r="A4216" s="9" t="s">
        <v>57</v>
      </c>
      <c r="B4216" s="9" t="s">
        <v>5788</v>
      </c>
      <c r="C4216" s="9"/>
      <c r="D4216" s="9" t="s">
        <v>80</v>
      </c>
      <c r="E4216" s="38">
        <v>1055</v>
      </c>
      <c r="F4216" s="39">
        <v>300270.90000000002</v>
      </c>
      <c r="G4216" s="40">
        <v>284.61696682464458</v>
      </c>
      <c r="H4216" s="41"/>
      <c r="I4216" s="40">
        <v>113.7979131753554</v>
      </c>
      <c r="J4216" s="41">
        <v>0.39982828306039642</v>
      </c>
      <c r="K4216" s="9" t="s">
        <v>5789</v>
      </c>
    </row>
    <row r="4217" spans="1:11" x14ac:dyDescent="0.2">
      <c r="A4217" s="9" t="s">
        <v>57</v>
      </c>
      <c r="B4217" s="9" t="s">
        <v>242</v>
      </c>
      <c r="C4217" s="9"/>
      <c r="D4217" s="9" t="s">
        <v>82</v>
      </c>
      <c r="E4217" s="38">
        <v>3955</v>
      </c>
      <c r="F4217" s="39">
        <v>989329.92000000004</v>
      </c>
      <c r="G4217" s="40">
        <v>250.14662958280661</v>
      </c>
      <c r="H4217" s="41">
        <v>-0.13923697391733919</v>
      </c>
      <c r="I4217" s="40">
        <v>28.2710776232617</v>
      </c>
      <c r="J4217" s="41">
        <v>0.1130180233505927</v>
      </c>
      <c r="K4217" s="9" t="s">
        <v>5790</v>
      </c>
    </row>
    <row r="4218" spans="1:11" x14ac:dyDescent="0.2">
      <c r="A4218" s="9" t="s">
        <v>57</v>
      </c>
      <c r="B4218" s="9" t="s">
        <v>243</v>
      </c>
      <c r="C4218" s="9"/>
      <c r="D4218" s="9" t="s">
        <v>82</v>
      </c>
      <c r="E4218" s="38">
        <v>1769</v>
      </c>
      <c r="F4218" s="39">
        <v>1472720.41</v>
      </c>
      <c r="G4218" s="40">
        <v>832.51577727529673</v>
      </c>
      <c r="H4218" s="41">
        <v>-0.1039297783232262</v>
      </c>
      <c r="I4218" s="40">
        <v>85.768999434708888</v>
      </c>
      <c r="J4218" s="41">
        <v>0.1030238726711203</v>
      </c>
      <c r="K4218" s="9" t="s">
        <v>5791</v>
      </c>
    </row>
    <row r="4219" spans="1:11" x14ac:dyDescent="0.2">
      <c r="A4219" s="9" t="s">
        <v>57</v>
      </c>
      <c r="B4219" s="9" t="s">
        <v>1788</v>
      </c>
      <c r="C4219" s="9"/>
      <c r="D4219" s="9" t="s">
        <v>76</v>
      </c>
      <c r="E4219" s="38">
        <v>12920</v>
      </c>
      <c r="F4219" s="39">
        <v>1009274.6</v>
      </c>
      <c r="G4219" s="40">
        <v>78.117229102167187</v>
      </c>
      <c r="H4219" s="41">
        <v>4.8919502817271032E-2</v>
      </c>
      <c r="I4219" s="40">
        <v>7.8117229102167176</v>
      </c>
      <c r="J4219" s="41">
        <v>0.1</v>
      </c>
      <c r="K4219" s="9" t="s">
        <v>5792</v>
      </c>
    </row>
    <row r="4220" spans="1:11" x14ac:dyDescent="0.2">
      <c r="A4220" s="9" t="s">
        <v>57</v>
      </c>
      <c r="B4220" s="9" t="s">
        <v>461</v>
      </c>
      <c r="C4220" s="9"/>
      <c r="D4220" s="9" t="s">
        <v>76</v>
      </c>
      <c r="E4220" s="38">
        <v>4124</v>
      </c>
      <c r="F4220" s="39">
        <v>3006548.28</v>
      </c>
      <c r="G4220" s="40">
        <v>729.0369253152279</v>
      </c>
      <c r="H4220" s="41">
        <v>0.1692620200675963</v>
      </c>
      <c r="I4220" s="40">
        <v>94.332312221144534</v>
      </c>
      <c r="J4220" s="41">
        <v>0.12939305122351141</v>
      </c>
      <c r="K4220" s="9" t="s">
        <v>5793</v>
      </c>
    </row>
    <row r="4221" spans="1:11" x14ac:dyDescent="0.2">
      <c r="A4221" s="9" t="s">
        <v>57</v>
      </c>
      <c r="B4221" s="9" t="s">
        <v>245</v>
      </c>
      <c r="C4221" s="9"/>
      <c r="D4221" s="9" t="s">
        <v>79</v>
      </c>
      <c r="E4221" s="38">
        <v>2020</v>
      </c>
      <c r="F4221" s="39">
        <v>564749.18000000005</v>
      </c>
      <c r="G4221" s="40">
        <v>279.57880198019802</v>
      </c>
      <c r="H4221" s="41">
        <v>-0.14510216310076821</v>
      </c>
      <c r="I4221" s="40">
        <v>33.543540392079208</v>
      </c>
      <c r="J4221" s="41">
        <v>0.1199788401498874</v>
      </c>
      <c r="K4221" s="9" t="s">
        <v>5794</v>
      </c>
    </row>
    <row r="4222" spans="1:11" x14ac:dyDescent="0.2">
      <c r="A4222" s="9" t="s">
        <v>57</v>
      </c>
      <c r="B4222" s="9" t="s">
        <v>247</v>
      </c>
      <c r="C4222" s="9"/>
      <c r="D4222" s="9" t="s">
        <v>76</v>
      </c>
      <c r="E4222" s="38">
        <v>21596</v>
      </c>
      <c r="F4222" s="39">
        <v>3297569.04</v>
      </c>
      <c r="G4222" s="40">
        <v>152.69350990924249</v>
      </c>
      <c r="H4222" s="41">
        <v>-0.15062335311736691</v>
      </c>
      <c r="I4222" s="40">
        <v>25.441093720874239</v>
      </c>
      <c r="J4222" s="41">
        <v>0.16661542285586231</v>
      </c>
      <c r="K4222" s="9" t="s">
        <v>5795</v>
      </c>
    </row>
    <row r="4223" spans="1:11" x14ac:dyDescent="0.2">
      <c r="A4223" s="9" t="s">
        <v>57</v>
      </c>
      <c r="B4223" s="9" t="s">
        <v>140</v>
      </c>
      <c r="C4223" s="9"/>
      <c r="D4223" s="9" t="s">
        <v>83</v>
      </c>
      <c r="E4223" s="38">
        <v>7000</v>
      </c>
      <c r="F4223" s="39">
        <v>4344540.41</v>
      </c>
      <c r="G4223" s="40">
        <v>620.64863000000003</v>
      </c>
      <c r="H4223" s="41">
        <v>0.3503697048879888</v>
      </c>
      <c r="I4223" s="40">
        <v>86.518512342857136</v>
      </c>
      <c r="J4223" s="41">
        <v>0.139400150360208</v>
      </c>
      <c r="K4223" s="9" t="s">
        <v>5796</v>
      </c>
    </row>
    <row r="4224" spans="1:11" x14ac:dyDescent="0.2">
      <c r="A4224" s="9" t="s">
        <v>57</v>
      </c>
      <c r="B4224" s="9" t="s">
        <v>256</v>
      </c>
      <c r="C4224" s="9"/>
      <c r="D4224" s="9" t="s">
        <v>76</v>
      </c>
      <c r="E4224" s="38">
        <v>1529</v>
      </c>
      <c r="F4224" s="39">
        <v>1069355.8899999999</v>
      </c>
      <c r="G4224" s="40">
        <v>699.38253106605623</v>
      </c>
      <c r="H4224" s="41">
        <v>-9.0021766732228378E-2</v>
      </c>
      <c r="I4224" s="40">
        <v>102.9232353119686</v>
      </c>
      <c r="J4224" s="41">
        <v>0.14716300556590189</v>
      </c>
      <c r="K4224" s="9" t="s">
        <v>5797</v>
      </c>
    </row>
    <row r="4225" spans="1:11" x14ac:dyDescent="0.2">
      <c r="A4225" s="9" t="s">
        <v>57</v>
      </c>
      <c r="B4225" s="9" t="s">
        <v>1251</v>
      </c>
      <c r="C4225" s="9"/>
      <c r="D4225" s="9" t="s">
        <v>77</v>
      </c>
      <c r="E4225" s="38">
        <v>13091</v>
      </c>
      <c r="F4225" s="39">
        <v>4964629.24</v>
      </c>
      <c r="G4225" s="40">
        <v>379.23987777862658</v>
      </c>
      <c r="H4225" s="41">
        <v>-4.1025876047511192E-2</v>
      </c>
      <c r="I4225" s="40">
        <v>69.611870750897566</v>
      </c>
      <c r="J4225" s="41">
        <v>0.18355630520356839</v>
      </c>
      <c r="K4225" s="9" t="s">
        <v>5798</v>
      </c>
    </row>
    <row r="4226" spans="1:11" x14ac:dyDescent="0.2">
      <c r="A4226" s="9" t="s">
        <v>57</v>
      </c>
      <c r="B4226" s="9" t="s">
        <v>2187</v>
      </c>
      <c r="C4226" s="9"/>
      <c r="D4226" s="9" t="s">
        <v>76</v>
      </c>
      <c r="E4226" s="38">
        <v>3600</v>
      </c>
      <c r="F4226" s="39">
        <v>1381187</v>
      </c>
      <c r="G4226" s="40">
        <v>383.66305555555562</v>
      </c>
      <c r="H4226" s="41">
        <v>-6.3759462554819971E-2</v>
      </c>
      <c r="I4226" s="40">
        <v>40.484000000000002</v>
      </c>
      <c r="J4226" s="41">
        <v>0.105519672571491</v>
      </c>
      <c r="K4226" s="9" t="s">
        <v>5799</v>
      </c>
    </row>
    <row r="4227" spans="1:11" x14ac:dyDescent="0.2">
      <c r="A4227" s="9" t="s">
        <v>57</v>
      </c>
      <c r="B4227" s="9" t="s">
        <v>5800</v>
      </c>
      <c r="C4227" s="9"/>
      <c r="D4227" s="9" t="s">
        <v>81</v>
      </c>
      <c r="E4227" s="38">
        <v>624</v>
      </c>
      <c r="F4227" s="39">
        <v>459259.19</v>
      </c>
      <c r="G4227" s="40">
        <v>735.99229166666669</v>
      </c>
      <c r="H4227" s="41">
        <v>-0.14951610470671731</v>
      </c>
      <c r="I4227" s="40">
        <v>185.0187365384615</v>
      </c>
      <c r="J4227" s="41">
        <v>0.25138678574945877</v>
      </c>
      <c r="K4227" s="9" t="s">
        <v>5801</v>
      </c>
    </row>
    <row r="4228" spans="1:11" x14ac:dyDescent="0.2">
      <c r="A4228" s="9" t="s">
        <v>57</v>
      </c>
      <c r="B4228" s="9" t="s">
        <v>5802</v>
      </c>
      <c r="C4228" s="9"/>
      <c r="D4228" s="9" t="s">
        <v>76</v>
      </c>
      <c r="E4228" s="38">
        <v>2507</v>
      </c>
      <c r="F4228" s="39">
        <v>257636.07</v>
      </c>
      <c r="G4228" s="40">
        <v>102.76668129238131</v>
      </c>
      <c r="H4228" s="41"/>
      <c r="I4228" s="40">
        <v>80.165281212604711</v>
      </c>
      <c r="J4228" s="41">
        <v>0.7800707408710279</v>
      </c>
      <c r="K4228" s="9" t="s">
        <v>5803</v>
      </c>
    </row>
    <row r="4229" spans="1:11" x14ac:dyDescent="0.2">
      <c r="A4229" s="9" t="s">
        <v>57</v>
      </c>
      <c r="B4229" s="9" t="s">
        <v>1119</v>
      </c>
      <c r="C4229" s="9"/>
      <c r="D4229" s="9" t="s">
        <v>80</v>
      </c>
      <c r="E4229" s="38">
        <v>2673</v>
      </c>
      <c r="F4229" s="39">
        <v>425794.69</v>
      </c>
      <c r="G4229" s="40">
        <v>159.29468387579499</v>
      </c>
      <c r="H4229" s="41">
        <v>3.5799443660847807E-2</v>
      </c>
      <c r="I4229" s="40">
        <v>23.825056584362141</v>
      </c>
      <c r="J4229" s="41">
        <v>0.14956592401375421</v>
      </c>
      <c r="K4229" s="9" t="s">
        <v>5804</v>
      </c>
    </row>
    <row r="4230" spans="1:11" x14ac:dyDescent="0.2">
      <c r="A4230" s="9" t="s">
        <v>57</v>
      </c>
      <c r="B4230" s="9" t="s">
        <v>260</v>
      </c>
      <c r="C4230" s="9"/>
      <c r="D4230" s="9" t="s">
        <v>76</v>
      </c>
      <c r="E4230" s="38">
        <v>3335</v>
      </c>
      <c r="F4230" s="39">
        <v>887327</v>
      </c>
      <c r="G4230" s="40">
        <v>266.06506746626678</v>
      </c>
      <c r="H4230" s="41">
        <v>0.11639785588387989</v>
      </c>
      <c r="I4230" s="40">
        <v>47.190515740929527</v>
      </c>
      <c r="J4230" s="41">
        <v>0.17736456796198019</v>
      </c>
      <c r="K4230" s="9" t="s">
        <v>5805</v>
      </c>
    </row>
    <row r="4231" spans="1:11" x14ac:dyDescent="0.2">
      <c r="A4231" s="9" t="s">
        <v>57</v>
      </c>
      <c r="B4231" s="9" t="s">
        <v>473</v>
      </c>
      <c r="C4231" s="9"/>
      <c r="D4231" s="9" t="s">
        <v>86</v>
      </c>
      <c r="E4231" s="38">
        <v>180432</v>
      </c>
      <c r="F4231" s="39">
        <v>13974493.92</v>
      </c>
      <c r="G4231" s="40">
        <v>77.450196860867251</v>
      </c>
      <c r="H4231" s="41">
        <v>-4.3603806070186782E-2</v>
      </c>
      <c r="I4231" s="40">
        <v>4.357940941739824</v>
      </c>
      <c r="J4231" s="41">
        <v>5.6267654807495168E-2</v>
      </c>
      <c r="K4231" s="9" t="s">
        <v>5806</v>
      </c>
    </row>
    <row r="4232" spans="1:11" x14ac:dyDescent="0.2">
      <c r="A4232" s="9" t="s">
        <v>57</v>
      </c>
      <c r="B4232" s="9" t="s">
        <v>262</v>
      </c>
      <c r="C4232" s="9"/>
      <c r="D4232" s="9" t="s">
        <v>76</v>
      </c>
      <c r="E4232" s="38">
        <v>6399</v>
      </c>
      <c r="F4232" s="39">
        <v>2032286.88</v>
      </c>
      <c r="G4232" s="40">
        <v>317.59444913267703</v>
      </c>
      <c r="H4232" s="41">
        <v>8.4918596440013663E-2</v>
      </c>
      <c r="I4232" s="40">
        <v>36.309265822784802</v>
      </c>
      <c r="J4232" s="41">
        <v>0.11432588296786129</v>
      </c>
      <c r="K4232" s="9" t="s">
        <v>5807</v>
      </c>
    </row>
    <row r="4233" spans="1:11" x14ac:dyDescent="0.2">
      <c r="A4233" s="9" t="s">
        <v>57</v>
      </c>
      <c r="B4233" s="9" t="s">
        <v>479</v>
      </c>
      <c r="C4233" s="9"/>
      <c r="D4233" s="9" t="s">
        <v>77</v>
      </c>
      <c r="E4233" s="38">
        <v>7889</v>
      </c>
      <c r="F4233" s="39">
        <v>5893055.1200000001</v>
      </c>
      <c r="G4233" s="40">
        <v>746.99646596526816</v>
      </c>
      <c r="H4233" s="41">
        <v>1.7997230818881941E-2</v>
      </c>
      <c r="I4233" s="40">
        <v>93.903171301812648</v>
      </c>
      <c r="J4233" s="41">
        <v>0.12570765134808379</v>
      </c>
      <c r="K4233" s="9" t="s">
        <v>5808</v>
      </c>
    </row>
    <row r="4234" spans="1:11" x14ac:dyDescent="0.2">
      <c r="A4234" s="9" t="s">
        <v>57</v>
      </c>
      <c r="B4234" s="9" t="s">
        <v>267</v>
      </c>
      <c r="C4234" s="9"/>
      <c r="D4234" s="9" t="s">
        <v>77</v>
      </c>
      <c r="E4234" s="38">
        <v>0</v>
      </c>
      <c r="F4234" s="39">
        <v>950381.32</v>
      </c>
      <c r="G4234" s="40"/>
      <c r="H4234" s="41">
        <v>0.1027660655952459</v>
      </c>
      <c r="I4234" s="40"/>
      <c r="J4234" s="41">
        <v>0</v>
      </c>
      <c r="K4234" s="9" t="s">
        <v>5809</v>
      </c>
    </row>
    <row r="4235" spans="1:11" x14ac:dyDescent="0.2">
      <c r="A4235" s="9" t="s">
        <v>57</v>
      </c>
      <c r="B4235" s="9" t="s">
        <v>267</v>
      </c>
      <c r="C4235" s="9"/>
      <c r="D4235" s="9" t="s">
        <v>77</v>
      </c>
      <c r="E4235" s="38">
        <v>2701</v>
      </c>
      <c r="F4235" s="39">
        <v>0</v>
      </c>
      <c r="G4235" s="40"/>
      <c r="H4235" s="41"/>
      <c r="I4235" s="40">
        <v>87.261384672343581</v>
      </c>
      <c r="J4235" s="41"/>
      <c r="K4235" s="9" t="s">
        <v>5809</v>
      </c>
    </row>
    <row r="4236" spans="1:11" x14ac:dyDescent="0.2">
      <c r="A4236" s="9" t="s">
        <v>57</v>
      </c>
      <c r="B4236" s="9" t="s">
        <v>484</v>
      </c>
      <c r="C4236" s="9"/>
      <c r="D4236" s="9" t="s">
        <v>77</v>
      </c>
      <c r="E4236" s="38">
        <v>1745</v>
      </c>
      <c r="F4236" s="39">
        <v>0</v>
      </c>
      <c r="G4236" s="40"/>
      <c r="H4236" s="41"/>
      <c r="I4236" s="40">
        <v>44.645845272206302</v>
      </c>
      <c r="J4236" s="41"/>
      <c r="K4236" s="9" t="s">
        <v>5810</v>
      </c>
    </row>
    <row r="4237" spans="1:11" x14ac:dyDescent="0.2">
      <c r="A4237" s="9" t="s">
        <v>57</v>
      </c>
      <c r="B4237" s="9" t="s">
        <v>271</v>
      </c>
      <c r="C4237" s="9"/>
      <c r="D4237" s="9" t="s">
        <v>78</v>
      </c>
      <c r="E4237" s="38">
        <v>1375</v>
      </c>
      <c r="F4237" s="39">
        <v>2787646.91</v>
      </c>
      <c r="G4237" s="40">
        <v>2027.3795709090909</v>
      </c>
      <c r="H4237" s="41">
        <v>-4.3406725453925842E-2</v>
      </c>
      <c r="I4237" s="40">
        <v>249.12684944872731</v>
      </c>
      <c r="J4237" s="41">
        <v>0.1228812073592204</v>
      </c>
      <c r="K4237" s="9" t="s">
        <v>5811</v>
      </c>
    </row>
    <row r="4238" spans="1:11" x14ac:dyDescent="0.2">
      <c r="A4238" s="9" t="s">
        <v>57</v>
      </c>
      <c r="B4238" s="9" t="s">
        <v>487</v>
      </c>
      <c r="C4238" s="9"/>
      <c r="D4238" s="9" t="s">
        <v>77</v>
      </c>
      <c r="E4238" s="38">
        <v>2463</v>
      </c>
      <c r="F4238" s="39">
        <v>2033533.79</v>
      </c>
      <c r="G4238" s="40">
        <v>825.63288266341863</v>
      </c>
      <c r="H4238" s="41">
        <v>9.6814075136405456E-2</v>
      </c>
      <c r="I4238" s="40">
        <v>99.07175590742996</v>
      </c>
      <c r="J4238" s="41">
        <v>0.1199949250904751</v>
      </c>
      <c r="K4238" s="9" t="s">
        <v>5812</v>
      </c>
    </row>
    <row r="4239" spans="1:11" x14ac:dyDescent="0.2">
      <c r="A4239" s="9" t="s">
        <v>57</v>
      </c>
      <c r="B4239" s="9" t="s">
        <v>2206</v>
      </c>
      <c r="C4239" s="9"/>
      <c r="D4239" s="9" t="s">
        <v>76</v>
      </c>
      <c r="E4239" s="38">
        <v>4004</v>
      </c>
      <c r="F4239" s="39">
        <v>0</v>
      </c>
      <c r="G4239" s="40"/>
      <c r="H4239" s="41"/>
      <c r="I4239" s="40">
        <v>89.751393604395602</v>
      </c>
      <c r="J4239" s="41"/>
      <c r="K4239" s="9" t="s">
        <v>5813</v>
      </c>
    </row>
    <row r="4240" spans="1:11" x14ac:dyDescent="0.2">
      <c r="A4240" s="9" t="s">
        <v>57</v>
      </c>
      <c r="B4240" s="9" t="s">
        <v>1913</v>
      </c>
      <c r="C4240" s="9"/>
      <c r="D4240" s="9" t="s">
        <v>76</v>
      </c>
      <c r="E4240" s="38">
        <v>7356</v>
      </c>
      <c r="F4240" s="39">
        <v>985790.49</v>
      </c>
      <c r="G4240" s="40">
        <v>134.01175774877649</v>
      </c>
      <c r="H4240" s="41">
        <v>-5.7615747935519143E-2</v>
      </c>
      <c r="I4240" s="40">
        <v>18.62893542577488</v>
      </c>
      <c r="J4240" s="41">
        <v>0.139009708839857</v>
      </c>
      <c r="K4240" s="9" t="s">
        <v>5814</v>
      </c>
    </row>
    <row r="4241" spans="1:11" x14ac:dyDescent="0.2">
      <c r="A4241" s="9" t="s">
        <v>57</v>
      </c>
      <c r="B4241" s="9" t="s">
        <v>5815</v>
      </c>
      <c r="C4241" s="9"/>
      <c r="D4241" s="9" t="s">
        <v>80</v>
      </c>
      <c r="E4241" s="38">
        <v>1617</v>
      </c>
      <c r="F4241" s="39">
        <v>1155627.8799999999</v>
      </c>
      <c r="G4241" s="40">
        <v>714.67401360544216</v>
      </c>
      <c r="H4241" s="41"/>
      <c r="I4241" s="40">
        <v>76.750915272727283</v>
      </c>
      <c r="J4241" s="41">
        <v>0.1073929005554972</v>
      </c>
      <c r="K4241" s="9" t="s">
        <v>5816</v>
      </c>
    </row>
    <row r="4242" spans="1:11" x14ac:dyDescent="0.2">
      <c r="A4242" s="9" t="s">
        <v>57</v>
      </c>
      <c r="B4242" s="9" t="s">
        <v>1915</v>
      </c>
      <c r="C4242" s="9"/>
      <c r="D4242" s="9" t="s">
        <v>83</v>
      </c>
      <c r="E4242" s="38">
        <v>2426</v>
      </c>
      <c r="F4242" s="39">
        <v>481223</v>
      </c>
      <c r="G4242" s="40">
        <v>198.36067600989281</v>
      </c>
      <c r="H4242" s="41">
        <v>-6.8489824554578013E-2</v>
      </c>
      <c r="I4242" s="40">
        <v>59.356966199505358</v>
      </c>
      <c r="J4242" s="41">
        <v>0.29923756761418302</v>
      </c>
      <c r="K4242" s="9" t="s">
        <v>5817</v>
      </c>
    </row>
    <row r="4243" spans="1:11" x14ac:dyDescent="0.2">
      <c r="A4243" s="9" t="s">
        <v>57</v>
      </c>
      <c r="B4243" s="9" t="s">
        <v>489</v>
      </c>
      <c r="C4243" s="9"/>
      <c r="D4243" s="9" t="s">
        <v>82</v>
      </c>
      <c r="E4243" s="38">
        <v>2347</v>
      </c>
      <c r="F4243" s="39">
        <v>4504846.79</v>
      </c>
      <c r="G4243" s="40">
        <v>1919.406386876864</v>
      </c>
      <c r="H4243" s="41">
        <v>5.2663973885281212E-2</v>
      </c>
      <c r="I4243" s="40">
        <v>151.3204005965062</v>
      </c>
      <c r="J4243" s="41">
        <v>7.8837082981017423E-2</v>
      </c>
      <c r="K4243" s="9" t="s">
        <v>5818</v>
      </c>
    </row>
    <row r="4244" spans="1:11" x14ac:dyDescent="0.2">
      <c r="A4244" s="9" t="s">
        <v>57</v>
      </c>
      <c r="B4244" s="9" t="s">
        <v>275</v>
      </c>
      <c r="C4244" s="9"/>
      <c r="D4244" s="9" t="s">
        <v>83</v>
      </c>
      <c r="E4244" s="38">
        <v>5190</v>
      </c>
      <c r="F4244" s="39">
        <v>1866630.79</v>
      </c>
      <c r="G4244" s="40">
        <v>359.65911175337192</v>
      </c>
      <c r="H4244" s="41">
        <v>-8.5250092739086319E-2</v>
      </c>
      <c r="I4244" s="40">
        <v>46.388740403082863</v>
      </c>
      <c r="J4244" s="41">
        <v>0.12897974467248549</v>
      </c>
      <c r="K4244" s="9" t="s">
        <v>5819</v>
      </c>
    </row>
    <row r="4245" spans="1:11" x14ac:dyDescent="0.2">
      <c r="A4245" s="9" t="s">
        <v>57</v>
      </c>
      <c r="B4245" s="9" t="s">
        <v>277</v>
      </c>
      <c r="C4245" s="9"/>
      <c r="D4245" s="9" t="s">
        <v>76</v>
      </c>
      <c r="E4245" s="38">
        <v>971</v>
      </c>
      <c r="F4245" s="39">
        <v>989491.08</v>
      </c>
      <c r="G4245" s="40">
        <v>1019.04333676622</v>
      </c>
      <c r="H4245" s="41">
        <v>-7.3903220465493483E-2</v>
      </c>
      <c r="I4245" s="40">
        <v>150.41282471678679</v>
      </c>
      <c r="J4245" s="41">
        <v>0.1476019903079874</v>
      </c>
      <c r="K4245" s="9" t="s">
        <v>5820</v>
      </c>
    </row>
    <row r="4246" spans="1:11" x14ac:dyDescent="0.2">
      <c r="A4246" s="9" t="s">
        <v>57</v>
      </c>
      <c r="B4246" s="9" t="s">
        <v>279</v>
      </c>
      <c r="C4246" s="9"/>
      <c r="D4246" s="9" t="s">
        <v>76</v>
      </c>
      <c r="E4246" s="38">
        <v>5558</v>
      </c>
      <c r="F4246" s="39">
        <v>1136382.75</v>
      </c>
      <c r="G4246" s="40">
        <v>204.45893306944939</v>
      </c>
      <c r="H4246" s="41">
        <v>2.252679107304666E-2</v>
      </c>
      <c r="I4246" s="40">
        <v>29.861095716444769</v>
      </c>
      <c r="J4246" s="41">
        <v>0.14604935704277461</v>
      </c>
      <c r="K4246" s="9" t="s">
        <v>5821</v>
      </c>
    </row>
    <row r="4247" spans="1:11" x14ac:dyDescent="0.2">
      <c r="A4247" s="9" t="s">
        <v>57</v>
      </c>
      <c r="B4247" s="9" t="s">
        <v>494</v>
      </c>
      <c r="C4247" s="9"/>
      <c r="D4247" s="9" t="s">
        <v>85</v>
      </c>
      <c r="E4247" s="38">
        <v>1198</v>
      </c>
      <c r="F4247" s="39">
        <v>1165133.2</v>
      </c>
      <c r="G4247" s="40">
        <v>972.56527545909842</v>
      </c>
      <c r="H4247" s="41"/>
      <c r="I4247" s="40">
        <v>119.05427178631049</v>
      </c>
      <c r="J4247" s="41">
        <v>0.1224126285303689</v>
      </c>
      <c r="K4247" s="9" t="s">
        <v>5822</v>
      </c>
    </row>
    <row r="4248" spans="1:11" x14ac:dyDescent="0.2">
      <c r="A4248" s="9" t="s">
        <v>57</v>
      </c>
      <c r="B4248" s="9" t="s">
        <v>283</v>
      </c>
      <c r="C4248" s="9"/>
      <c r="D4248" s="9" t="s">
        <v>78</v>
      </c>
      <c r="E4248" s="38">
        <v>1201</v>
      </c>
      <c r="F4248" s="39">
        <v>430030.88</v>
      </c>
      <c r="G4248" s="40">
        <v>358.06068276436298</v>
      </c>
      <c r="H4248" s="41">
        <v>0.16679125722348931</v>
      </c>
      <c r="I4248" s="40">
        <v>89.20117568692757</v>
      </c>
      <c r="J4248" s="41">
        <v>0.24912306762714351</v>
      </c>
      <c r="K4248" s="9" t="s">
        <v>5823</v>
      </c>
    </row>
    <row r="4249" spans="1:11" x14ac:dyDescent="0.2">
      <c r="A4249" s="9" t="s">
        <v>57</v>
      </c>
      <c r="B4249" s="9" t="s">
        <v>285</v>
      </c>
      <c r="C4249" s="9"/>
      <c r="D4249" s="9" t="s">
        <v>76</v>
      </c>
      <c r="E4249" s="38">
        <v>5486</v>
      </c>
      <c r="F4249" s="39">
        <v>9606308.5600000005</v>
      </c>
      <c r="G4249" s="40">
        <v>1751.05879693766</v>
      </c>
      <c r="H4249" s="41"/>
      <c r="I4249" s="40">
        <v>79.157440758293845</v>
      </c>
      <c r="J4249" s="41">
        <v>4.5205472766950139E-2</v>
      </c>
      <c r="K4249" s="9" t="s">
        <v>5824</v>
      </c>
    </row>
    <row r="4250" spans="1:11" x14ac:dyDescent="0.2">
      <c r="A4250" s="9" t="s">
        <v>57</v>
      </c>
      <c r="B4250" s="9" t="s">
        <v>287</v>
      </c>
      <c r="C4250" s="9"/>
      <c r="D4250" s="9" t="s">
        <v>79</v>
      </c>
      <c r="E4250" s="38">
        <v>2505</v>
      </c>
      <c r="F4250" s="39">
        <v>1407348.22</v>
      </c>
      <c r="G4250" s="40">
        <v>561.81565668662677</v>
      </c>
      <c r="H4250" s="41">
        <v>3.3059452591728412E-2</v>
      </c>
      <c r="I4250" s="40">
        <v>112.897542994012</v>
      </c>
      <c r="J4250" s="41">
        <v>0.20095122243448749</v>
      </c>
      <c r="K4250" s="9" t="s">
        <v>5825</v>
      </c>
    </row>
    <row r="4251" spans="1:11" x14ac:dyDescent="0.2">
      <c r="A4251" s="9" t="s">
        <v>57</v>
      </c>
      <c r="B4251" s="9" t="s">
        <v>502</v>
      </c>
      <c r="C4251" s="9"/>
      <c r="D4251" s="9" t="s">
        <v>86</v>
      </c>
      <c r="E4251" s="38">
        <v>175000</v>
      </c>
      <c r="F4251" s="39">
        <v>28999999.989999998</v>
      </c>
      <c r="G4251" s="40">
        <v>165.71428565714291</v>
      </c>
      <c r="H4251" s="41">
        <v>-0.1076923076923077</v>
      </c>
      <c r="I4251" s="40">
        <v>0.41722354285714291</v>
      </c>
      <c r="J4251" s="41">
        <v>2.517728276730251E-3</v>
      </c>
      <c r="K4251" s="9" t="s">
        <v>5826</v>
      </c>
    </row>
    <row r="4252" spans="1:11" x14ac:dyDescent="0.2">
      <c r="A4252" s="9" t="s">
        <v>57</v>
      </c>
      <c r="B4252" s="9" t="s">
        <v>502</v>
      </c>
      <c r="C4252" s="9"/>
      <c r="D4252" s="9" t="s">
        <v>86</v>
      </c>
      <c r="E4252" s="38">
        <v>15020</v>
      </c>
      <c r="F4252" s="39">
        <v>0</v>
      </c>
      <c r="G4252" s="40"/>
      <c r="H4252" s="41"/>
      <c r="I4252" s="40">
        <v>20.569007323302269</v>
      </c>
      <c r="J4252" s="41"/>
      <c r="K4252" s="9" t="s">
        <v>5826</v>
      </c>
    </row>
    <row r="4253" spans="1:11" x14ac:dyDescent="0.2">
      <c r="A4253" s="9" t="s">
        <v>57</v>
      </c>
      <c r="B4253" s="9" t="s">
        <v>2221</v>
      </c>
      <c r="C4253" s="9"/>
      <c r="D4253" s="9" t="s">
        <v>78</v>
      </c>
      <c r="E4253" s="38">
        <v>1582</v>
      </c>
      <c r="F4253" s="39">
        <v>1008308</v>
      </c>
      <c r="G4253" s="40">
        <v>637.36283185840705</v>
      </c>
      <c r="H4253" s="41">
        <v>-4.45098306156596E-2</v>
      </c>
      <c r="I4253" s="40">
        <v>92.663057142857141</v>
      </c>
      <c r="J4253" s="41">
        <v>0.14538509701400759</v>
      </c>
      <c r="K4253" s="9" t="s">
        <v>5827</v>
      </c>
    </row>
    <row r="4254" spans="1:11" x14ac:dyDescent="0.2">
      <c r="A4254" s="9" t="s">
        <v>57</v>
      </c>
      <c r="B4254" s="9" t="s">
        <v>708</v>
      </c>
      <c r="C4254" s="9"/>
      <c r="D4254" s="9" t="s">
        <v>80</v>
      </c>
      <c r="E4254" s="38">
        <v>1172</v>
      </c>
      <c r="F4254" s="39">
        <v>482876</v>
      </c>
      <c r="G4254" s="40">
        <v>412.01023890784978</v>
      </c>
      <c r="H4254" s="41"/>
      <c r="I4254" s="40">
        <v>71.672354948805463</v>
      </c>
      <c r="J4254" s="41">
        <v>0.17395770342696679</v>
      </c>
      <c r="K4254" s="9" t="s">
        <v>5828</v>
      </c>
    </row>
    <row r="4255" spans="1:11" x14ac:dyDescent="0.2">
      <c r="A4255" s="9" t="s">
        <v>57</v>
      </c>
      <c r="B4255" s="9" t="s">
        <v>2059</v>
      </c>
      <c r="C4255" s="9"/>
      <c r="D4255" s="9" t="s">
        <v>82</v>
      </c>
      <c r="E4255" s="38">
        <v>5200</v>
      </c>
      <c r="F4255" s="39">
        <v>0</v>
      </c>
      <c r="G4255" s="40"/>
      <c r="H4255" s="41"/>
      <c r="I4255" s="40">
        <v>39.942307692307693</v>
      </c>
      <c r="J4255" s="41"/>
      <c r="K4255" s="9" t="s">
        <v>5829</v>
      </c>
    </row>
    <row r="4256" spans="1:11" x14ac:dyDescent="0.2">
      <c r="A4256" s="9" t="s">
        <v>57</v>
      </c>
      <c r="B4256" s="9" t="s">
        <v>710</v>
      </c>
      <c r="C4256" s="9"/>
      <c r="D4256" s="9" t="s">
        <v>76</v>
      </c>
      <c r="E4256" s="38">
        <v>2200</v>
      </c>
      <c r="F4256" s="39">
        <v>587482.67000000004</v>
      </c>
      <c r="G4256" s="40">
        <v>267.03757727272728</v>
      </c>
      <c r="H4256" s="41">
        <v>-0.1033178243541681</v>
      </c>
      <c r="I4256" s="40">
        <v>39.869309269090913</v>
      </c>
      <c r="J4256" s="41">
        <v>0.14930224306361239</v>
      </c>
      <c r="K4256" s="9" t="s">
        <v>5830</v>
      </c>
    </row>
    <row r="4257" spans="1:11" x14ac:dyDescent="0.2">
      <c r="A4257" s="9" t="s">
        <v>57</v>
      </c>
      <c r="B4257" s="9" t="s">
        <v>1816</v>
      </c>
      <c r="C4257" s="9"/>
      <c r="D4257" s="9" t="s">
        <v>76</v>
      </c>
      <c r="E4257" s="38">
        <v>6787</v>
      </c>
      <c r="F4257" s="39">
        <v>3954051.44</v>
      </c>
      <c r="G4257" s="40">
        <v>582.59193163400619</v>
      </c>
      <c r="H4257" s="41">
        <v>0.15457955486620989</v>
      </c>
      <c r="I4257" s="40">
        <v>70.415210489465153</v>
      </c>
      <c r="J4257" s="41">
        <v>0.1208654062406431</v>
      </c>
      <c r="K4257" s="9" t="s">
        <v>5831</v>
      </c>
    </row>
    <row r="4258" spans="1:11" x14ac:dyDescent="0.2">
      <c r="A4258" s="9" t="s">
        <v>57</v>
      </c>
      <c r="B4258" s="9" t="s">
        <v>1149</v>
      </c>
      <c r="C4258" s="9"/>
      <c r="D4258" s="9" t="s">
        <v>76</v>
      </c>
      <c r="E4258" s="38">
        <v>18965</v>
      </c>
      <c r="F4258" s="39">
        <v>4238375.28</v>
      </c>
      <c r="G4258" s="40">
        <v>223.48406432902721</v>
      </c>
      <c r="H4258" s="41">
        <v>-1.8403605376407079E-2</v>
      </c>
      <c r="I4258" s="40">
        <v>27.833634590034279</v>
      </c>
      <c r="J4258" s="41">
        <v>0.12454415787362751</v>
      </c>
      <c r="K4258" s="9" t="s">
        <v>5832</v>
      </c>
    </row>
    <row r="4259" spans="1:11" x14ac:dyDescent="0.2">
      <c r="A4259" s="9" t="s">
        <v>57</v>
      </c>
      <c r="B4259" s="9" t="s">
        <v>5833</v>
      </c>
      <c r="C4259" s="9"/>
      <c r="D4259" s="9" t="s">
        <v>80</v>
      </c>
      <c r="E4259" s="38">
        <v>765</v>
      </c>
      <c r="F4259" s="39">
        <v>442608.67</v>
      </c>
      <c r="G4259" s="40">
        <v>578.57342483660125</v>
      </c>
      <c r="H4259" s="41">
        <v>1.1882694775982571E-2</v>
      </c>
      <c r="I4259" s="40">
        <v>183.67909803921569</v>
      </c>
      <c r="J4259" s="41">
        <v>0.3174689506195168</v>
      </c>
      <c r="K4259" s="9" t="s">
        <v>5834</v>
      </c>
    </row>
    <row r="4260" spans="1:11" x14ac:dyDescent="0.2">
      <c r="A4260" s="9" t="s">
        <v>57</v>
      </c>
      <c r="B4260" s="9" t="s">
        <v>4420</v>
      </c>
      <c r="C4260" s="9"/>
      <c r="D4260" s="9" t="s">
        <v>80</v>
      </c>
      <c r="E4260" s="38">
        <v>732</v>
      </c>
      <c r="F4260" s="39">
        <v>764025.66</v>
      </c>
      <c r="G4260" s="40">
        <v>1043.750901639344</v>
      </c>
      <c r="H4260" s="41">
        <v>-1.6271965167336741E-2</v>
      </c>
      <c r="I4260" s="40">
        <v>341.30431803278691</v>
      </c>
      <c r="J4260" s="41">
        <v>0.32699786653762392</v>
      </c>
      <c r="K4260" s="9" t="s">
        <v>5835</v>
      </c>
    </row>
    <row r="4261" spans="1:11" x14ac:dyDescent="0.2">
      <c r="A4261" s="9" t="s">
        <v>57</v>
      </c>
      <c r="B4261" s="9" t="s">
        <v>603</v>
      </c>
      <c r="C4261" s="9"/>
      <c r="D4261" s="9" t="s">
        <v>81</v>
      </c>
      <c r="E4261" s="38">
        <v>7100</v>
      </c>
      <c r="F4261" s="39">
        <v>3980887.61</v>
      </c>
      <c r="G4261" s="40">
        <v>560.68839577464792</v>
      </c>
      <c r="H4261" s="41">
        <v>7.7511961449076017E-2</v>
      </c>
      <c r="I4261" s="40">
        <v>37.149268309859153</v>
      </c>
      <c r="J4261" s="41">
        <v>6.625653141712283E-2</v>
      </c>
      <c r="K4261" s="9" t="s">
        <v>5836</v>
      </c>
    </row>
    <row r="4262" spans="1:11" x14ac:dyDescent="0.2">
      <c r="A4262" s="9" t="s">
        <v>57</v>
      </c>
      <c r="B4262" s="9" t="s">
        <v>317</v>
      </c>
      <c r="C4262" s="9"/>
      <c r="D4262" s="9" t="s">
        <v>76</v>
      </c>
      <c r="E4262" s="38">
        <v>4102</v>
      </c>
      <c r="F4262" s="39">
        <v>2971825.58</v>
      </c>
      <c r="G4262" s="40">
        <v>724.48210141394441</v>
      </c>
      <c r="H4262" s="41">
        <v>0.1919488571422715</v>
      </c>
      <c r="I4262" s="40">
        <v>100.0690150151146</v>
      </c>
      <c r="J4262" s="41">
        <v>0.1381248961427945</v>
      </c>
      <c r="K4262" s="9" t="s">
        <v>5837</v>
      </c>
    </row>
    <row r="4263" spans="1:11" x14ac:dyDescent="0.2">
      <c r="A4263" s="9" t="s">
        <v>57</v>
      </c>
      <c r="B4263" s="9" t="s">
        <v>321</v>
      </c>
      <c r="C4263" s="9"/>
      <c r="D4263" s="9" t="s">
        <v>78</v>
      </c>
      <c r="E4263" s="38">
        <v>1170</v>
      </c>
      <c r="F4263" s="39">
        <v>2309270.96</v>
      </c>
      <c r="G4263" s="40">
        <v>1973.7358632478631</v>
      </c>
      <c r="H4263" s="41">
        <v>8.6857402063254638E-2</v>
      </c>
      <c r="I4263" s="40">
        <v>165.73779623589749</v>
      </c>
      <c r="J4263" s="41">
        <v>8.3971619162439046E-2</v>
      </c>
      <c r="K4263" s="9" t="s">
        <v>5838</v>
      </c>
    </row>
    <row r="4264" spans="1:11" x14ac:dyDescent="0.2">
      <c r="A4264" s="9" t="s">
        <v>57</v>
      </c>
      <c r="B4264" s="9" t="s">
        <v>2248</v>
      </c>
      <c r="C4264" s="9"/>
      <c r="D4264" s="9" t="s">
        <v>76</v>
      </c>
      <c r="E4264" s="38">
        <v>4490</v>
      </c>
      <c r="F4264" s="39">
        <v>1086525</v>
      </c>
      <c r="G4264" s="40">
        <v>241.98775055679289</v>
      </c>
      <c r="H4264" s="41"/>
      <c r="I4264" s="40">
        <v>42.660627527839651</v>
      </c>
      <c r="J4264" s="41">
        <v>0.17629250831780219</v>
      </c>
      <c r="K4264" s="9" t="s">
        <v>5839</v>
      </c>
    </row>
    <row r="4265" spans="1:11" x14ac:dyDescent="0.2">
      <c r="A4265" s="9" t="s">
        <v>57</v>
      </c>
      <c r="B4265" s="9" t="s">
        <v>1282</v>
      </c>
      <c r="C4265" s="9"/>
      <c r="D4265" s="9" t="s">
        <v>80</v>
      </c>
      <c r="E4265" s="38">
        <v>452</v>
      </c>
      <c r="F4265" s="39">
        <v>0</v>
      </c>
      <c r="G4265" s="40"/>
      <c r="H4265" s="41"/>
      <c r="I4265" s="40">
        <v>211.26876106194689</v>
      </c>
      <c r="J4265" s="41"/>
      <c r="K4265" s="9" t="s">
        <v>5840</v>
      </c>
    </row>
    <row r="4266" spans="1:11" x14ac:dyDescent="0.2">
      <c r="A4266" s="9" t="s">
        <v>57</v>
      </c>
      <c r="B4266" s="9" t="s">
        <v>2073</v>
      </c>
      <c r="C4266" s="9"/>
      <c r="D4266" s="9" t="s">
        <v>85</v>
      </c>
      <c r="E4266" s="38">
        <v>75000</v>
      </c>
      <c r="F4266" s="39">
        <v>6656713.4699999997</v>
      </c>
      <c r="G4266" s="40">
        <v>88.756179599999996</v>
      </c>
      <c r="H4266" s="41">
        <v>-4.4914977316695422E-2</v>
      </c>
      <c r="I4266" s="40">
        <v>16</v>
      </c>
      <c r="J4266" s="41">
        <v>0.18026913812770731</v>
      </c>
      <c r="K4266" s="9" t="s">
        <v>5841</v>
      </c>
    </row>
    <row r="4267" spans="1:11" x14ac:dyDescent="0.2">
      <c r="A4267" s="9" t="s">
        <v>57</v>
      </c>
      <c r="B4267" s="9" t="s">
        <v>5842</v>
      </c>
      <c r="C4267" s="9"/>
      <c r="D4267" s="9" t="s">
        <v>81</v>
      </c>
      <c r="E4267" s="38">
        <v>0</v>
      </c>
      <c r="F4267" s="39">
        <v>1409231.68</v>
      </c>
      <c r="G4267" s="40"/>
      <c r="H4267" s="41">
        <v>-0.27915001648102528</v>
      </c>
      <c r="I4267" s="40"/>
      <c r="J4267" s="41">
        <v>0</v>
      </c>
      <c r="K4267" s="9" t="s">
        <v>5843</v>
      </c>
    </row>
    <row r="4268" spans="1:11" x14ac:dyDescent="0.2">
      <c r="A4268" s="9" t="s">
        <v>57</v>
      </c>
      <c r="B4268" s="9" t="s">
        <v>339</v>
      </c>
      <c r="C4268" s="9"/>
      <c r="D4268" s="9" t="s">
        <v>80</v>
      </c>
      <c r="E4268" s="38">
        <v>812</v>
      </c>
      <c r="F4268" s="39">
        <v>1324769.6200000001</v>
      </c>
      <c r="G4268" s="40">
        <v>1631.4896798029561</v>
      </c>
      <c r="H4268" s="41">
        <v>-7.2217202090199967E-2</v>
      </c>
      <c r="I4268" s="40">
        <v>295.72134014778328</v>
      </c>
      <c r="J4268" s="41">
        <v>0.1812584803990297</v>
      </c>
      <c r="K4268" s="9" t="s">
        <v>5844</v>
      </c>
    </row>
    <row r="4269" spans="1:11" x14ac:dyDescent="0.2">
      <c r="A4269" s="9" t="s">
        <v>57</v>
      </c>
      <c r="B4269" s="9" t="s">
        <v>5845</v>
      </c>
      <c r="C4269" s="9"/>
      <c r="D4269" s="9" t="s">
        <v>81</v>
      </c>
      <c r="E4269" s="38">
        <v>5248</v>
      </c>
      <c r="F4269" s="39">
        <v>467852.89</v>
      </c>
      <c r="G4269" s="40">
        <v>89.148797637195131</v>
      </c>
      <c r="H4269" s="41"/>
      <c r="I4269" s="40">
        <v>27.120640243902439</v>
      </c>
      <c r="J4269" s="41">
        <v>0.30421767833901808</v>
      </c>
      <c r="K4269" s="9" t="s">
        <v>5846</v>
      </c>
    </row>
    <row r="4270" spans="1:11" x14ac:dyDescent="0.2">
      <c r="A4270" s="9" t="s">
        <v>57</v>
      </c>
      <c r="B4270" s="9" t="s">
        <v>343</v>
      </c>
      <c r="C4270" s="9"/>
      <c r="D4270" s="9" t="s">
        <v>79</v>
      </c>
      <c r="E4270" s="38">
        <v>5700</v>
      </c>
      <c r="F4270" s="39">
        <v>8924843.8100000005</v>
      </c>
      <c r="G4270" s="40">
        <v>1565.762071929825</v>
      </c>
      <c r="H4270" s="41">
        <v>-9.6609650528653515E-2</v>
      </c>
      <c r="I4270" s="40">
        <v>115.6235558947369</v>
      </c>
      <c r="J4270" s="41">
        <v>7.3844907835983742E-2</v>
      </c>
      <c r="K4270" s="9" t="s">
        <v>5847</v>
      </c>
    </row>
    <row r="4271" spans="1:11" x14ac:dyDescent="0.2">
      <c r="A4271" s="9" t="s">
        <v>57</v>
      </c>
      <c r="B4271" s="9" t="s">
        <v>1296</v>
      </c>
      <c r="C4271" s="9"/>
      <c r="D4271" s="9" t="s">
        <v>82</v>
      </c>
      <c r="E4271" s="38">
        <v>1254</v>
      </c>
      <c r="F4271" s="39">
        <v>403830.92</v>
      </c>
      <c r="G4271" s="40">
        <v>322.03422647527913</v>
      </c>
      <c r="H4271" s="41">
        <v>-7.0826354457783944E-2</v>
      </c>
      <c r="I4271" s="40">
        <v>28.495143856459329</v>
      </c>
      <c r="J4271" s="41">
        <v>8.8484830225481495E-2</v>
      </c>
      <c r="K4271" s="9" t="s">
        <v>5848</v>
      </c>
    </row>
    <row r="4272" spans="1:11" x14ac:dyDescent="0.2">
      <c r="A4272" s="9" t="s">
        <v>57</v>
      </c>
      <c r="B4272" s="9" t="s">
        <v>351</v>
      </c>
      <c r="C4272" s="9"/>
      <c r="D4272" s="9" t="s">
        <v>85</v>
      </c>
      <c r="E4272" s="38">
        <v>2567</v>
      </c>
      <c r="F4272" s="39">
        <v>1776369.36</v>
      </c>
      <c r="G4272" s="40">
        <v>692.00208804051431</v>
      </c>
      <c r="H4272" s="41">
        <v>0.16004777923383559</v>
      </c>
      <c r="I4272" s="40">
        <v>112.5205453837164</v>
      </c>
      <c r="J4272" s="41">
        <v>0.16260145356256309</v>
      </c>
      <c r="K4272" s="9" t="s">
        <v>5849</v>
      </c>
    </row>
    <row r="4273" spans="1:11" x14ac:dyDescent="0.2">
      <c r="A4273" s="9" t="s">
        <v>57</v>
      </c>
      <c r="B4273" s="9" t="s">
        <v>353</v>
      </c>
      <c r="C4273" s="9"/>
      <c r="D4273" s="9" t="s">
        <v>76</v>
      </c>
      <c r="E4273" s="38">
        <v>2472</v>
      </c>
      <c r="F4273" s="39">
        <v>498968.58</v>
      </c>
      <c r="G4273" s="40">
        <v>201.84813106796119</v>
      </c>
      <c r="H4273" s="41">
        <v>-4.7147680867751847E-2</v>
      </c>
      <c r="I4273" s="40">
        <v>14.95478753883495</v>
      </c>
      <c r="J4273" s="41">
        <v>7.4089303971805187E-2</v>
      </c>
      <c r="K4273" s="9" t="s">
        <v>5850</v>
      </c>
    </row>
    <row r="4274" spans="1:11" x14ac:dyDescent="0.2">
      <c r="A4274" s="9" t="s">
        <v>57</v>
      </c>
      <c r="B4274" s="9" t="s">
        <v>355</v>
      </c>
      <c r="C4274" s="9"/>
      <c r="D4274" s="9" t="s">
        <v>82</v>
      </c>
      <c r="E4274" s="38">
        <v>2220</v>
      </c>
      <c r="F4274" s="39">
        <v>2065535.51</v>
      </c>
      <c r="G4274" s="40">
        <v>930.42140090090095</v>
      </c>
      <c r="H4274" s="41">
        <v>-3.2623077144523317E-2</v>
      </c>
      <c r="I4274" s="40">
        <v>143.79904504144139</v>
      </c>
      <c r="J4274" s="41">
        <v>0.15455259831964829</v>
      </c>
      <c r="K4274" s="9" t="s">
        <v>5851</v>
      </c>
    </row>
    <row r="4275" spans="1:11" x14ac:dyDescent="0.2">
      <c r="A4275" s="9" t="s">
        <v>57</v>
      </c>
      <c r="B4275" s="9" t="s">
        <v>538</v>
      </c>
      <c r="C4275" s="9"/>
      <c r="D4275" s="9" t="s">
        <v>80</v>
      </c>
      <c r="E4275" s="38">
        <v>550</v>
      </c>
      <c r="F4275" s="39">
        <v>1257505.33</v>
      </c>
      <c r="G4275" s="40">
        <v>2286.3733272727268</v>
      </c>
      <c r="H4275" s="41"/>
      <c r="I4275" s="40">
        <v>241.6512261818182</v>
      </c>
      <c r="J4275" s="41">
        <v>0.1056919372262223</v>
      </c>
      <c r="K4275" s="9" t="s">
        <v>5852</v>
      </c>
    </row>
    <row r="4276" spans="1:11" x14ac:dyDescent="0.2">
      <c r="A4276" s="9" t="s">
        <v>57</v>
      </c>
      <c r="B4276" s="9" t="s">
        <v>2866</v>
      </c>
      <c r="C4276" s="9"/>
      <c r="D4276" s="9" t="s">
        <v>80</v>
      </c>
      <c r="E4276" s="38">
        <v>732</v>
      </c>
      <c r="F4276" s="39">
        <v>0</v>
      </c>
      <c r="G4276" s="40"/>
      <c r="H4276" s="41"/>
      <c r="I4276" s="40">
        <v>449.67065573770498</v>
      </c>
      <c r="J4276" s="41"/>
      <c r="K4276" s="9" t="s">
        <v>5853</v>
      </c>
    </row>
    <row r="4277" spans="1:11" x14ac:dyDescent="0.2">
      <c r="A4277" s="9" t="s">
        <v>57</v>
      </c>
      <c r="B4277" s="9" t="s">
        <v>2273</v>
      </c>
      <c r="C4277" s="9"/>
      <c r="D4277" s="9" t="s">
        <v>77</v>
      </c>
      <c r="E4277" s="38">
        <v>3161</v>
      </c>
      <c r="F4277" s="39">
        <v>1199878.23</v>
      </c>
      <c r="G4277" s="40">
        <v>379.58817779183801</v>
      </c>
      <c r="H4277" s="41">
        <v>-0.14450326074651729</v>
      </c>
      <c r="I4277" s="40">
        <v>113.2963587447011</v>
      </c>
      <c r="J4277" s="41">
        <v>0.29847177908378258</v>
      </c>
      <c r="K4277" s="9" t="s">
        <v>5854</v>
      </c>
    </row>
    <row r="4278" spans="1:11" x14ac:dyDescent="0.2">
      <c r="A4278" s="9" t="s">
        <v>57</v>
      </c>
      <c r="B4278" s="9" t="s">
        <v>1419</v>
      </c>
      <c r="C4278" s="9"/>
      <c r="D4278" s="9" t="s">
        <v>80</v>
      </c>
      <c r="E4278" s="38">
        <v>745</v>
      </c>
      <c r="F4278" s="39">
        <v>450616.15</v>
      </c>
      <c r="G4278" s="40">
        <v>604.85389261744967</v>
      </c>
      <c r="H4278" s="41">
        <v>-0.17145342814286221</v>
      </c>
      <c r="I4278" s="40">
        <v>127.10652347919461</v>
      </c>
      <c r="J4278" s="41">
        <v>0.21014417701629201</v>
      </c>
      <c r="K4278" s="9" t="s">
        <v>5855</v>
      </c>
    </row>
    <row r="4279" spans="1:11" x14ac:dyDescent="0.2">
      <c r="A4279" s="9" t="s">
        <v>57</v>
      </c>
      <c r="B4279" s="9" t="s">
        <v>357</v>
      </c>
      <c r="C4279" s="9"/>
      <c r="D4279" s="9" t="s">
        <v>76</v>
      </c>
      <c r="E4279" s="38">
        <v>859</v>
      </c>
      <c r="F4279" s="39">
        <v>726961.48</v>
      </c>
      <c r="G4279" s="40">
        <v>846.2881024447031</v>
      </c>
      <c r="H4279" s="41">
        <v>-0.1429750591207809</v>
      </c>
      <c r="I4279" s="40">
        <v>223.05838463329459</v>
      </c>
      <c r="J4279" s="41">
        <v>0.26357263441248641</v>
      </c>
      <c r="K4279" s="9" t="s">
        <v>5856</v>
      </c>
    </row>
    <row r="4280" spans="1:11" x14ac:dyDescent="0.2">
      <c r="A4280" s="9" t="s">
        <v>57</v>
      </c>
      <c r="B4280" s="9" t="s">
        <v>5857</v>
      </c>
      <c r="C4280" s="9"/>
      <c r="D4280" s="9" t="s">
        <v>81</v>
      </c>
      <c r="E4280" s="38">
        <v>544</v>
      </c>
      <c r="F4280" s="39">
        <v>735109.79</v>
      </c>
      <c r="G4280" s="40">
        <v>1351.304761029412</v>
      </c>
      <c r="H4280" s="41">
        <v>0.17463522180074589</v>
      </c>
      <c r="I4280" s="40">
        <v>186.55104189705881</v>
      </c>
      <c r="J4280" s="41">
        <v>0.13805253061858971</v>
      </c>
      <c r="K4280" s="9" t="s">
        <v>5858</v>
      </c>
    </row>
    <row r="4281" spans="1:11" x14ac:dyDescent="0.2">
      <c r="A4281" s="9" t="s">
        <v>57</v>
      </c>
      <c r="B4281" s="9" t="s">
        <v>731</v>
      </c>
      <c r="C4281" s="9"/>
      <c r="D4281" s="9" t="s">
        <v>78</v>
      </c>
      <c r="E4281" s="38">
        <v>1251</v>
      </c>
      <c r="F4281" s="39">
        <v>686489.01</v>
      </c>
      <c r="G4281" s="40">
        <v>548.75220623501195</v>
      </c>
      <c r="H4281" s="41">
        <v>0.17721455924848209</v>
      </c>
      <c r="I4281" s="40">
        <v>134.13391622062349</v>
      </c>
      <c r="J4281" s="41">
        <v>0.24443439989228671</v>
      </c>
      <c r="K4281" s="9" t="s">
        <v>5859</v>
      </c>
    </row>
    <row r="4282" spans="1:11" x14ac:dyDescent="0.2">
      <c r="A4282" s="9" t="s">
        <v>57</v>
      </c>
      <c r="B4282" s="9" t="s">
        <v>2284</v>
      </c>
      <c r="C4282" s="9"/>
      <c r="D4282" s="9" t="s">
        <v>84</v>
      </c>
      <c r="E4282" s="38">
        <v>200</v>
      </c>
      <c r="F4282" s="39">
        <v>98411.64</v>
      </c>
      <c r="G4282" s="40">
        <v>492.0582</v>
      </c>
      <c r="H4282" s="41">
        <v>-0.35671717839881678</v>
      </c>
      <c r="I4282" s="40">
        <v>495.29967198000003</v>
      </c>
      <c r="J4282" s="41">
        <v>1.0065875784206009E-2</v>
      </c>
      <c r="K4282" s="9" t="s">
        <v>5860</v>
      </c>
    </row>
    <row r="4283" spans="1:11" x14ac:dyDescent="0.2">
      <c r="A4283" s="9" t="s">
        <v>57</v>
      </c>
      <c r="B4283" s="9" t="s">
        <v>2284</v>
      </c>
      <c r="C4283" s="9"/>
      <c r="D4283" s="9" t="s">
        <v>84</v>
      </c>
      <c r="E4283" s="38">
        <v>120</v>
      </c>
      <c r="F4283" s="39">
        <v>149431.54999999999</v>
      </c>
      <c r="G4283" s="40">
        <v>1245.262916666667</v>
      </c>
      <c r="H4283" s="41">
        <v>1.13073974886219E-2</v>
      </c>
      <c r="I4283" s="40">
        <v>673.41496659999996</v>
      </c>
      <c r="J4283" s="41">
        <v>0.54078135435254471</v>
      </c>
      <c r="K4283" s="9" t="s">
        <v>5860</v>
      </c>
    </row>
    <row r="4284" spans="1:11" x14ac:dyDescent="0.2">
      <c r="A4284" s="9" t="s">
        <v>57</v>
      </c>
      <c r="B4284" s="9" t="s">
        <v>1173</v>
      </c>
      <c r="C4284" s="9"/>
      <c r="D4284" s="9" t="s">
        <v>81</v>
      </c>
      <c r="E4284" s="38">
        <v>7500</v>
      </c>
      <c r="F4284" s="39">
        <v>3865239.09</v>
      </c>
      <c r="G4284" s="40">
        <v>515.36521199999993</v>
      </c>
      <c r="H4284" s="41">
        <v>-1.8091111972130359E-2</v>
      </c>
      <c r="I4284" s="40">
        <v>52.942421279999998</v>
      </c>
      <c r="J4284" s="41">
        <v>0.1027279685304021</v>
      </c>
      <c r="K4284" s="9" t="s">
        <v>5861</v>
      </c>
    </row>
    <row r="4285" spans="1:11" x14ac:dyDescent="0.2">
      <c r="A4285" s="9" t="s">
        <v>57</v>
      </c>
      <c r="B4285" s="9" t="s">
        <v>550</v>
      </c>
      <c r="C4285" s="9"/>
      <c r="D4285" s="9" t="s">
        <v>76</v>
      </c>
      <c r="E4285" s="38">
        <v>3679</v>
      </c>
      <c r="F4285" s="39">
        <v>842856.99</v>
      </c>
      <c r="G4285" s="40">
        <v>229.09948083718399</v>
      </c>
      <c r="H4285" s="41">
        <v>-9.6698741001817037E-2</v>
      </c>
      <c r="I4285" s="40">
        <v>35.52500103180212</v>
      </c>
      <c r="J4285" s="41">
        <v>0.1550636470322207</v>
      </c>
      <c r="K4285" s="9" t="s">
        <v>5862</v>
      </c>
    </row>
    <row r="4286" spans="1:11" x14ac:dyDescent="0.2">
      <c r="A4286" s="9" t="s">
        <v>57</v>
      </c>
      <c r="B4286" s="9" t="s">
        <v>2288</v>
      </c>
      <c r="C4286" s="9"/>
      <c r="D4286" s="9" t="s">
        <v>78</v>
      </c>
      <c r="E4286" s="38">
        <v>1502</v>
      </c>
      <c r="F4286" s="39">
        <v>234776.22</v>
      </c>
      <c r="G4286" s="40">
        <v>156.30906790945409</v>
      </c>
      <c r="H4286" s="41"/>
      <c r="I4286" s="40">
        <v>83.11253209054594</v>
      </c>
      <c r="J4286" s="41">
        <v>0.53171919711459703</v>
      </c>
      <c r="K4286" s="9" t="s">
        <v>5863</v>
      </c>
    </row>
    <row r="4287" spans="1:11" x14ac:dyDescent="0.2">
      <c r="A4287" s="9" t="s">
        <v>57</v>
      </c>
      <c r="B4287" s="9" t="s">
        <v>3830</v>
      </c>
      <c r="C4287" s="9"/>
      <c r="D4287" s="9" t="s">
        <v>81</v>
      </c>
      <c r="E4287" s="38">
        <v>5115</v>
      </c>
      <c r="F4287" s="39">
        <v>2248102.16</v>
      </c>
      <c r="G4287" s="40">
        <v>439.51166373411542</v>
      </c>
      <c r="H4287" s="41">
        <v>-5.8337573481302467E-2</v>
      </c>
      <c r="I4287" s="40">
        <v>40.108651026392963</v>
      </c>
      <c r="J4287" s="41">
        <v>9.1257307452611472E-2</v>
      </c>
      <c r="K4287" s="9" t="s">
        <v>5864</v>
      </c>
    </row>
    <row r="4288" spans="1:11" x14ac:dyDescent="0.2">
      <c r="A4288" s="9" t="s">
        <v>57</v>
      </c>
      <c r="B4288" s="9" t="s">
        <v>369</v>
      </c>
      <c r="C4288" s="9"/>
      <c r="D4288" s="9" t="s">
        <v>84</v>
      </c>
      <c r="E4288" s="38">
        <v>1804</v>
      </c>
      <c r="F4288" s="39">
        <v>0</v>
      </c>
      <c r="G4288" s="40"/>
      <c r="H4288" s="41"/>
      <c r="I4288" s="40">
        <v>187.47809024168521</v>
      </c>
      <c r="J4288" s="41"/>
      <c r="K4288" s="9" t="s">
        <v>5865</v>
      </c>
    </row>
    <row r="4289" spans="1:11" x14ac:dyDescent="0.2">
      <c r="A4289" s="9" t="s">
        <v>57</v>
      </c>
      <c r="B4289" s="9" t="s">
        <v>371</v>
      </c>
      <c r="C4289" s="9"/>
      <c r="D4289" s="9" t="s">
        <v>76</v>
      </c>
      <c r="E4289" s="38">
        <v>2512</v>
      </c>
      <c r="F4289" s="39">
        <v>824968.99</v>
      </c>
      <c r="G4289" s="40">
        <v>328.41122213375797</v>
      </c>
      <c r="H4289" s="41">
        <v>-7.6041696412383439E-2</v>
      </c>
      <c r="I4289" s="40">
        <v>63.115111461783449</v>
      </c>
      <c r="J4289" s="41">
        <v>0.19218317526335149</v>
      </c>
      <c r="K4289" s="9" t="s">
        <v>5866</v>
      </c>
    </row>
    <row r="4290" spans="1:11" x14ac:dyDescent="0.2">
      <c r="A4290" s="9" t="s">
        <v>57</v>
      </c>
      <c r="B4290" s="9" t="s">
        <v>5867</v>
      </c>
      <c r="C4290" s="9"/>
      <c r="D4290" s="9" t="s">
        <v>76</v>
      </c>
      <c r="E4290" s="38">
        <v>1549</v>
      </c>
      <c r="F4290" s="39">
        <v>343208</v>
      </c>
      <c r="G4290" s="40">
        <v>221.56746287927689</v>
      </c>
      <c r="H4290" s="41">
        <v>-0.14174623965875721</v>
      </c>
      <c r="I4290" s="40">
        <v>27.700858613298909</v>
      </c>
      <c r="J4290" s="41">
        <v>0.12502223139320759</v>
      </c>
      <c r="K4290" s="9" t="s">
        <v>5868</v>
      </c>
    </row>
    <row r="4291" spans="1:11" x14ac:dyDescent="0.2">
      <c r="A4291" s="9" t="s">
        <v>57</v>
      </c>
      <c r="B4291" s="9" t="s">
        <v>1975</v>
      </c>
      <c r="C4291" s="9"/>
      <c r="D4291" s="9" t="s">
        <v>77</v>
      </c>
      <c r="E4291" s="38">
        <v>0</v>
      </c>
      <c r="F4291" s="39">
        <v>1436404.27</v>
      </c>
      <c r="G4291" s="40"/>
      <c r="H4291" s="41">
        <v>-8.733350344723655E-3</v>
      </c>
      <c r="I4291" s="40"/>
      <c r="J4291" s="41">
        <v>0</v>
      </c>
      <c r="K4291" s="9" t="s">
        <v>5869</v>
      </c>
    </row>
    <row r="4292" spans="1:11" x14ac:dyDescent="0.2">
      <c r="A4292" s="9" t="s">
        <v>57</v>
      </c>
      <c r="B4292" s="9" t="s">
        <v>5870</v>
      </c>
      <c r="C4292" s="9"/>
      <c r="D4292" s="9" t="s">
        <v>85</v>
      </c>
      <c r="E4292" s="38">
        <v>50000</v>
      </c>
      <c r="F4292" s="39">
        <v>2612075.4</v>
      </c>
      <c r="G4292" s="40">
        <v>52.241508000000003</v>
      </c>
      <c r="H4292" s="41">
        <v>-0.31833712437204542</v>
      </c>
      <c r="I4292" s="40">
        <v>7.4801834399999994</v>
      </c>
      <c r="J4292" s="41">
        <v>0.1431846768282416</v>
      </c>
      <c r="K4292" s="9" t="s">
        <v>5871</v>
      </c>
    </row>
    <row r="4293" spans="1:11" x14ac:dyDescent="0.2">
      <c r="A4293" s="9" t="s">
        <v>57</v>
      </c>
      <c r="B4293" s="9" t="s">
        <v>565</v>
      </c>
      <c r="C4293" s="9"/>
      <c r="D4293" s="9" t="s">
        <v>76</v>
      </c>
      <c r="E4293" s="38">
        <v>12000</v>
      </c>
      <c r="F4293" s="39">
        <v>1960952.12</v>
      </c>
      <c r="G4293" s="40">
        <v>163.4126766666667</v>
      </c>
      <c r="H4293" s="41">
        <v>-0.15686956794910531</v>
      </c>
      <c r="I4293" s="40">
        <v>32.301928865999997</v>
      </c>
      <c r="J4293" s="41">
        <v>0.19767088774814151</v>
      </c>
      <c r="K4293" s="9" t="s">
        <v>5872</v>
      </c>
    </row>
    <row r="4294" spans="1:11" x14ac:dyDescent="0.2">
      <c r="A4294" s="9" t="s">
        <v>57</v>
      </c>
      <c r="B4294" s="9" t="s">
        <v>384</v>
      </c>
      <c r="C4294" s="9"/>
      <c r="D4294" s="9" t="s">
        <v>77</v>
      </c>
      <c r="E4294" s="38">
        <v>3009</v>
      </c>
      <c r="F4294" s="39">
        <v>720398.12</v>
      </c>
      <c r="G4294" s="40">
        <v>239.41446327683619</v>
      </c>
      <c r="H4294" s="41">
        <v>-3.779825415344213E-2</v>
      </c>
      <c r="I4294" s="40">
        <v>66.407191756729802</v>
      </c>
      <c r="J4294" s="41">
        <v>0.27737335016365672</v>
      </c>
      <c r="K4294" s="9" t="s">
        <v>5873</v>
      </c>
    </row>
    <row r="4295" spans="1:11" x14ac:dyDescent="0.2">
      <c r="A4295" s="9" t="s">
        <v>57</v>
      </c>
      <c r="B4295" s="9" t="s">
        <v>388</v>
      </c>
      <c r="C4295" s="9"/>
      <c r="D4295" s="9" t="s">
        <v>76</v>
      </c>
      <c r="E4295" s="38">
        <v>11933</v>
      </c>
      <c r="F4295" s="39">
        <v>3504187.57</v>
      </c>
      <c r="G4295" s="40">
        <v>293.65520573200371</v>
      </c>
      <c r="H4295" s="41">
        <v>-4.6505887517358881E-2</v>
      </c>
      <c r="I4295" s="40">
        <v>71.061805178245208</v>
      </c>
      <c r="J4295" s="41">
        <v>0.24199061958090329</v>
      </c>
      <c r="K4295" s="9" t="s">
        <v>5874</v>
      </c>
    </row>
    <row r="4296" spans="1:11" x14ac:dyDescent="0.2">
      <c r="A4296" s="9" t="s">
        <v>57</v>
      </c>
      <c r="B4296" s="9" t="s">
        <v>5875</v>
      </c>
      <c r="C4296" s="9"/>
      <c r="D4296" s="9" t="s">
        <v>80</v>
      </c>
      <c r="E4296" s="38">
        <v>644</v>
      </c>
      <c r="F4296" s="39">
        <v>0</v>
      </c>
      <c r="G4296" s="40"/>
      <c r="H4296" s="41"/>
      <c r="I4296" s="40">
        <v>129.84279503105591</v>
      </c>
      <c r="J4296" s="41"/>
      <c r="K4296" s="9" t="s">
        <v>5876</v>
      </c>
    </row>
    <row r="4297" spans="1:11" x14ac:dyDescent="0.2">
      <c r="A4297" s="9" t="s">
        <v>57</v>
      </c>
      <c r="B4297" s="9" t="s">
        <v>741</v>
      </c>
      <c r="C4297" s="9"/>
      <c r="D4297" s="9" t="s">
        <v>80</v>
      </c>
      <c r="E4297" s="38">
        <v>1350</v>
      </c>
      <c r="F4297" s="39">
        <v>550154.23999999999</v>
      </c>
      <c r="G4297" s="40">
        <v>407.52165925925931</v>
      </c>
      <c r="H4297" s="41">
        <v>-0.13375805593816631</v>
      </c>
      <c r="I4297" s="40">
        <v>103.7196933333333</v>
      </c>
      <c r="J4297" s="41">
        <v>0.25451332702625362</v>
      </c>
      <c r="K4297" s="9" t="s">
        <v>5877</v>
      </c>
    </row>
    <row r="4298" spans="1:11" x14ac:dyDescent="0.2">
      <c r="A4298" s="9" t="s">
        <v>57</v>
      </c>
      <c r="B4298" s="9" t="s">
        <v>571</v>
      </c>
      <c r="C4298" s="9"/>
      <c r="D4298" s="9" t="s">
        <v>76</v>
      </c>
      <c r="E4298" s="38">
        <v>3000</v>
      </c>
      <c r="F4298" s="39">
        <v>542626.51</v>
      </c>
      <c r="G4298" s="40">
        <v>180.87550333333331</v>
      </c>
      <c r="H4298" s="41">
        <v>-0.26664014030650179</v>
      </c>
      <c r="I4298" s="40">
        <v>40.377209999999998</v>
      </c>
      <c r="J4298" s="41">
        <v>0.22323205329573739</v>
      </c>
      <c r="K4298" s="9" t="s">
        <v>5878</v>
      </c>
    </row>
    <row r="4299" spans="1:11" x14ac:dyDescent="0.2">
      <c r="A4299" s="9" t="s">
        <v>57</v>
      </c>
      <c r="B4299" s="9" t="s">
        <v>392</v>
      </c>
      <c r="C4299" s="9"/>
      <c r="D4299" s="9" t="s">
        <v>76</v>
      </c>
      <c r="E4299" s="38">
        <v>3602</v>
      </c>
      <c r="F4299" s="39">
        <v>1257038.81</v>
      </c>
      <c r="G4299" s="40">
        <v>348.98356746252091</v>
      </c>
      <c r="H4299" s="41">
        <v>-5.920559591534269E-2</v>
      </c>
      <c r="I4299" s="40">
        <v>55.19553581232649</v>
      </c>
      <c r="J4299" s="41">
        <v>0.1581608446886377</v>
      </c>
      <c r="K4299" s="9" t="s">
        <v>5879</v>
      </c>
    </row>
    <row r="4300" spans="1:11" x14ac:dyDescent="0.2">
      <c r="A4300" s="9" t="s">
        <v>57</v>
      </c>
      <c r="B4300" s="9" t="s">
        <v>574</v>
      </c>
      <c r="C4300" s="9"/>
      <c r="D4300" s="9" t="s">
        <v>82</v>
      </c>
      <c r="E4300" s="38">
        <v>1478</v>
      </c>
      <c r="F4300" s="39">
        <v>568906</v>
      </c>
      <c r="G4300" s="40">
        <v>384.91610284167803</v>
      </c>
      <c r="H4300" s="41">
        <v>-0.21408272690467051</v>
      </c>
      <c r="I4300" s="40">
        <v>117.57074424357241</v>
      </c>
      <c r="J4300" s="41">
        <v>0.30544511745701403</v>
      </c>
      <c r="K4300" s="9" t="s">
        <v>5880</v>
      </c>
    </row>
    <row r="4301" spans="1:11" x14ac:dyDescent="0.2">
      <c r="A4301" s="9" t="s">
        <v>57</v>
      </c>
      <c r="B4301" s="9" t="s">
        <v>579</v>
      </c>
      <c r="C4301" s="9"/>
      <c r="D4301" s="9" t="s">
        <v>76</v>
      </c>
      <c r="E4301" s="38">
        <v>30309</v>
      </c>
      <c r="F4301" s="39">
        <v>5983898.2599999998</v>
      </c>
      <c r="G4301" s="40">
        <v>197.4297489194629</v>
      </c>
      <c r="H4301" s="41">
        <v>-3.1665690986735273E-2</v>
      </c>
      <c r="I4301" s="40">
        <v>31.824832228051068</v>
      </c>
      <c r="J4301" s="41">
        <v>0.16119572861855441</v>
      </c>
      <c r="K4301" s="9" t="s">
        <v>5881</v>
      </c>
    </row>
    <row r="4302" spans="1:11" x14ac:dyDescent="0.2">
      <c r="A4302" s="9" t="s">
        <v>57</v>
      </c>
      <c r="B4302" s="9" t="s">
        <v>398</v>
      </c>
      <c r="C4302" s="9"/>
      <c r="D4302" s="9" t="s">
        <v>76</v>
      </c>
      <c r="E4302" s="38">
        <v>2658</v>
      </c>
      <c r="F4302" s="39">
        <v>954942.79</v>
      </c>
      <c r="G4302" s="40">
        <v>359.27117757712568</v>
      </c>
      <c r="H4302" s="41">
        <v>8.7814745809923669E-2</v>
      </c>
      <c r="I4302" s="40">
        <v>61.4317468758465</v>
      </c>
      <c r="J4302" s="41">
        <v>0.17098991154852319</v>
      </c>
      <c r="K4302" s="9" t="s">
        <v>5882</v>
      </c>
    </row>
    <row r="4303" spans="1:11" x14ac:dyDescent="0.2">
      <c r="A4303" s="9" t="s">
        <v>38</v>
      </c>
      <c r="B4303" s="9" t="s">
        <v>4625</v>
      </c>
      <c r="C4303" s="9"/>
      <c r="D4303" s="9" t="s">
        <v>76</v>
      </c>
      <c r="E4303" s="38">
        <v>4427</v>
      </c>
      <c r="F4303" s="39">
        <v>1304405.0900000001</v>
      </c>
      <c r="G4303" s="40">
        <v>294.64763722611252</v>
      </c>
      <c r="H4303" s="41">
        <v>-0.1218507357695819</v>
      </c>
      <c r="I4303" s="40">
        <v>41.279204969505308</v>
      </c>
      <c r="J4303" s="41">
        <v>0.14009684706152131</v>
      </c>
      <c r="K4303" s="9" t="s">
        <v>5883</v>
      </c>
    </row>
    <row r="4304" spans="1:11" x14ac:dyDescent="0.2">
      <c r="A4304" s="9" t="s">
        <v>38</v>
      </c>
      <c r="B4304" s="9" t="s">
        <v>981</v>
      </c>
      <c r="C4304" s="9"/>
      <c r="D4304" s="9" t="s">
        <v>76</v>
      </c>
      <c r="E4304" s="38">
        <v>10533</v>
      </c>
      <c r="F4304" s="39">
        <v>6049081.2599999998</v>
      </c>
      <c r="G4304" s="40">
        <v>574.29804044431785</v>
      </c>
      <c r="H4304" s="41">
        <v>8.1699085736053445E-2</v>
      </c>
      <c r="I4304" s="40">
        <v>57.429747080603811</v>
      </c>
      <c r="J4304" s="41">
        <v>9.9999900811383713E-2</v>
      </c>
      <c r="K4304" s="9" t="s">
        <v>5884</v>
      </c>
    </row>
    <row r="4305" spans="1:11" x14ac:dyDescent="0.2">
      <c r="A4305" s="9" t="s">
        <v>38</v>
      </c>
      <c r="B4305" s="9" t="s">
        <v>169</v>
      </c>
      <c r="C4305" s="9"/>
      <c r="D4305" s="9" t="s">
        <v>76</v>
      </c>
      <c r="E4305" s="38">
        <v>9821</v>
      </c>
      <c r="F4305" s="39">
        <v>8509695.8900000006</v>
      </c>
      <c r="G4305" s="40">
        <v>866.47957336320133</v>
      </c>
      <c r="H4305" s="41">
        <v>5.3587872471515037E-2</v>
      </c>
      <c r="I4305" s="40">
        <v>93.277790408308732</v>
      </c>
      <c r="J4305" s="41">
        <v>0.1076514591639537</v>
      </c>
      <c r="K4305" s="9" t="s">
        <v>5885</v>
      </c>
    </row>
    <row r="4306" spans="1:11" x14ac:dyDescent="0.2">
      <c r="A4306" s="9" t="s">
        <v>38</v>
      </c>
      <c r="B4306" s="9" t="s">
        <v>406</v>
      </c>
      <c r="C4306" s="9"/>
      <c r="D4306" s="9" t="s">
        <v>76</v>
      </c>
      <c r="E4306" s="38">
        <v>4432</v>
      </c>
      <c r="F4306" s="39">
        <v>1114505</v>
      </c>
      <c r="G4306" s="40">
        <v>251.4677346570397</v>
      </c>
      <c r="H4306" s="41">
        <v>-5.8043930108374463E-2</v>
      </c>
      <c r="I4306" s="40">
        <v>34.972924277978343</v>
      </c>
      <c r="J4306" s="41">
        <v>0.1390751951763339</v>
      </c>
      <c r="K4306" s="9" t="s">
        <v>5886</v>
      </c>
    </row>
    <row r="4307" spans="1:11" x14ac:dyDescent="0.2">
      <c r="A4307" s="9" t="s">
        <v>38</v>
      </c>
      <c r="B4307" s="9" t="s">
        <v>87</v>
      </c>
      <c r="C4307" s="9"/>
      <c r="D4307" s="9" t="s">
        <v>87</v>
      </c>
      <c r="E4307" s="38">
        <v>9980</v>
      </c>
      <c r="F4307" s="39">
        <v>56774523.600000001</v>
      </c>
      <c r="G4307" s="40">
        <v>5688.8300200400799</v>
      </c>
      <c r="H4307" s="41">
        <v>0.1092588229451097</v>
      </c>
      <c r="I4307" s="40">
        <v>53.779164288577157</v>
      </c>
      <c r="J4307" s="41">
        <v>9.4534665474498153E-3</v>
      </c>
      <c r="K4307" s="9" t="s">
        <v>5887</v>
      </c>
    </row>
    <row r="4308" spans="1:11" x14ac:dyDescent="0.2">
      <c r="A4308" s="9" t="s">
        <v>38</v>
      </c>
      <c r="B4308" s="9" t="s">
        <v>173</v>
      </c>
      <c r="C4308" s="9"/>
      <c r="D4308" s="9" t="s">
        <v>80</v>
      </c>
      <c r="E4308" s="38">
        <v>1</v>
      </c>
      <c r="F4308" s="39">
        <v>0</v>
      </c>
      <c r="G4308" s="40"/>
      <c r="H4308" s="41"/>
      <c r="I4308" s="40">
        <v>120499.37880000001</v>
      </c>
      <c r="J4308" s="41"/>
      <c r="K4308" s="9" t="s">
        <v>5888</v>
      </c>
    </row>
    <row r="4309" spans="1:11" x14ac:dyDescent="0.2">
      <c r="A4309" s="9" t="s">
        <v>38</v>
      </c>
      <c r="B4309" s="9" t="s">
        <v>173</v>
      </c>
      <c r="C4309" s="9"/>
      <c r="D4309" s="9" t="s">
        <v>80</v>
      </c>
      <c r="E4309" s="38">
        <v>280</v>
      </c>
      <c r="F4309" s="39">
        <v>851574.17000000016</v>
      </c>
      <c r="G4309" s="40">
        <v>3041.3363214285719</v>
      </c>
      <c r="H4309" s="41">
        <v>0.12511037402988309</v>
      </c>
      <c r="I4309" s="40">
        <v>424.33218785714303</v>
      </c>
      <c r="J4309" s="41">
        <v>0.13952162569703119</v>
      </c>
      <c r="K4309" s="9" t="s">
        <v>5888</v>
      </c>
    </row>
    <row r="4310" spans="1:11" x14ac:dyDescent="0.2">
      <c r="A4310" s="9" t="s">
        <v>38</v>
      </c>
      <c r="B4310" s="9" t="s">
        <v>173</v>
      </c>
      <c r="C4310" s="9"/>
      <c r="D4310" s="9" t="s">
        <v>80</v>
      </c>
      <c r="E4310" s="38">
        <v>300</v>
      </c>
      <c r="F4310" s="39">
        <v>1240999.25</v>
      </c>
      <c r="G4310" s="40">
        <v>4136.6641666666656</v>
      </c>
      <c r="H4310" s="41">
        <v>9.4881884620801424E-2</v>
      </c>
      <c r="I4310" s="40">
        <v>171.7635573333333</v>
      </c>
      <c r="J4310" s="41">
        <v>4.1522238792650358E-2</v>
      </c>
      <c r="K4310" s="9" t="s">
        <v>5888</v>
      </c>
    </row>
    <row r="4311" spans="1:11" x14ac:dyDescent="0.2">
      <c r="A4311" s="9" t="s">
        <v>38</v>
      </c>
      <c r="B4311" s="9" t="s">
        <v>661</v>
      </c>
      <c r="C4311" s="9"/>
      <c r="D4311" s="9" t="s">
        <v>76</v>
      </c>
      <c r="E4311" s="38">
        <v>7194</v>
      </c>
      <c r="F4311" s="39">
        <v>1094979.82</v>
      </c>
      <c r="G4311" s="40">
        <v>152.20737003058099</v>
      </c>
      <c r="H4311" s="41">
        <v>-2.1045042259385031E-2</v>
      </c>
      <c r="I4311" s="40">
        <v>19.78695810397554</v>
      </c>
      <c r="J4311" s="41">
        <v>0.13</v>
      </c>
      <c r="K4311" s="9" t="s">
        <v>5889</v>
      </c>
    </row>
    <row r="4312" spans="1:11" x14ac:dyDescent="0.2">
      <c r="A4312" s="9" t="s">
        <v>38</v>
      </c>
      <c r="B4312" s="9" t="s">
        <v>177</v>
      </c>
      <c r="C4312" s="9"/>
      <c r="D4312" s="9" t="s">
        <v>85</v>
      </c>
      <c r="E4312" s="38">
        <v>30000</v>
      </c>
      <c r="F4312" s="39">
        <v>0</v>
      </c>
      <c r="G4312" s="40"/>
      <c r="H4312" s="41">
        <v>5.4713141160418711E-3</v>
      </c>
      <c r="I4312" s="40">
        <v>17.5</v>
      </c>
      <c r="J4312" s="41"/>
      <c r="K4312" s="9" t="s">
        <v>5890</v>
      </c>
    </row>
    <row r="4313" spans="1:11" x14ac:dyDescent="0.2">
      <c r="A4313" s="9" t="s">
        <v>38</v>
      </c>
      <c r="B4313" s="9" t="s">
        <v>179</v>
      </c>
      <c r="C4313" s="9"/>
      <c r="D4313" s="9" t="s">
        <v>79</v>
      </c>
      <c r="E4313" s="38">
        <v>4992</v>
      </c>
      <c r="F4313" s="39">
        <v>5279385</v>
      </c>
      <c r="G4313" s="40">
        <v>1057.5691105769231</v>
      </c>
      <c r="H4313" s="41">
        <v>-0.13272077658357381</v>
      </c>
      <c r="I4313" s="40">
        <v>87.3899139423077</v>
      </c>
      <c r="J4313" s="41">
        <v>8.2632816208706134E-2</v>
      </c>
      <c r="K4313" s="9" t="s">
        <v>5891</v>
      </c>
    </row>
    <row r="4314" spans="1:11" x14ac:dyDescent="0.2">
      <c r="A4314" s="9" t="s">
        <v>38</v>
      </c>
      <c r="B4314" s="9" t="s">
        <v>420</v>
      </c>
      <c r="C4314" s="9"/>
      <c r="D4314" s="9" t="s">
        <v>78</v>
      </c>
      <c r="E4314" s="38">
        <v>1152</v>
      </c>
      <c r="F4314" s="39">
        <v>789159.88</v>
      </c>
      <c r="G4314" s="40">
        <v>685.0346180555556</v>
      </c>
      <c r="H4314" s="41">
        <v>2.1018372234893959E-2</v>
      </c>
      <c r="I4314" s="40">
        <v>120.3132416666667</v>
      </c>
      <c r="J4314" s="41">
        <v>0.17563089294402551</v>
      </c>
      <c r="K4314" s="9" t="s">
        <v>5892</v>
      </c>
    </row>
    <row r="4315" spans="1:11" x14ac:dyDescent="0.2">
      <c r="A4315" s="9" t="s">
        <v>38</v>
      </c>
      <c r="B4315" s="9" t="s">
        <v>422</v>
      </c>
      <c r="C4315" s="9"/>
      <c r="D4315" s="9" t="s">
        <v>83</v>
      </c>
      <c r="E4315" s="38">
        <v>528</v>
      </c>
      <c r="F4315" s="39">
        <v>112615.41</v>
      </c>
      <c r="G4315" s="40">
        <v>213.28676136363629</v>
      </c>
      <c r="H4315" s="41">
        <v>-0.34078831416358218</v>
      </c>
      <c r="I4315" s="40">
        <v>155.06587045454549</v>
      </c>
      <c r="J4315" s="41">
        <v>0.72702998284160236</v>
      </c>
      <c r="K4315" s="9" t="s">
        <v>5893</v>
      </c>
    </row>
    <row r="4316" spans="1:11" x14ac:dyDescent="0.2">
      <c r="A4316" s="9" t="s">
        <v>38</v>
      </c>
      <c r="B4316" s="9" t="s">
        <v>191</v>
      </c>
      <c r="C4316" s="9"/>
      <c r="D4316" s="9" t="s">
        <v>76</v>
      </c>
      <c r="E4316" s="38">
        <v>5521</v>
      </c>
      <c r="F4316" s="39">
        <v>2805307.59</v>
      </c>
      <c r="G4316" s="40">
        <v>508.11584676689012</v>
      </c>
      <c r="H4316" s="41">
        <v>-2.2170202912947319E-3</v>
      </c>
      <c r="I4316" s="40">
        <v>61.579516446295962</v>
      </c>
      <c r="J4316" s="41">
        <v>0.1211918833827416</v>
      </c>
      <c r="K4316" s="9" t="s">
        <v>5894</v>
      </c>
    </row>
    <row r="4317" spans="1:11" x14ac:dyDescent="0.2">
      <c r="A4317" s="9" t="s">
        <v>38</v>
      </c>
      <c r="B4317" s="9" t="s">
        <v>193</v>
      </c>
      <c r="C4317" s="9"/>
      <c r="D4317" s="9" t="s">
        <v>82</v>
      </c>
      <c r="E4317" s="38">
        <v>2805</v>
      </c>
      <c r="F4317" s="39">
        <v>1884110.91</v>
      </c>
      <c r="G4317" s="40">
        <v>671.69729411764706</v>
      </c>
      <c r="H4317" s="41">
        <v>6.2917638902439496E-2</v>
      </c>
      <c r="I4317" s="40">
        <v>112.6892367914439</v>
      </c>
      <c r="J4317" s="41">
        <v>0.16776788856872549</v>
      </c>
      <c r="K4317" s="9" t="s">
        <v>5895</v>
      </c>
    </row>
    <row r="4318" spans="1:11" x14ac:dyDescent="0.2">
      <c r="A4318" s="9" t="s">
        <v>38</v>
      </c>
      <c r="B4318" s="9" t="s">
        <v>426</v>
      </c>
      <c r="C4318" s="9"/>
      <c r="D4318" s="9" t="s">
        <v>81</v>
      </c>
      <c r="E4318" s="38">
        <v>5000</v>
      </c>
      <c r="F4318" s="39">
        <v>4115087.3599999999</v>
      </c>
      <c r="G4318" s="40">
        <v>823.01747200000011</v>
      </c>
      <c r="H4318" s="41">
        <v>0.30979435926626703</v>
      </c>
      <c r="I4318" s="40">
        <v>110.73823914</v>
      </c>
      <c r="J4318" s="41">
        <v>0.13455150456392739</v>
      </c>
      <c r="K4318" s="9" t="s">
        <v>5896</v>
      </c>
    </row>
    <row r="4319" spans="1:11" x14ac:dyDescent="0.2">
      <c r="A4319" s="9" t="s">
        <v>38</v>
      </c>
      <c r="B4319" s="9" t="s">
        <v>3969</v>
      </c>
      <c r="C4319" s="9"/>
      <c r="D4319" s="9" t="s">
        <v>76</v>
      </c>
      <c r="E4319" s="38">
        <v>4961</v>
      </c>
      <c r="F4319" s="39">
        <v>1219697</v>
      </c>
      <c r="G4319" s="40">
        <v>245.8570852650675</v>
      </c>
      <c r="H4319" s="41">
        <v>8.3667807045903084E-2</v>
      </c>
      <c r="I4319" s="40">
        <v>39.04453448901431</v>
      </c>
      <c r="J4319" s="41">
        <v>0.15880988114261169</v>
      </c>
      <c r="K4319" s="9" t="s">
        <v>5897</v>
      </c>
    </row>
    <row r="4320" spans="1:11" x14ac:dyDescent="0.2">
      <c r="A4320" s="9" t="s">
        <v>38</v>
      </c>
      <c r="B4320" s="9" t="s">
        <v>5898</v>
      </c>
      <c r="C4320" s="9"/>
      <c r="D4320" s="9" t="s">
        <v>83</v>
      </c>
      <c r="E4320" s="38">
        <v>5028</v>
      </c>
      <c r="F4320" s="39">
        <v>0</v>
      </c>
      <c r="G4320" s="40"/>
      <c r="H4320" s="41"/>
      <c r="I4320" s="40">
        <v>86.25</v>
      </c>
      <c r="J4320" s="41"/>
      <c r="K4320" s="9" t="s">
        <v>5899</v>
      </c>
    </row>
    <row r="4321" spans="1:11" x14ac:dyDescent="0.2">
      <c r="A4321" s="9" t="s">
        <v>38</v>
      </c>
      <c r="B4321" s="9" t="s">
        <v>200</v>
      </c>
      <c r="C4321" s="9"/>
      <c r="D4321" s="9" t="s">
        <v>77</v>
      </c>
      <c r="E4321" s="38">
        <v>4286</v>
      </c>
      <c r="F4321" s="39">
        <v>2447586.4</v>
      </c>
      <c r="G4321" s="40">
        <v>571.06542230517971</v>
      </c>
      <c r="H4321" s="41">
        <v>-2.833835891454238E-2</v>
      </c>
      <c r="I4321" s="40">
        <v>85.104675688287458</v>
      </c>
      <c r="J4321" s="41">
        <v>0.14902789131366309</v>
      </c>
      <c r="K4321" s="9" t="s">
        <v>5900</v>
      </c>
    </row>
    <row r="4322" spans="1:11" x14ac:dyDescent="0.2">
      <c r="A4322" s="9" t="s">
        <v>38</v>
      </c>
      <c r="B4322" s="9" t="s">
        <v>202</v>
      </c>
      <c r="C4322" s="9"/>
      <c r="D4322" s="9" t="s">
        <v>81</v>
      </c>
      <c r="E4322" s="38">
        <v>575</v>
      </c>
      <c r="F4322" s="39">
        <v>2221538.65</v>
      </c>
      <c r="G4322" s="40">
        <v>3863.5454782608699</v>
      </c>
      <c r="H4322" s="41">
        <v>-1.5248881970905379E-2</v>
      </c>
      <c r="I4322" s="40">
        <v>373.48282226086963</v>
      </c>
      <c r="J4322" s="41">
        <v>9.6668416189833101E-2</v>
      </c>
      <c r="K4322" s="9" t="s">
        <v>5901</v>
      </c>
    </row>
    <row r="4323" spans="1:11" x14ac:dyDescent="0.2">
      <c r="A4323" s="9" t="s">
        <v>38</v>
      </c>
      <c r="B4323" s="9" t="s">
        <v>877</v>
      </c>
      <c r="C4323" s="9"/>
      <c r="D4323" s="9" t="s">
        <v>76</v>
      </c>
      <c r="E4323" s="38">
        <v>5275</v>
      </c>
      <c r="F4323" s="39">
        <v>1479291.08</v>
      </c>
      <c r="G4323" s="40">
        <v>280.43432796208532</v>
      </c>
      <c r="H4323" s="41">
        <v>-4.3775757687074452E-4</v>
      </c>
      <c r="I4323" s="40">
        <v>28.043432796208531</v>
      </c>
      <c r="J4323" s="41">
        <v>0.1</v>
      </c>
      <c r="K4323" s="9" t="s">
        <v>5902</v>
      </c>
    </row>
    <row r="4324" spans="1:11" x14ac:dyDescent="0.2">
      <c r="A4324" s="9" t="s">
        <v>38</v>
      </c>
      <c r="B4324" s="9" t="s">
        <v>432</v>
      </c>
      <c r="C4324" s="9"/>
      <c r="D4324" s="9" t="s">
        <v>81</v>
      </c>
      <c r="E4324" s="38">
        <v>1</v>
      </c>
      <c r="F4324" s="39">
        <v>0</v>
      </c>
      <c r="G4324" s="40"/>
      <c r="H4324" s="41"/>
      <c r="I4324" s="40">
        <v>185167.83</v>
      </c>
      <c r="J4324" s="41"/>
      <c r="K4324" s="9" t="s">
        <v>5903</v>
      </c>
    </row>
    <row r="4325" spans="1:11" x14ac:dyDescent="0.2">
      <c r="A4325" s="9" t="s">
        <v>38</v>
      </c>
      <c r="B4325" s="9" t="s">
        <v>432</v>
      </c>
      <c r="C4325" s="9"/>
      <c r="D4325" s="9" t="s">
        <v>81</v>
      </c>
      <c r="E4325" s="38">
        <v>867</v>
      </c>
      <c r="F4325" s="39">
        <v>2990620.16</v>
      </c>
      <c r="G4325" s="40">
        <v>3449.3888811995389</v>
      </c>
      <c r="H4325" s="41">
        <v>-7.1173728421680169E-2</v>
      </c>
      <c r="I4325" s="40">
        <v>56.790322491349492</v>
      </c>
      <c r="J4325" s="41">
        <v>1.6463879384802919E-2</v>
      </c>
      <c r="K4325" s="9" t="s">
        <v>5903</v>
      </c>
    </row>
    <row r="4326" spans="1:11" x14ac:dyDescent="0.2">
      <c r="A4326" s="9" t="s">
        <v>38</v>
      </c>
      <c r="B4326" s="9" t="s">
        <v>759</v>
      </c>
      <c r="C4326" s="9"/>
      <c r="D4326" s="9" t="s">
        <v>76</v>
      </c>
      <c r="E4326" s="38">
        <v>3000</v>
      </c>
      <c r="F4326" s="39">
        <v>766524.81</v>
      </c>
      <c r="G4326" s="40">
        <v>255.50827000000001</v>
      </c>
      <c r="H4326" s="41">
        <v>-3.5909514324067138E-2</v>
      </c>
      <c r="I4326" s="40">
        <v>93.488507199999987</v>
      </c>
      <c r="J4326" s="41">
        <v>0.36589229460165812</v>
      </c>
      <c r="K4326" s="9" t="s">
        <v>5904</v>
      </c>
    </row>
    <row r="4327" spans="1:11" x14ac:dyDescent="0.2">
      <c r="A4327" s="9" t="s">
        <v>38</v>
      </c>
      <c r="B4327" s="9" t="s">
        <v>204</v>
      </c>
      <c r="C4327" s="9"/>
      <c r="D4327" s="9" t="s">
        <v>81</v>
      </c>
      <c r="E4327" s="38">
        <v>1100</v>
      </c>
      <c r="F4327" s="39">
        <v>1128567.1200000001</v>
      </c>
      <c r="G4327" s="40">
        <v>1025.9701090909091</v>
      </c>
      <c r="H4327" s="41">
        <v>5.5495546423788997E-2</v>
      </c>
      <c r="I4327" s="40">
        <v>37.090000000000003</v>
      </c>
      <c r="J4327" s="41">
        <v>3.6151150673253717E-2</v>
      </c>
      <c r="K4327" s="9" t="s">
        <v>5905</v>
      </c>
    </row>
    <row r="4328" spans="1:11" x14ac:dyDescent="0.2">
      <c r="A4328" s="9" t="s">
        <v>38</v>
      </c>
      <c r="B4328" s="9" t="s">
        <v>208</v>
      </c>
      <c r="C4328" s="9"/>
      <c r="D4328" s="9" t="s">
        <v>78</v>
      </c>
      <c r="E4328" s="38">
        <v>1916</v>
      </c>
      <c r="F4328" s="39">
        <v>1142167.1200000001</v>
      </c>
      <c r="G4328" s="40">
        <v>596.1206263048017</v>
      </c>
      <c r="H4328" s="41">
        <v>-3.9345546326737868E-2</v>
      </c>
      <c r="I4328" s="40">
        <v>83.456887891440516</v>
      </c>
      <c r="J4328" s="41">
        <v>0.14000000035021151</v>
      </c>
      <c r="K4328" s="9" t="s">
        <v>5906</v>
      </c>
    </row>
    <row r="4329" spans="1:11" x14ac:dyDescent="0.2">
      <c r="A4329" s="9" t="s">
        <v>38</v>
      </c>
      <c r="B4329" s="9" t="s">
        <v>766</v>
      </c>
      <c r="C4329" s="9"/>
      <c r="D4329" s="9" t="s">
        <v>86</v>
      </c>
      <c r="E4329" s="38">
        <v>81952</v>
      </c>
      <c r="F4329" s="39">
        <v>0</v>
      </c>
      <c r="G4329" s="40"/>
      <c r="H4329" s="41">
        <v>0.1075799564962739</v>
      </c>
      <c r="I4329" s="40">
        <v>14.720000004880911</v>
      </c>
      <c r="J4329" s="41"/>
      <c r="K4329" s="9" t="s">
        <v>5907</v>
      </c>
    </row>
    <row r="4330" spans="1:11" x14ac:dyDescent="0.2">
      <c r="A4330" s="9" t="s">
        <v>38</v>
      </c>
      <c r="B4330" s="9" t="s">
        <v>1001</v>
      </c>
      <c r="C4330" s="9"/>
      <c r="D4330" s="9" t="s">
        <v>76</v>
      </c>
      <c r="E4330" s="38">
        <v>3500</v>
      </c>
      <c r="F4330" s="39">
        <v>0</v>
      </c>
      <c r="G4330" s="40"/>
      <c r="H4330" s="41">
        <v>-6.1000736560641684E-3</v>
      </c>
      <c r="I4330" s="40">
        <v>69.31585268571429</v>
      </c>
      <c r="J4330" s="41"/>
      <c r="K4330" s="9" t="s">
        <v>5908</v>
      </c>
    </row>
    <row r="4331" spans="1:11" x14ac:dyDescent="0.2">
      <c r="A4331" s="9" t="s">
        <v>38</v>
      </c>
      <c r="B4331" s="9" t="s">
        <v>445</v>
      </c>
      <c r="C4331" s="9"/>
      <c r="D4331" s="9" t="s">
        <v>82</v>
      </c>
      <c r="E4331" s="38">
        <v>2596</v>
      </c>
      <c r="F4331" s="39">
        <v>513535.39000000007</v>
      </c>
      <c r="G4331" s="40">
        <v>197.81794684129429</v>
      </c>
      <c r="H4331" s="41">
        <v>-0.1181671863141984</v>
      </c>
      <c r="I4331" s="40">
        <v>38.073189522342062</v>
      </c>
      <c r="J4331" s="41">
        <v>0.19246580065299879</v>
      </c>
      <c r="K4331" s="9" t="s">
        <v>5909</v>
      </c>
    </row>
    <row r="4332" spans="1:11" x14ac:dyDescent="0.2">
      <c r="A4332" s="9" t="s">
        <v>38</v>
      </c>
      <c r="B4332" s="9" t="s">
        <v>1106</v>
      </c>
      <c r="C4332" s="9"/>
      <c r="D4332" s="9" t="s">
        <v>83</v>
      </c>
      <c r="E4332" s="38">
        <v>2281</v>
      </c>
      <c r="F4332" s="39">
        <v>0</v>
      </c>
      <c r="G4332" s="40"/>
      <c r="H4332" s="41"/>
      <c r="I4332" s="40">
        <v>26.221446733888651</v>
      </c>
      <c r="J4332" s="41"/>
      <c r="K4332" s="9" t="s">
        <v>5910</v>
      </c>
    </row>
    <row r="4333" spans="1:11" x14ac:dyDescent="0.2">
      <c r="A4333" s="9" t="s">
        <v>38</v>
      </c>
      <c r="B4333" s="9" t="s">
        <v>1231</v>
      </c>
      <c r="C4333" s="9"/>
      <c r="D4333" s="9" t="s">
        <v>76</v>
      </c>
      <c r="E4333" s="38">
        <v>2758</v>
      </c>
      <c r="F4333" s="39">
        <v>1793669.49</v>
      </c>
      <c r="G4333" s="40">
        <v>650.35151921682382</v>
      </c>
      <c r="H4333" s="41">
        <v>6.833279018773257E-2</v>
      </c>
      <c r="I4333" s="40">
        <v>58.134922302791878</v>
      </c>
      <c r="J4333" s="41">
        <v>8.9389999999999997E-2</v>
      </c>
      <c r="K4333" s="9" t="s">
        <v>5911</v>
      </c>
    </row>
    <row r="4334" spans="1:11" x14ac:dyDescent="0.2">
      <c r="A4334" s="9" t="s">
        <v>38</v>
      </c>
      <c r="B4334" s="9" t="s">
        <v>1236</v>
      </c>
      <c r="C4334" s="9"/>
      <c r="D4334" s="9" t="s">
        <v>76</v>
      </c>
      <c r="E4334" s="38">
        <v>3135</v>
      </c>
      <c r="F4334" s="39">
        <v>0</v>
      </c>
      <c r="G4334" s="40"/>
      <c r="H4334" s="41"/>
      <c r="I4334" s="40">
        <v>87.34</v>
      </c>
      <c r="J4334" s="41"/>
      <c r="K4334" s="9" t="s">
        <v>5912</v>
      </c>
    </row>
    <row r="4335" spans="1:11" x14ac:dyDescent="0.2">
      <c r="A4335" s="9" t="s">
        <v>38</v>
      </c>
      <c r="B4335" s="9" t="s">
        <v>235</v>
      </c>
      <c r="C4335" s="9"/>
      <c r="D4335" s="9" t="s">
        <v>77</v>
      </c>
      <c r="E4335" s="38">
        <v>4097</v>
      </c>
      <c r="F4335" s="39">
        <v>3359472.17</v>
      </c>
      <c r="G4335" s="40">
        <v>819.98344398340248</v>
      </c>
      <c r="H4335" s="41">
        <v>-6.2396420887118626E-3</v>
      </c>
      <c r="I4335" s="40">
        <v>97.061393116914829</v>
      </c>
      <c r="J4335" s="41">
        <v>0.1183699425020092</v>
      </c>
      <c r="K4335" s="9" t="s">
        <v>5913</v>
      </c>
    </row>
    <row r="4336" spans="1:11" x14ac:dyDescent="0.2">
      <c r="A4336" s="9" t="s">
        <v>38</v>
      </c>
      <c r="B4336" s="9" t="s">
        <v>456</v>
      </c>
      <c r="C4336" s="9"/>
      <c r="D4336" s="9" t="s">
        <v>76</v>
      </c>
      <c r="E4336" s="38">
        <v>1499</v>
      </c>
      <c r="F4336" s="39">
        <v>772852.35</v>
      </c>
      <c r="G4336" s="40">
        <v>515.57861907938627</v>
      </c>
      <c r="H4336" s="41">
        <v>-6.4115061211964544E-2</v>
      </c>
      <c r="I4336" s="40">
        <v>76.856284723148761</v>
      </c>
      <c r="J4336" s="41">
        <v>0.1490680215955868</v>
      </c>
      <c r="K4336" s="9" t="s">
        <v>5914</v>
      </c>
    </row>
    <row r="4337" spans="1:11" x14ac:dyDescent="0.2">
      <c r="A4337" s="9" t="s">
        <v>38</v>
      </c>
      <c r="B4337" s="9" t="s">
        <v>1788</v>
      </c>
      <c r="C4337" s="9"/>
      <c r="D4337" s="9" t="s">
        <v>76</v>
      </c>
      <c r="E4337" s="38">
        <v>11333</v>
      </c>
      <c r="F4337" s="39">
        <v>2106581.94</v>
      </c>
      <c r="G4337" s="40">
        <v>185.8803441277685</v>
      </c>
      <c r="H4337" s="41">
        <v>-2.8093986012959489E-2</v>
      </c>
      <c r="I4337" s="40">
        <v>24.164444745433681</v>
      </c>
      <c r="J4337" s="41">
        <v>0.13000000004747031</v>
      </c>
      <c r="K4337" s="9" t="s">
        <v>5915</v>
      </c>
    </row>
    <row r="4338" spans="1:11" x14ac:dyDescent="0.2">
      <c r="A4338" s="9" t="s">
        <v>38</v>
      </c>
      <c r="B4338" s="9" t="s">
        <v>461</v>
      </c>
      <c r="C4338" s="9"/>
      <c r="D4338" s="9" t="s">
        <v>76</v>
      </c>
      <c r="E4338" s="38">
        <v>3725</v>
      </c>
      <c r="F4338" s="39">
        <v>4103478.45</v>
      </c>
      <c r="G4338" s="40">
        <v>1101.604953020134</v>
      </c>
      <c r="H4338" s="41"/>
      <c r="I4338" s="40">
        <v>90.293906953020141</v>
      </c>
      <c r="J4338" s="41">
        <v>8.1965777936521156E-2</v>
      </c>
      <c r="K4338" s="9" t="s">
        <v>5916</v>
      </c>
    </row>
    <row r="4339" spans="1:11" x14ac:dyDescent="0.2">
      <c r="A4339" s="9" t="s">
        <v>38</v>
      </c>
      <c r="B4339" s="9" t="s">
        <v>3998</v>
      </c>
      <c r="C4339" s="9"/>
      <c r="D4339" s="9" t="s">
        <v>76</v>
      </c>
      <c r="E4339" s="38">
        <v>3220</v>
      </c>
      <c r="F4339" s="39">
        <v>1336667.92</v>
      </c>
      <c r="G4339" s="40">
        <v>415.11426086956533</v>
      </c>
      <c r="H4339" s="41">
        <v>0.56201217502058021</v>
      </c>
      <c r="I4339" s="40">
        <v>48.465838509316768</v>
      </c>
      <c r="J4339" s="41">
        <v>0.1167530077328406</v>
      </c>
      <c r="K4339" s="9" t="s">
        <v>5917</v>
      </c>
    </row>
    <row r="4340" spans="1:11" x14ac:dyDescent="0.2">
      <c r="A4340" s="9" t="s">
        <v>38</v>
      </c>
      <c r="B4340" s="9" t="s">
        <v>908</v>
      </c>
      <c r="C4340" s="9"/>
      <c r="D4340" s="9" t="s">
        <v>80</v>
      </c>
      <c r="E4340" s="38">
        <v>372</v>
      </c>
      <c r="F4340" s="39">
        <v>653624.26</v>
      </c>
      <c r="G4340" s="40">
        <v>1757.054462365591</v>
      </c>
      <c r="H4340" s="41">
        <v>1.722738851660471E-2</v>
      </c>
      <c r="I4340" s="40">
        <v>301.02</v>
      </c>
      <c r="J4340" s="41">
        <v>0.17132081358179699</v>
      </c>
      <c r="K4340" s="9" t="s">
        <v>5918</v>
      </c>
    </row>
    <row r="4341" spans="1:11" x14ac:dyDescent="0.2">
      <c r="A4341" s="9" t="s">
        <v>38</v>
      </c>
      <c r="B4341" s="9" t="s">
        <v>2803</v>
      </c>
      <c r="C4341" s="9"/>
      <c r="D4341" s="9" t="s">
        <v>81</v>
      </c>
      <c r="E4341" s="38">
        <v>721</v>
      </c>
      <c r="F4341" s="39">
        <v>689025.98999999987</v>
      </c>
      <c r="G4341" s="40">
        <v>955.65324549237152</v>
      </c>
      <c r="H4341" s="41">
        <v>-4.9744282746375231E-3</v>
      </c>
      <c r="I4341" s="40">
        <v>129.06684493758669</v>
      </c>
      <c r="J4341" s="41">
        <v>0.13505614672096769</v>
      </c>
      <c r="K4341" s="9" t="s">
        <v>5919</v>
      </c>
    </row>
    <row r="4342" spans="1:11" x14ac:dyDescent="0.2">
      <c r="A4342" s="9" t="s">
        <v>38</v>
      </c>
      <c r="B4342" s="9" t="s">
        <v>247</v>
      </c>
      <c r="C4342" s="9"/>
      <c r="D4342" s="9" t="s">
        <v>76</v>
      </c>
      <c r="E4342" s="38">
        <v>31529</v>
      </c>
      <c r="F4342" s="39">
        <v>5790745.5199999996</v>
      </c>
      <c r="G4342" s="40">
        <v>183.66410352374001</v>
      </c>
      <c r="H4342" s="41">
        <v>-8.335554213623976E-2</v>
      </c>
      <c r="I4342" s="40">
        <v>15.61144889942592</v>
      </c>
      <c r="J4342" s="41">
        <v>8.5000000543971416E-2</v>
      </c>
      <c r="K4342" s="9" t="s">
        <v>5920</v>
      </c>
    </row>
    <row r="4343" spans="1:11" x14ac:dyDescent="0.2">
      <c r="A4343" s="9" t="s">
        <v>38</v>
      </c>
      <c r="B4343" s="9" t="s">
        <v>249</v>
      </c>
      <c r="C4343" s="9"/>
      <c r="D4343" s="9" t="s">
        <v>82</v>
      </c>
      <c r="E4343" s="38">
        <v>4085</v>
      </c>
      <c r="F4343" s="39">
        <v>944348.02</v>
      </c>
      <c r="G4343" s="40">
        <v>231.17454589963279</v>
      </c>
      <c r="H4343" s="41">
        <v>-6.8123609484150069E-2</v>
      </c>
      <c r="I4343" s="40">
        <v>35.208039069767437</v>
      </c>
      <c r="J4343" s="41">
        <v>0.1523006736436002</v>
      </c>
      <c r="K4343" s="9" t="s">
        <v>5921</v>
      </c>
    </row>
    <row r="4344" spans="1:11" x14ac:dyDescent="0.2">
      <c r="A4344" s="9" t="s">
        <v>38</v>
      </c>
      <c r="B4344" s="9" t="s">
        <v>467</v>
      </c>
      <c r="C4344" s="9"/>
      <c r="D4344" s="9" t="s">
        <v>78</v>
      </c>
      <c r="E4344" s="38">
        <v>1938</v>
      </c>
      <c r="F4344" s="39">
        <v>3667998.8199999989</v>
      </c>
      <c r="G4344" s="40">
        <v>1892.6722497420019</v>
      </c>
      <c r="H4344" s="41">
        <v>0.2162055791582895</v>
      </c>
      <c r="I4344" s="40">
        <v>186.97965531475751</v>
      </c>
      <c r="J4344" s="41">
        <v>9.8791354573009374E-2</v>
      </c>
      <c r="K4344" s="9" t="s">
        <v>5922</v>
      </c>
    </row>
    <row r="4345" spans="1:11" x14ac:dyDescent="0.2">
      <c r="A4345" s="9" t="s">
        <v>38</v>
      </c>
      <c r="B4345" s="9" t="s">
        <v>140</v>
      </c>
      <c r="C4345" s="9"/>
      <c r="D4345" s="9" t="s">
        <v>83</v>
      </c>
      <c r="E4345" s="38">
        <v>6858</v>
      </c>
      <c r="F4345" s="39">
        <v>5185862.37</v>
      </c>
      <c r="G4345" s="40">
        <v>756.17707349081365</v>
      </c>
      <c r="H4345" s="41">
        <v>0.48480524033641648</v>
      </c>
      <c r="I4345" s="40">
        <v>78.202396383785356</v>
      </c>
      <c r="J4345" s="41">
        <v>0.1034181002377817</v>
      </c>
      <c r="K4345" s="9" t="s">
        <v>5923</v>
      </c>
    </row>
    <row r="4346" spans="1:11" x14ac:dyDescent="0.2">
      <c r="A4346" s="9" t="s">
        <v>38</v>
      </c>
      <c r="B4346" s="9" t="s">
        <v>256</v>
      </c>
      <c r="C4346" s="9"/>
      <c r="D4346" s="9" t="s">
        <v>76</v>
      </c>
      <c r="E4346" s="38">
        <v>1590</v>
      </c>
      <c r="F4346" s="39">
        <v>1298203.79</v>
      </c>
      <c r="G4346" s="40">
        <v>816.48037106918252</v>
      </c>
      <c r="H4346" s="41">
        <v>4.2365148378799879E-2</v>
      </c>
      <c r="I4346" s="40">
        <v>114.30725194968559</v>
      </c>
      <c r="J4346" s="41">
        <v>0.14000000000000001</v>
      </c>
      <c r="K4346" s="9" t="s">
        <v>5924</v>
      </c>
    </row>
    <row r="4347" spans="1:11" x14ac:dyDescent="0.2">
      <c r="A4347" s="9" t="s">
        <v>38</v>
      </c>
      <c r="B4347" s="9" t="s">
        <v>5925</v>
      </c>
      <c r="C4347" s="9"/>
      <c r="D4347" s="9" t="s">
        <v>82</v>
      </c>
      <c r="E4347" s="38">
        <v>4560</v>
      </c>
      <c r="F4347" s="39">
        <v>587932.09</v>
      </c>
      <c r="G4347" s="40">
        <v>128.93247587719301</v>
      </c>
      <c r="H4347" s="41">
        <v>-1.8925011109131591E-2</v>
      </c>
      <c r="I4347" s="40">
        <v>15.77</v>
      </c>
      <c r="J4347" s="41">
        <v>0.1223120853974819</v>
      </c>
      <c r="K4347" s="9" t="s">
        <v>5926</v>
      </c>
    </row>
    <row r="4348" spans="1:11" x14ac:dyDescent="0.2">
      <c r="A4348" s="9" t="s">
        <v>38</v>
      </c>
      <c r="B4348" s="9" t="s">
        <v>5927</v>
      </c>
      <c r="C4348" s="9"/>
      <c r="D4348" s="9" t="s">
        <v>81</v>
      </c>
      <c r="E4348" s="38">
        <v>7242</v>
      </c>
      <c r="F4348" s="39">
        <v>4518731.6300000008</v>
      </c>
      <c r="G4348" s="40">
        <v>623.96183789008569</v>
      </c>
      <c r="H4348" s="41">
        <v>-4.5024926748349042E-2</v>
      </c>
      <c r="I4348" s="40">
        <v>70.420944228113797</v>
      </c>
      <c r="J4348" s="41">
        <v>0.112860979553238</v>
      </c>
      <c r="K4348" s="9" t="s">
        <v>5928</v>
      </c>
    </row>
    <row r="4349" spans="1:11" x14ac:dyDescent="0.2">
      <c r="A4349" s="9" t="s">
        <v>38</v>
      </c>
      <c r="B4349" s="9" t="s">
        <v>260</v>
      </c>
      <c r="C4349" s="9"/>
      <c r="D4349" s="9" t="s">
        <v>76</v>
      </c>
      <c r="E4349" s="38">
        <v>4693</v>
      </c>
      <c r="F4349" s="39">
        <v>2002604.34</v>
      </c>
      <c r="G4349" s="40">
        <v>426.721572554869</v>
      </c>
      <c r="H4349" s="41">
        <v>3.5547526998546512E-2</v>
      </c>
      <c r="I4349" s="40">
        <v>74.0606436820797</v>
      </c>
      <c r="J4349" s="41">
        <v>0.17355729929158151</v>
      </c>
      <c r="K4349" s="9" t="s">
        <v>5929</v>
      </c>
    </row>
    <row r="4350" spans="1:11" x14ac:dyDescent="0.2">
      <c r="A4350" s="9" t="s">
        <v>38</v>
      </c>
      <c r="B4350" s="9" t="s">
        <v>473</v>
      </c>
      <c r="C4350" s="9"/>
      <c r="D4350" s="9" t="s">
        <v>86</v>
      </c>
      <c r="E4350" s="38">
        <v>199469</v>
      </c>
      <c r="F4350" s="39">
        <v>0</v>
      </c>
      <c r="G4350" s="40"/>
      <c r="H4350" s="41">
        <v>-9.1617928654970759E-2</v>
      </c>
      <c r="I4350" s="40">
        <v>0.9525089111591275</v>
      </c>
      <c r="J4350" s="41"/>
      <c r="K4350" s="9" t="s">
        <v>5930</v>
      </c>
    </row>
    <row r="4351" spans="1:11" x14ac:dyDescent="0.2">
      <c r="A4351" s="9" t="s">
        <v>38</v>
      </c>
      <c r="B4351" s="9" t="s">
        <v>263</v>
      </c>
      <c r="C4351" s="9"/>
      <c r="D4351" s="9" t="s">
        <v>80</v>
      </c>
      <c r="E4351" s="38">
        <v>755</v>
      </c>
      <c r="F4351" s="39">
        <v>397807.66</v>
      </c>
      <c r="G4351" s="40">
        <v>526.89756291390734</v>
      </c>
      <c r="H4351" s="41">
        <v>-7.1584736622991849E-2</v>
      </c>
      <c r="I4351" s="40">
        <v>65.129430993377483</v>
      </c>
      <c r="J4351" s="41">
        <v>0.123609284949415</v>
      </c>
      <c r="K4351" s="9" t="s">
        <v>5931</v>
      </c>
    </row>
    <row r="4352" spans="1:11" x14ac:dyDescent="0.2">
      <c r="A4352" s="9" t="s">
        <v>38</v>
      </c>
      <c r="B4352" s="9" t="s">
        <v>479</v>
      </c>
      <c r="C4352" s="9"/>
      <c r="D4352" s="9" t="s">
        <v>77</v>
      </c>
      <c r="E4352" s="38">
        <v>7490</v>
      </c>
      <c r="F4352" s="39">
        <v>4589536.2200000007</v>
      </c>
      <c r="G4352" s="40">
        <v>612.75516955941259</v>
      </c>
      <c r="H4352" s="41">
        <v>-0.10282657461791291</v>
      </c>
      <c r="I4352" s="40">
        <v>95.859999893190917</v>
      </c>
      <c r="J4352" s="41">
        <v>0.15644094844947101</v>
      </c>
      <c r="K4352" s="9" t="s">
        <v>5932</v>
      </c>
    </row>
    <row r="4353" spans="1:11" x14ac:dyDescent="0.2">
      <c r="A4353" s="9" t="s">
        <v>38</v>
      </c>
      <c r="B4353" s="9" t="s">
        <v>481</v>
      </c>
      <c r="C4353" s="9"/>
      <c r="D4353" s="9" t="s">
        <v>77</v>
      </c>
      <c r="E4353" s="38">
        <v>1672</v>
      </c>
      <c r="F4353" s="39">
        <v>1591712</v>
      </c>
      <c r="G4353" s="40">
        <v>951.98086124401914</v>
      </c>
      <c r="H4353" s="41">
        <v>3.829344006957458E-2</v>
      </c>
      <c r="I4353" s="40">
        <v>126.4437366028708</v>
      </c>
      <c r="J4353" s="41">
        <v>0.13282172126615871</v>
      </c>
      <c r="K4353" s="9" t="s">
        <v>5933</v>
      </c>
    </row>
    <row r="4354" spans="1:11" x14ac:dyDescent="0.2">
      <c r="A4354" s="9" t="s">
        <v>38</v>
      </c>
      <c r="B4354" s="9" t="s">
        <v>267</v>
      </c>
      <c r="C4354" s="9"/>
      <c r="D4354" s="9" t="s">
        <v>77</v>
      </c>
      <c r="E4354" s="38">
        <v>2976</v>
      </c>
      <c r="F4354" s="39">
        <v>2304262.4300000002</v>
      </c>
      <c r="G4354" s="40">
        <v>774.2817305107526</v>
      </c>
      <c r="H4354" s="41">
        <v>8.934769514720764E-2</v>
      </c>
      <c r="I4354" s="40">
        <v>125.5166927419355</v>
      </c>
      <c r="J4354" s="41">
        <v>0.16210726379807361</v>
      </c>
      <c r="K4354" s="9" t="s">
        <v>5934</v>
      </c>
    </row>
    <row r="4355" spans="1:11" x14ac:dyDescent="0.2">
      <c r="A4355" s="9" t="s">
        <v>38</v>
      </c>
      <c r="B4355" s="9" t="s">
        <v>271</v>
      </c>
      <c r="C4355" s="9"/>
      <c r="D4355" s="9" t="s">
        <v>78</v>
      </c>
      <c r="E4355" s="38">
        <v>1270</v>
      </c>
      <c r="F4355" s="39">
        <v>1058768.3600000001</v>
      </c>
      <c r="G4355" s="40">
        <v>833.67587401574815</v>
      </c>
      <c r="H4355" s="41">
        <v>-0.14472608232589509</v>
      </c>
      <c r="I4355" s="40">
        <v>223.5590929133858</v>
      </c>
      <c r="J4355" s="41">
        <v>0.26816068436348062</v>
      </c>
      <c r="K4355" s="9" t="s">
        <v>5935</v>
      </c>
    </row>
    <row r="4356" spans="1:11" x14ac:dyDescent="0.2">
      <c r="A4356" s="9" t="s">
        <v>38</v>
      </c>
      <c r="B4356" s="9" t="s">
        <v>489</v>
      </c>
      <c r="C4356" s="9"/>
      <c r="D4356" s="9" t="s">
        <v>82</v>
      </c>
      <c r="E4356" s="38">
        <v>2500</v>
      </c>
      <c r="F4356" s="39">
        <v>6769504.75</v>
      </c>
      <c r="G4356" s="40">
        <v>2707.8018999999999</v>
      </c>
      <c r="H4356" s="41">
        <v>7.5436751828298149E-2</v>
      </c>
      <c r="I4356" s="40">
        <v>208.35262320000001</v>
      </c>
      <c r="J4356" s="41">
        <v>7.6945297660068843E-2</v>
      </c>
      <c r="K4356" s="9" t="s">
        <v>5936</v>
      </c>
    </row>
    <row r="4357" spans="1:11" x14ac:dyDescent="0.2">
      <c r="A4357" s="9" t="s">
        <v>38</v>
      </c>
      <c r="B4357" s="9" t="s">
        <v>275</v>
      </c>
      <c r="C4357" s="9"/>
      <c r="D4357" s="9" t="s">
        <v>83</v>
      </c>
      <c r="E4357" s="38">
        <v>2493</v>
      </c>
      <c r="F4357" s="39">
        <v>1583890.59</v>
      </c>
      <c r="G4357" s="40">
        <v>635.33517448856799</v>
      </c>
      <c r="H4357" s="41">
        <v>6.0658481830578599E-2</v>
      </c>
      <c r="I4357" s="40">
        <v>71.338424548736455</v>
      </c>
      <c r="J4357" s="41">
        <v>0.1122847079986756</v>
      </c>
      <c r="K4357" s="9" t="s">
        <v>5937</v>
      </c>
    </row>
    <row r="4358" spans="1:11" x14ac:dyDescent="0.2">
      <c r="A4358" s="9" t="s">
        <v>38</v>
      </c>
      <c r="B4358" s="9" t="s">
        <v>277</v>
      </c>
      <c r="C4358" s="9"/>
      <c r="D4358" s="9" t="s">
        <v>76</v>
      </c>
      <c r="E4358" s="38">
        <v>684</v>
      </c>
      <c r="F4358" s="39">
        <v>616880.69000000006</v>
      </c>
      <c r="G4358" s="40">
        <v>901.87235380116965</v>
      </c>
      <c r="H4358" s="41">
        <v>-4.9950317087794328E-2</v>
      </c>
      <c r="I4358" s="40">
        <v>99.205957602339183</v>
      </c>
      <c r="J4358" s="41">
        <v>0.1099999985410469</v>
      </c>
      <c r="K4358" s="9" t="s">
        <v>5938</v>
      </c>
    </row>
    <row r="4359" spans="1:11" x14ac:dyDescent="0.2">
      <c r="A4359" s="9" t="s">
        <v>38</v>
      </c>
      <c r="B4359" s="9" t="s">
        <v>1262</v>
      </c>
      <c r="C4359" s="9"/>
      <c r="D4359" s="9" t="s">
        <v>79</v>
      </c>
      <c r="E4359" s="38">
        <v>747</v>
      </c>
      <c r="F4359" s="39">
        <v>140858.74</v>
      </c>
      <c r="G4359" s="40">
        <v>188.5659170013387</v>
      </c>
      <c r="H4359" s="41"/>
      <c r="I4359" s="40">
        <v>129.97</v>
      </c>
      <c r="J4359" s="41">
        <v>0.68925499404580792</v>
      </c>
      <c r="K4359" s="9" t="s">
        <v>5939</v>
      </c>
    </row>
    <row r="4360" spans="1:11" x14ac:dyDescent="0.2">
      <c r="A4360" s="9" t="s">
        <v>38</v>
      </c>
      <c r="B4360" s="9" t="s">
        <v>279</v>
      </c>
      <c r="C4360" s="9"/>
      <c r="D4360" s="9" t="s">
        <v>76</v>
      </c>
      <c r="E4360" s="38">
        <v>5215</v>
      </c>
      <c r="F4360" s="39">
        <v>2045989.1</v>
      </c>
      <c r="G4360" s="40">
        <v>392.32772770853308</v>
      </c>
      <c r="H4360" s="41">
        <v>-5.6702938216053721E-3</v>
      </c>
      <c r="I4360" s="40">
        <v>35.793596548418023</v>
      </c>
      <c r="J4360" s="41">
        <v>9.1233920063405999E-2</v>
      </c>
      <c r="K4360" s="9" t="s">
        <v>5940</v>
      </c>
    </row>
    <row r="4361" spans="1:11" x14ac:dyDescent="0.2">
      <c r="A4361" s="9" t="s">
        <v>38</v>
      </c>
      <c r="B4361" s="9" t="s">
        <v>281</v>
      </c>
      <c r="C4361" s="9"/>
      <c r="D4361" s="9" t="s">
        <v>80</v>
      </c>
      <c r="E4361" s="38">
        <v>1687</v>
      </c>
      <c r="F4361" s="39">
        <v>744809.29</v>
      </c>
      <c r="G4361" s="40">
        <v>441.49928275044459</v>
      </c>
      <c r="H4361" s="41">
        <v>3.079495635503899E-2</v>
      </c>
      <c r="I4361" s="40">
        <v>52.97991393005335</v>
      </c>
      <c r="J4361" s="41">
        <v>0.12</v>
      </c>
      <c r="K4361" s="9" t="s">
        <v>5941</v>
      </c>
    </row>
    <row r="4362" spans="1:11" x14ac:dyDescent="0.2">
      <c r="A4362" s="9" t="s">
        <v>38</v>
      </c>
      <c r="B4362" s="9" t="s">
        <v>494</v>
      </c>
      <c r="C4362" s="9"/>
      <c r="D4362" s="9" t="s">
        <v>85</v>
      </c>
      <c r="E4362" s="38">
        <v>1692</v>
      </c>
      <c r="F4362" s="39">
        <v>1845341.55</v>
      </c>
      <c r="G4362" s="40">
        <v>1090.627393617021</v>
      </c>
      <c r="H4362" s="41">
        <v>0.63630768260912252</v>
      </c>
      <c r="I4362" s="40">
        <v>88.435586524822696</v>
      </c>
      <c r="J4362" s="41">
        <v>8.1086892776028388E-2</v>
      </c>
      <c r="K4362" s="9" t="s">
        <v>5942</v>
      </c>
    </row>
    <row r="4363" spans="1:11" x14ac:dyDescent="0.2">
      <c r="A4363" s="9" t="s">
        <v>38</v>
      </c>
      <c r="B4363" s="9" t="s">
        <v>283</v>
      </c>
      <c r="C4363" s="9"/>
      <c r="D4363" s="9" t="s">
        <v>78</v>
      </c>
      <c r="E4363" s="38">
        <v>1316</v>
      </c>
      <c r="F4363" s="39">
        <v>628632.80999999994</v>
      </c>
      <c r="G4363" s="40">
        <v>477.6845060790273</v>
      </c>
      <c r="H4363" s="41">
        <v>-0.71070758701777337</v>
      </c>
      <c r="I4363" s="40">
        <v>51.784130091185411</v>
      </c>
      <c r="J4363" s="41">
        <v>0.1084065516720325</v>
      </c>
      <c r="K4363" s="9" t="s">
        <v>5943</v>
      </c>
    </row>
    <row r="4364" spans="1:11" x14ac:dyDescent="0.2">
      <c r="A4364" s="9" t="s">
        <v>38</v>
      </c>
      <c r="B4364" s="9" t="s">
        <v>285</v>
      </c>
      <c r="C4364" s="9"/>
      <c r="D4364" s="9" t="s">
        <v>76</v>
      </c>
      <c r="E4364" s="38">
        <v>7085</v>
      </c>
      <c r="F4364" s="39">
        <v>13784612.529999999</v>
      </c>
      <c r="G4364" s="40">
        <v>1945.6051559633031</v>
      </c>
      <c r="H4364" s="41">
        <v>-4.4890508344560112E-2</v>
      </c>
      <c r="I4364" s="40">
        <v>117.79420629498939</v>
      </c>
      <c r="J4364" s="41">
        <v>6.054373670523476E-2</v>
      </c>
      <c r="K4364" s="9" t="s">
        <v>5944</v>
      </c>
    </row>
    <row r="4365" spans="1:11" x14ac:dyDescent="0.2">
      <c r="A4365" s="9" t="s">
        <v>38</v>
      </c>
      <c r="B4365" s="9" t="s">
        <v>287</v>
      </c>
      <c r="C4365" s="9"/>
      <c r="D4365" s="9" t="s">
        <v>79</v>
      </c>
      <c r="E4365" s="38">
        <v>1132</v>
      </c>
      <c r="F4365" s="39">
        <v>1427736.86</v>
      </c>
      <c r="G4365" s="40">
        <v>1261.251643109541</v>
      </c>
      <c r="H4365" s="41">
        <v>7.483978683084723E-2</v>
      </c>
      <c r="I4365" s="40">
        <v>120.2600597173145</v>
      </c>
      <c r="J4365" s="41">
        <v>9.534977446754439E-2</v>
      </c>
      <c r="K4365" s="9" t="s">
        <v>5945</v>
      </c>
    </row>
    <row r="4366" spans="1:11" x14ac:dyDescent="0.2">
      <c r="A4366" s="9" t="s">
        <v>38</v>
      </c>
      <c r="B4366" s="9" t="s">
        <v>502</v>
      </c>
      <c r="C4366" s="9"/>
      <c r="D4366" s="9" t="s">
        <v>86</v>
      </c>
      <c r="E4366" s="38">
        <v>266000</v>
      </c>
      <c r="F4366" s="39">
        <v>0</v>
      </c>
      <c r="G4366" s="40"/>
      <c r="H4366" s="41">
        <v>-1.1066842762284271E-2</v>
      </c>
      <c r="I4366" s="40">
        <v>0.45</v>
      </c>
      <c r="J4366" s="41"/>
      <c r="K4366" s="9" t="s">
        <v>5946</v>
      </c>
    </row>
    <row r="4367" spans="1:11" x14ac:dyDescent="0.2">
      <c r="A4367" s="9" t="s">
        <v>38</v>
      </c>
      <c r="B4367" s="9" t="s">
        <v>5947</v>
      </c>
      <c r="C4367" s="9"/>
      <c r="D4367" s="9" t="s">
        <v>81</v>
      </c>
      <c r="E4367" s="38">
        <v>662</v>
      </c>
      <c r="F4367" s="39">
        <v>735828.67</v>
      </c>
      <c r="G4367" s="40">
        <v>1111.523670694864</v>
      </c>
      <c r="H4367" s="41">
        <v>-3.8348202350525551E-2</v>
      </c>
      <c r="I4367" s="40">
        <v>200.09759456193351</v>
      </c>
      <c r="J4367" s="41">
        <v>0.18002099265852201</v>
      </c>
      <c r="K4367" s="9" t="s">
        <v>5948</v>
      </c>
    </row>
    <row r="4368" spans="1:11" x14ac:dyDescent="0.2">
      <c r="A4368" s="9" t="s">
        <v>38</v>
      </c>
      <c r="B4368" s="9" t="s">
        <v>295</v>
      </c>
      <c r="C4368" s="9"/>
      <c r="D4368" s="9" t="s">
        <v>76</v>
      </c>
      <c r="E4368" s="38">
        <v>5051</v>
      </c>
      <c r="F4368" s="39">
        <v>692389.22999999986</v>
      </c>
      <c r="G4368" s="40">
        <v>137.07963373589391</v>
      </c>
      <c r="H4368" s="41">
        <v>2.816321984414746E-2</v>
      </c>
      <c r="I4368" s="40">
        <v>16.449556048307262</v>
      </c>
      <c r="J4368" s="41">
        <v>0.12</v>
      </c>
      <c r="K4368" s="9" t="s">
        <v>5949</v>
      </c>
    </row>
    <row r="4369" spans="1:11" x14ac:dyDescent="0.2">
      <c r="A4369" s="9" t="s">
        <v>38</v>
      </c>
      <c r="B4369" s="9" t="s">
        <v>1396</v>
      </c>
      <c r="C4369" s="9"/>
      <c r="D4369" s="9" t="s">
        <v>76</v>
      </c>
      <c r="E4369" s="38">
        <v>4473</v>
      </c>
      <c r="F4369" s="39">
        <v>1822227.81</v>
      </c>
      <c r="G4369" s="40">
        <v>407.38381623071763</v>
      </c>
      <c r="H4369" s="41">
        <v>-5.7177806127263087E-2</v>
      </c>
      <c r="I4369" s="40">
        <v>49.947350771294431</v>
      </c>
      <c r="J4369" s="41">
        <v>0.12260514232849951</v>
      </c>
      <c r="K4369" s="9" t="s">
        <v>5950</v>
      </c>
    </row>
    <row r="4370" spans="1:11" x14ac:dyDescent="0.2">
      <c r="A4370" s="9" t="s">
        <v>38</v>
      </c>
      <c r="B4370" s="9" t="s">
        <v>301</v>
      </c>
      <c r="C4370" s="9"/>
      <c r="D4370" s="9" t="s">
        <v>82</v>
      </c>
      <c r="E4370" s="38">
        <v>1985</v>
      </c>
      <c r="F4370" s="39">
        <v>867541.89000000013</v>
      </c>
      <c r="G4370" s="40">
        <v>437.0488110831235</v>
      </c>
      <c r="H4370" s="41"/>
      <c r="I4370" s="40">
        <v>63.327469420654921</v>
      </c>
      <c r="J4370" s="41">
        <v>0.1448979331706968</v>
      </c>
      <c r="K4370" s="9" t="s">
        <v>5951</v>
      </c>
    </row>
    <row r="4371" spans="1:11" x14ac:dyDescent="0.2">
      <c r="A4371" s="9" t="s">
        <v>38</v>
      </c>
      <c r="B4371" s="9" t="s">
        <v>800</v>
      </c>
      <c r="C4371" s="9"/>
      <c r="D4371" s="9" t="s">
        <v>86</v>
      </c>
      <c r="E4371" s="38">
        <v>185000</v>
      </c>
      <c r="F4371" s="39">
        <v>12195889.57</v>
      </c>
      <c r="G4371" s="40">
        <v>65.923727405405415</v>
      </c>
      <c r="H4371" s="41">
        <v>0.124627823710666</v>
      </c>
      <c r="I4371" s="40">
        <v>5.4032432432432438E-6</v>
      </c>
      <c r="J4371" s="41">
        <v>8.1962040920644374E-8</v>
      </c>
      <c r="K4371" s="9" t="s">
        <v>5952</v>
      </c>
    </row>
    <row r="4372" spans="1:11" x14ac:dyDescent="0.2">
      <c r="A4372" s="9" t="s">
        <v>38</v>
      </c>
      <c r="B4372" s="9" t="s">
        <v>1675</v>
      </c>
      <c r="C4372" s="9"/>
      <c r="D4372" s="9" t="s">
        <v>76</v>
      </c>
      <c r="E4372" s="38">
        <v>3506</v>
      </c>
      <c r="F4372" s="39">
        <v>3627776.98</v>
      </c>
      <c r="G4372" s="40">
        <v>1034.733879064461</v>
      </c>
      <c r="H4372" s="41">
        <v>1.5793775727345589E-2</v>
      </c>
      <c r="I4372" s="40">
        <v>76.853202167712482</v>
      </c>
      <c r="J4372" s="41">
        <v>7.4273398912190022E-2</v>
      </c>
      <c r="K4372" s="9" t="s">
        <v>5953</v>
      </c>
    </row>
    <row r="4373" spans="1:11" x14ac:dyDescent="0.2">
      <c r="A4373" s="9" t="s">
        <v>38</v>
      </c>
      <c r="B4373" s="9" t="s">
        <v>317</v>
      </c>
      <c r="C4373" s="9"/>
      <c r="D4373" s="9" t="s">
        <v>76</v>
      </c>
      <c r="E4373" s="38">
        <v>3500</v>
      </c>
      <c r="F4373" s="39">
        <v>2682327.9700000002</v>
      </c>
      <c r="G4373" s="40">
        <v>766.37941999999998</v>
      </c>
      <c r="H4373" s="41">
        <v>1.0407847812532881E-2</v>
      </c>
      <c r="I4373" s="40">
        <v>83.528571428571425</v>
      </c>
      <c r="J4373" s="41">
        <v>0.1089911462243747</v>
      </c>
      <c r="K4373" s="9" t="s">
        <v>5954</v>
      </c>
    </row>
    <row r="4374" spans="1:11" x14ac:dyDescent="0.2">
      <c r="A4374" s="9" t="s">
        <v>38</v>
      </c>
      <c r="B4374" s="9" t="s">
        <v>319</v>
      </c>
      <c r="C4374" s="9"/>
      <c r="D4374" s="9" t="s">
        <v>81</v>
      </c>
      <c r="E4374" s="38">
        <v>880</v>
      </c>
      <c r="F4374" s="39">
        <v>1560466.63</v>
      </c>
      <c r="G4374" s="40">
        <v>1773.2575340909091</v>
      </c>
      <c r="H4374" s="41">
        <v>9.3674483452913973E-2</v>
      </c>
      <c r="I4374" s="40">
        <v>273.55429909090913</v>
      </c>
      <c r="J4374" s="41">
        <v>0.15426653705500901</v>
      </c>
      <c r="K4374" s="9" t="s">
        <v>5955</v>
      </c>
    </row>
    <row r="4375" spans="1:11" x14ac:dyDescent="0.2">
      <c r="A4375" s="9" t="s">
        <v>38</v>
      </c>
      <c r="B4375" s="9" t="s">
        <v>321</v>
      </c>
      <c r="C4375" s="9"/>
      <c r="D4375" s="9" t="s">
        <v>78</v>
      </c>
      <c r="E4375" s="38">
        <v>1476</v>
      </c>
      <c r="F4375" s="39">
        <v>2889109.12</v>
      </c>
      <c r="G4375" s="40">
        <v>1957.3910027100269</v>
      </c>
      <c r="H4375" s="41">
        <v>0.24363117398132419</v>
      </c>
      <c r="I4375" s="40">
        <v>162.2227695121951</v>
      </c>
      <c r="J4375" s="41">
        <v>8.2877038510750331E-2</v>
      </c>
      <c r="K4375" s="9" t="s">
        <v>5956</v>
      </c>
    </row>
    <row r="4376" spans="1:11" x14ac:dyDescent="0.2">
      <c r="A4376" s="9" t="s">
        <v>38</v>
      </c>
      <c r="B4376" s="9" t="s">
        <v>1684</v>
      </c>
      <c r="C4376" s="9"/>
      <c r="D4376" s="9" t="s">
        <v>79</v>
      </c>
      <c r="E4376" s="38">
        <v>800</v>
      </c>
      <c r="F4376" s="39">
        <v>0</v>
      </c>
      <c r="G4376" s="40"/>
      <c r="H4376" s="41"/>
      <c r="I4376" s="40">
        <v>114.93</v>
      </c>
      <c r="J4376" s="41"/>
      <c r="K4376" s="9" t="s">
        <v>5957</v>
      </c>
    </row>
    <row r="4377" spans="1:11" x14ac:dyDescent="0.2">
      <c r="A4377" s="9" t="s">
        <v>38</v>
      </c>
      <c r="B4377" s="9" t="s">
        <v>331</v>
      </c>
      <c r="C4377" s="9"/>
      <c r="D4377" s="9" t="s">
        <v>81</v>
      </c>
      <c r="E4377" s="38">
        <v>1</v>
      </c>
      <c r="F4377" s="39">
        <v>0</v>
      </c>
      <c r="G4377" s="40"/>
      <c r="H4377" s="41"/>
      <c r="I4377" s="40">
        <v>149349.99960000001</v>
      </c>
      <c r="J4377" s="41"/>
      <c r="K4377" s="9" t="s">
        <v>5958</v>
      </c>
    </row>
    <row r="4378" spans="1:11" x14ac:dyDescent="0.2">
      <c r="A4378" s="9" t="s">
        <v>38</v>
      </c>
      <c r="B4378" s="9" t="s">
        <v>331</v>
      </c>
      <c r="C4378" s="9"/>
      <c r="D4378" s="9" t="s">
        <v>81</v>
      </c>
      <c r="E4378" s="38">
        <v>1029</v>
      </c>
      <c r="F4378" s="39">
        <v>747088.72</v>
      </c>
      <c r="G4378" s="40">
        <v>726.03374149659862</v>
      </c>
      <c r="H4378" s="41"/>
      <c r="I4378" s="40">
        <v>0</v>
      </c>
      <c r="J4378" s="41">
        <v>0</v>
      </c>
      <c r="K4378" s="9" t="s">
        <v>5958</v>
      </c>
    </row>
    <row r="4379" spans="1:11" x14ac:dyDescent="0.2">
      <c r="A4379" s="9" t="s">
        <v>38</v>
      </c>
      <c r="B4379" s="9" t="s">
        <v>2248</v>
      </c>
      <c r="C4379" s="9"/>
      <c r="D4379" s="9" t="s">
        <v>76</v>
      </c>
      <c r="E4379" s="38">
        <v>6800</v>
      </c>
      <c r="F4379" s="39">
        <v>1473164.9</v>
      </c>
      <c r="G4379" s="40">
        <v>216.6418970588235</v>
      </c>
      <c r="H4379" s="41">
        <v>-0.10339007534345521</v>
      </c>
      <c r="I4379" s="40">
        <v>26.345989705882349</v>
      </c>
      <c r="J4379" s="41">
        <v>0.12161077826385901</v>
      </c>
      <c r="K4379" s="9" t="s">
        <v>5959</v>
      </c>
    </row>
    <row r="4380" spans="1:11" x14ac:dyDescent="0.2">
      <c r="A4380" s="9" t="s">
        <v>38</v>
      </c>
      <c r="B4380" s="9" t="s">
        <v>5960</v>
      </c>
      <c r="C4380" s="9"/>
      <c r="D4380" s="9" t="s">
        <v>76</v>
      </c>
      <c r="E4380" s="38">
        <v>2161</v>
      </c>
      <c r="F4380" s="39">
        <v>645704.55000000005</v>
      </c>
      <c r="G4380" s="40">
        <v>298.79895881536328</v>
      </c>
      <c r="H4380" s="41">
        <v>-0.14141836438576141</v>
      </c>
      <c r="I4380" s="40">
        <v>80.451495603887096</v>
      </c>
      <c r="J4380" s="41">
        <v>0.26924958481398342</v>
      </c>
      <c r="K4380" s="9" t="s">
        <v>5961</v>
      </c>
    </row>
    <row r="4381" spans="1:11" x14ac:dyDescent="0.2">
      <c r="A4381" s="9" t="s">
        <v>38</v>
      </c>
      <c r="B4381" s="9" t="s">
        <v>950</v>
      </c>
      <c r="C4381" s="9"/>
      <c r="D4381" s="9" t="s">
        <v>80</v>
      </c>
      <c r="E4381" s="38">
        <v>588</v>
      </c>
      <c r="F4381" s="39">
        <v>1611789.37</v>
      </c>
      <c r="G4381" s="40">
        <v>2741.1383843537419</v>
      </c>
      <c r="H4381" s="41">
        <v>7.0663420074985064E-2</v>
      </c>
      <c r="I4381" s="40">
        <v>355.55791734693878</v>
      </c>
      <c r="J4381" s="41">
        <v>0.12971177207850679</v>
      </c>
      <c r="K4381" s="9" t="s">
        <v>5962</v>
      </c>
    </row>
    <row r="4382" spans="1:11" x14ac:dyDescent="0.2">
      <c r="A4382" s="9" t="s">
        <v>38</v>
      </c>
      <c r="B4382" s="9" t="s">
        <v>5963</v>
      </c>
      <c r="C4382" s="9"/>
      <c r="D4382" s="9" t="s">
        <v>76</v>
      </c>
      <c r="E4382" s="38">
        <v>600</v>
      </c>
      <c r="F4382" s="39">
        <v>477109.52</v>
      </c>
      <c r="G4382" s="40">
        <v>795.18253333333337</v>
      </c>
      <c r="H4382" s="41">
        <v>-3.4826861273965462E-2</v>
      </c>
      <c r="I4382" s="40">
        <v>169.8</v>
      </c>
      <c r="J4382" s="41">
        <v>0.21353587746478001</v>
      </c>
      <c r="K4382" s="9" t="s">
        <v>5964</v>
      </c>
    </row>
    <row r="4383" spans="1:11" x14ac:dyDescent="0.2">
      <c r="A4383" s="9" t="s">
        <v>38</v>
      </c>
      <c r="B4383" s="9" t="s">
        <v>339</v>
      </c>
      <c r="C4383" s="9"/>
      <c r="D4383" s="9" t="s">
        <v>80</v>
      </c>
      <c r="E4383" s="38">
        <v>696</v>
      </c>
      <c r="F4383" s="39">
        <v>0</v>
      </c>
      <c r="G4383" s="40"/>
      <c r="H4383" s="41"/>
      <c r="I4383" s="40">
        <v>132.47310344827591</v>
      </c>
      <c r="J4383" s="41"/>
      <c r="K4383" s="9" t="s">
        <v>5965</v>
      </c>
    </row>
    <row r="4384" spans="1:11" x14ac:dyDescent="0.2">
      <c r="A4384" s="9" t="s">
        <v>38</v>
      </c>
      <c r="B4384" s="9" t="s">
        <v>343</v>
      </c>
      <c r="C4384" s="9"/>
      <c r="D4384" s="9" t="s">
        <v>79</v>
      </c>
      <c r="E4384" s="38">
        <v>4196.74</v>
      </c>
      <c r="F4384" s="39">
        <v>9508221.4600000009</v>
      </c>
      <c r="G4384" s="40">
        <v>2265.6208056729752</v>
      </c>
      <c r="H4384" s="41">
        <v>0.12646882597044939</v>
      </c>
      <c r="I4384" s="40">
        <v>152.2487387353041</v>
      </c>
      <c r="J4384" s="41">
        <v>6.7199567709690267E-2</v>
      </c>
      <c r="K4384" s="9" t="s">
        <v>5966</v>
      </c>
    </row>
    <row r="4385" spans="1:11" x14ac:dyDescent="0.2">
      <c r="A4385" s="9" t="s">
        <v>38</v>
      </c>
      <c r="B4385" s="9" t="s">
        <v>353</v>
      </c>
      <c r="C4385" s="9"/>
      <c r="D4385" s="9" t="s">
        <v>76</v>
      </c>
      <c r="E4385" s="38">
        <v>2700</v>
      </c>
      <c r="F4385" s="39">
        <v>1299268.77</v>
      </c>
      <c r="G4385" s="40">
        <v>481.21065555555549</v>
      </c>
      <c r="H4385" s="41">
        <v>-9.1891527426204558E-2</v>
      </c>
      <c r="I4385" s="40">
        <v>101.0953581111111</v>
      </c>
      <c r="J4385" s="41">
        <v>0.21008545206547219</v>
      </c>
      <c r="K4385" s="9" t="s">
        <v>5967</v>
      </c>
    </row>
    <row r="4386" spans="1:11" x14ac:dyDescent="0.2">
      <c r="A4386" s="9" t="s">
        <v>38</v>
      </c>
      <c r="B4386" s="9" t="s">
        <v>355</v>
      </c>
      <c r="C4386" s="9"/>
      <c r="D4386" s="9" t="s">
        <v>82</v>
      </c>
      <c r="E4386" s="38">
        <v>2056</v>
      </c>
      <c r="F4386" s="39">
        <v>1542879.28</v>
      </c>
      <c r="G4386" s="40">
        <v>750.42766536964984</v>
      </c>
      <c r="H4386" s="41">
        <v>-9.975549347576218E-3</v>
      </c>
      <c r="I4386" s="40">
        <v>107.29381692607009</v>
      </c>
      <c r="J4386" s="41">
        <v>0.14297689421300669</v>
      </c>
      <c r="K4386" s="9" t="s">
        <v>5968</v>
      </c>
    </row>
    <row r="4387" spans="1:11" x14ac:dyDescent="0.2">
      <c r="A4387" s="9" t="s">
        <v>38</v>
      </c>
      <c r="B4387" s="9" t="s">
        <v>538</v>
      </c>
      <c r="C4387" s="9"/>
      <c r="D4387" s="9" t="s">
        <v>80</v>
      </c>
      <c r="E4387" s="38">
        <v>1</v>
      </c>
      <c r="F4387" s="39">
        <v>0</v>
      </c>
      <c r="G4387" s="40"/>
      <c r="H4387" s="41"/>
      <c r="I4387" s="40">
        <v>79590.600000000006</v>
      </c>
      <c r="J4387" s="41"/>
      <c r="K4387" s="9" t="s">
        <v>5969</v>
      </c>
    </row>
    <row r="4388" spans="1:11" x14ac:dyDescent="0.2">
      <c r="A4388" s="9" t="s">
        <v>38</v>
      </c>
      <c r="B4388" s="9" t="s">
        <v>538</v>
      </c>
      <c r="C4388" s="9"/>
      <c r="D4388" s="9" t="s">
        <v>80</v>
      </c>
      <c r="E4388" s="38">
        <v>288</v>
      </c>
      <c r="F4388" s="39">
        <v>805479.79</v>
      </c>
      <c r="G4388" s="40">
        <v>2796.8048263888891</v>
      </c>
      <c r="H4388" s="41">
        <v>0.1131500624826149</v>
      </c>
      <c r="I4388" s="40">
        <v>0</v>
      </c>
      <c r="J4388" s="41">
        <v>0</v>
      </c>
      <c r="K4388" s="9" t="s">
        <v>5969</v>
      </c>
    </row>
    <row r="4389" spans="1:11" x14ac:dyDescent="0.2">
      <c r="A4389" s="9" t="s">
        <v>38</v>
      </c>
      <c r="B4389" s="9" t="s">
        <v>357</v>
      </c>
      <c r="C4389" s="9"/>
      <c r="D4389" s="9" t="s">
        <v>76</v>
      </c>
      <c r="E4389" s="38">
        <v>644</v>
      </c>
      <c r="F4389" s="39">
        <v>907645.15000000014</v>
      </c>
      <c r="G4389" s="40">
        <v>1409.386878881988</v>
      </c>
      <c r="H4389" s="41">
        <v>-0.15219244892537459</v>
      </c>
      <c r="I4389" s="40">
        <v>193.53515962732919</v>
      </c>
      <c r="J4389" s="41">
        <v>0.13731868979854081</v>
      </c>
      <c r="K4389" s="9" t="s">
        <v>5970</v>
      </c>
    </row>
    <row r="4390" spans="1:11" x14ac:dyDescent="0.2">
      <c r="A4390" s="9" t="s">
        <v>38</v>
      </c>
      <c r="B4390" s="9" t="s">
        <v>5971</v>
      </c>
      <c r="C4390" s="9"/>
      <c r="D4390" s="9" t="s">
        <v>79</v>
      </c>
      <c r="E4390" s="38">
        <v>2947</v>
      </c>
      <c r="F4390" s="39">
        <v>1266265.42</v>
      </c>
      <c r="G4390" s="40">
        <v>429.67947743467931</v>
      </c>
      <c r="H4390" s="41">
        <v>9.8550184823739298E-2</v>
      </c>
      <c r="I4390" s="40">
        <v>48.43790206990159</v>
      </c>
      <c r="J4390" s="41">
        <v>0.1127303132071632</v>
      </c>
      <c r="K4390" s="9" t="s">
        <v>5972</v>
      </c>
    </row>
    <row r="4391" spans="1:11" x14ac:dyDescent="0.2">
      <c r="A4391" s="9" t="s">
        <v>38</v>
      </c>
      <c r="B4391" s="9" t="s">
        <v>3824</v>
      </c>
      <c r="C4391" s="9"/>
      <c r="D4391" s="9" t="s">
        <v>84</v>
      </c>
      <c r="E4391" s="38">
        <v>364</v>
      </c>
      <c r="F4391" s="39">
        <v>0</v>
      </c>
      <c r="G4391" s="40"/>
      <c r="H4391" s="41"/>
      <c r="I4391" s="40">
        <v>280.2197802197802</v>
      </c>
      <c r="J4391" s="41"/>
      <c r="K4391" s="9" t="s">
        <v>5973</v>
      </c>
    </row>
    <row r="4392" spans="1:11" x14ac:dyDescent="0.2">
      <c r="A4392" s="9" t="s">
        <v>38</v>
      </c>
      <c r="B4392" s="9" t="s">
        <v>2592</v>
      </c>
      <c r="C4392" s="9"/>
      <c r="D4392" s="9" t="s">
        <v>84</v>
      </c>
      <c r="E4392" s="38">
        <v>1317</v>
      </c>
      <c r="F4392" s="39">
        <v>297691</v>
      </c>
      <c r="G4392" s="40">
        <v>226.037205770691</v>
      </c>
      <c r="H4392" s="41">
        <v>0.30526506899055922</v>
      </c>
      <c r="I4392" s="40">
        <v>72.498861047835987</v>
      </c>
      <c r="J4392" s="41">
        <v>0.32073861823165628</v>
      </c>
      <c r="K4392" s="9" t="s">
        <v>5974</v>
      </c>
    </row>
    <row r="4393" spans="1:11" x14ac:dyDescent="0.2">
      <c r="A4393" s="9" t="s">
        <v>38</v>
      </c>
      <c r="B4393" s="9" t="s">
        <v>1711</v>
      </c>
      <c r="C4393" s="9"/>
      <c r="D4393" s="9" t="s">
        <v>76</v>
      </c>
      <c r="E4393" s="38">
        <v>1190</v>
      </c>
      <c r="F4393" s="39">
        <v>1167767.6399999999</v>
      </c>
      <c r="G4393" s="40">
        <v>981.31734453781507</v>
      </c>
      <c r="H4393" s="41">
        <v>-0.22240062886688289</v>
      </c>
      <c r="I4393" s="40">
        <v>85.312109915966374</v>
      </c>
      <c r="J4393" s="41">
        <v>8.6936311062704219E-2</v>
      </c>
      <c r="K4393" s="9" t="s">
        <v>5975</v>
      </c>
    </row>
    <row r="4394" spans="1:11" x14ac:dyDescent="0.2">
      <c r="A4394" s="9" t="s">
        <v>38</v>
      </c>
      <c r="B4394" s="9" t="s">
        <v>371</v>
      </c>
      <c r="C4394" s="9"/>
      <c r="D4394" s="9" t="s">
        <v>76</v>
      </c>
      <c r="E4394" s="38">
        <v>2312</v>
      </c>
      <c r="F4394" s="39">
        <v>601903.43000000005</v>
      </c>
      <c r="G4394" s="40">
        <v>260.33885380622843</v>
      </c>
      <c r="H4394" s="41">
        <v>-9.4159608750994342E-2</v>
      </c>
      <c r="I4394" s="40">
        <v>38.927335640138409</v>
      </c>
      <c r="J4394" s="41">
        <v>0.14952564732850909</v>
      </c>
      <c r="K4394" s="9" t="s">
        <v>5976</v>
      </c>
    </row>
    <row r="4395" spans="1:11" x14ac:dyDescent="0.2">
      <c r="A4395" s="9" t="s">
        <v>38</v>
      </c>
      <c r="B4395" s="9" t="s">
        <v>1050</v>
      </c>
      <c r="C4395" s="9"/>
      <c r="D4395" s="9" t="s">
        <v>77</v>
      </c>
      <c r="E4395" s="38">
        <v>2530</v>
      </c>
      <c r="F4395" s="39">
        <v>1328765</v>
      </c>
      <c r="G4395" s="40">
        <v>525.203557312253</v>
      </c>
      <c r="H4395" s="41">
        <v>-0.1175829206063335</v>
      </c>
      <c r="I4395" s="40">
        <v>54.437404268774699</v>
      </c>
      <c r="J4395" s="41">
        <v>0.10365010577491129</v>
      </c>
      <c r="K4395" s="9" t="s">
        <v>5977</v>
      </c>
    </row>
    <row r="4396" spans="1:11" x14ac:dyDescent="0.2">
      <c r="A4396" s="9" t="s">
        <v>38</v>
      </c>
      <c r="B4396" s="9" t="s">
        <v>384</v>
      </c>
      <c r="C4396" s="9"/>
      <c r="D4396" s="9" t="s">
        <v>77</v>
      </c>
      <c r="E4396" s="38">
        <v>3154</v>
      </c>
      <c r="F4396" s="39">
        <v>970074.07</v>
      </c>
      <c r="G4396" s="40">
        <v>307.56945783132528</v>
      </c>
      <c r="H4396" s="41">
        <v>-0.25557691391618798</v>
      </c>
      <c r="I4396" s="40">
        <v>72.269334939759034</v>
      </c>
      <c r="J4396" s="41">
        <v>0.2349691528194337</v>
      </c>
      <c r="K4396" s="9" t="s">
        <v>5978</v>
      </c>
    </row>
    <row r="4397" spans="1:11" x14ac:dyDescent="0.2">
      <c r="A4397" s="9" t="s">
        <v>38</v>
      </c>
      <c r="B4397" s="9" t="s">
        <v>388</v>
      </c>
      <c r="C4397" s="9"/>
      <c r="D4397" s="9" t="s">
        <v>76</v>
      </c>
      <c r="E4397" s="38">
        <v>12000</v>
      </c>
      <c r="F4397" s="39">
        <v>6214738.2999999989</v>
      </c>
      <c r="G4397" s="40">
        <v>517.89485833333322</v>
      </c>
      <c r="H4397" s="41">
        <v>-9.5799932653003964E-3</v>
      </c>
      <c r="I4397" s="40">
        <v>69.056570699999995</v>
      </c>
      <c r="J4397" s="41">
        <v>0.13334090807974969</v>
      </c>
      <c r="K4397" s="9" t="s">
        <v>5979</v>
      </c>
    </row>
    <row r="4398" spans="1:11" x14ac:dyDescent="0.2">
      <c r="A4398" s="9" t="s">
        <v>38</v>
      </c>
      <c r="B4398" s="9" t="s">
        <v>2739</v>
      </c>
      <c r="C4398" s="9"/>
      <c r="D4398" s="9" t="s">
        <v>82</v>
      </c>
      <c r="E4398" s="38">
        <v>5391</v>
      </c>
      <c r="F4398" s="39">
        <v>1188012.08</v>
      </c>
      <c r="G4398" s="40">
        <v>220.36951956965311</v>
      </c>
      <c r="H4398" s="41">
        <v>5.6046553437857541E-2</v>
      </c>
      <c r="I4398" s="40">
        <v>20.990696568354672</v>
      </c>
      <c r="J4398" s="41">
        <v>9.5252268141919907E-2</v>
      </c>
      <c r="K4398" s="9" t="s">
        <v>5980</v>
      </c>
    </row>
    <row r="4399" spans="1:11" x14ac:dyDescent="0.2">
      <c r="A4399" s="9" t="s">
        <v>38</v>
      </c>
      <c r="B4399" s="9" t="s">
        <v>390</v>
      </c>
      <c r="C4399" s="9"/>
      <c r="D4399" s="9" t="s">
        <v>83</v>
      </c>
      <c r="E4399" s="38">
        <v>2342</v>
      </c>
      <c r="F4399" s="39">
        <v>0</v>
      </c>
      <c r="G4399" s="40"/>
      <c r="H4399" s="41"/>
      <c r="I4399" s="40">
        <v>87.429492912040985</v>
      </c>
      <c r="J4399" s="41"/>
      <c r="K4399" s="9" t="s">
        <v>5981</v>
      </c>
    </row>
    <row r="4400" spans="1:11" x14ac:dyDescent="0.2">
      <c r="A4400" s="9" t="s">
        <v>38</v>
      </c>
      <c r="B4400" s="9" t="s">
        <v>1564</v>
      </c>
      <c r="C4400" s="9"/>
      <c r="D4400" s="9" t="s">
        <v>83</v>
      </c>
      <c r="E4400" s="38">
        <v>1</v>
      </c>
      <c r="F4400" s="39">
        <v>0</v>
      </c>
      <c r="G4400" s="40"/>
      <c r="H4400" s="41"/>
      <c r="I4400" s="40">
        <v>220378.92</v>
      </c>
      <c r="J4400" s="41"/>
      <c r="K4400" s="9" t="s">
        <v>5982</v>
      </c>
    </row>
    <row r="4401" spans="1:11" x14ac:dyDescent="0.2">
      <c r="A4401" s="9" t="s">
        <v>38</v>
      </c>
      <c r="B4401" s="9" t="s">
        <v>5983</v>
      </c>
      <c r="C4401" s="9"/>
      <c r="D4401" s="9" t="s">
        <v>78</v>
      </c>
      <c r="E4401" s="38">
        <v>592</v>
      </c>
      <c r="F4401" s="39">
        <v>223200.5</v>
      </c>
      <c r="G4401" s="40">
        <v>377.02787162162161</v>
      </c>
      <c r="H4401" s="41">
        <v>-8.8193124538330121E-3</v>
      </c>
      <c r="I4401" s="40">
        <v>180.9863935810811</v>
      </c>
      <c r="J4401" s="41">
        <v>0.48003452053198808</v>
      </c>
      <c r="K4401" s="9" t="s">
        <v>5984</v>
      </c>
    </row>
    <row r="4402" spans="1:11" x14ac:dyDescent="0.2">
      <c r="A4402" s="9" t="s">
        <v>38</v>
      </c>
      <c r="B4402" s="9" t="s">
        <v>5985</v>
      </c>
      <c r="C4402" s="9"/>
      <c r="D4402" s="9" t="s">
        <v>79</v>
      </c>
      <c r="E4402" s="38">
        <v>1524</v>
      </c>
      <c r="F4402" s="39">
        <v>192210</v>
      </c>
      <c r="G4402" s="40">
        <v>126.1220472440945</v>
      </c>
      <c r="H4402" s="41">
        <v>0.22314996830438041</v>
      </c>
      <c r="I4402" s="40">
        <v>40.064851181102362</v>
      </c>
      <c r="J4402" s="41">
        <v>0.31766730763227718</v>
      </c>
      <c r="K4402" s="9" t="s">
        <v>5986</v>
      </c>
    </row>
    <row r="4403" spans="1:11" x14ac:dyDescent="0.2">
      <c r="A4403" s="9" t="s">
        <v>38</v>
      </c>
      <c r="B4403" s="9" t="s">
        <v>571</v>
      </c>
      <c r="C4403" s="9"/>
      <c r="D4403" s="9" t="s">
        <v>76</v>
      </c>
      <c r="E4403" s="38">
        <v>3089</v>
      </c>
      <c r="F4403" s="39">
        <v>697084.06</v>
      </c>
      <c r="G4403" s="40">
        <v>225.66657818064101</v>
      </c>
      <c r="H4403" s="41">
        <v>8.1573262997054613E-3</v>
      </c>
      <c r="I4403" s="40">
        <v>62.692697054062798</v>
      </c>
      <c r="J4403" s="41">
        <v>0.27781117416456202</v>
      </c>
      <c r="K4403" s="9" t="s">
        <v>5987</v>
      </c>
    </row>
    <row r="4404" spans="1:11" x14ac:dyDescent="0.2">
      <c r="A4404" s="9" t="s">
        <v>38</v>
      </c>
      <c r="B4404" s="9" t="s">
        <v>392</v>
      </c>
      <c r="C4404" s="9"/>
      <c r="D4404" s="9" t="s">
        <v>76</v>
      </c>
      <c r="E4404" s="38">
        <v>5471</v>
      </c>
      <c r="F4404" s="39">
        <v>2022487.82</v>
      </c>
      <c r="G4404" s="40">
        <v>369.6742496801316</v>
      </c>
      <c r="H4404" s="41">
        <v>-2.8155967746315739E-2</v>
      </c>
      <c r="I4404" s="40">
        <v>47.65512933650156</v>
      </c>
      <c r="J4404" s="41">
        <v>0.12891114103223619</v>
      </c>
      <c r="K4404" s="9" t="s">
        <v>5988</v>
      </c>
    </row>
    <row r="4405" spans="1:11" x14ac:dyDescent="0.2">
      <c r="A4405" s="9" t="s">
        <v>38</v>
      </c>
      <c r="B4405" s="9" t="s">
        <v>5989</v>
      </c>
      <c r="C4405" s="9"/>
      <c r="D4405" s="9" t="s">
        <v>76</v>
      </c>
      <c r="E4405" s="38">
        <v>1082</v>
      </c>
      <c r="F4405" s="39">
        <v>0</v>
      </c>
      <c r="G4405" s="40"/>
      <c r="H4405" s="41"/>
      <c r="I4405" s="40">
        <v>34.999999630314242</v>
      </c>
      <c r="J4405" s="41"/>
      <c r="K4405" s="9" t="s">
        <v>5990</v>
      </c>
    </row>
    <row r="4406" spans="1:11" x14ac:dyDescent="0.2">
      <c r="A4406" s="9" t="s">
        <v>38</v>
      </c>
      <c r="B4406" s="9" t="s">
        <v>398</v>
      </c>
      <c r="C4406" s="9"/>
      <c r="D4406" s="9" t="s">
        <v>76</v>
      </c>
      <c r="E4406" s="38">
        <v>2500</v>
      </c>
      <c r="F4406" s="39">
        <v>1109937.28</v>
      </c>
      <c r="G4406" s="40">
        <v>443.97491200000002</v>
      </c>
      <c r="H4406" s="41">
        <v>-6.8090291347243537E-2</v>
      </c>
      <c r="I4406" s="40">
        <v>69.802943999999997</v>
      </c>
      <c r="J4406" s="41">
        <v>0.1572227216298204</v>
      </c>
      <c r="K4406" s="9" t="s">
        <v>5991</v>
      </c>
    </row>
    <row r="4407" spans="1:11" x14ac:dyDescent="0.2">
      <c r="A4407" s="9" t="s">
        <v>31</v>
      </c>
      <c r="B4407" s="9" t="s">
        <v>4482</v>
      </c>
      <c r="C4407" s="9"/>
      <c r="D4407" s="9" t="s">
        <v>83</v>
      </c>
      <c r="E4407" s="38">
        <v>1675</v>
      </c>
      <c r="F4407" s="39">
        <v>305274</v>
      </c>
      <c r="G4407" s="40">
        <v>182.25313432835819</v>
      </c>
      <c r="H4407" s="41">
        <v>-0.22258327834906361</v>
      </c>
      <c r="I4407" s="40">
        <v>27.337970149253731</v>
      </c>
      <c r="J4407" s="41">
        <v>0.15</v>
      </c>
      <c r="K4407" s="9" t="s">
        <v>5992</v>
      </c>
    </row>
    <row r="4408" spans="1:11" x14ac:dyDescent="0.2">
      <c r="A4408" s="9" t="s">
        <v>31</v>
      </c>
      <c r="B4408" s="9" t="s">
        <v>5993</v>
      </c>
      <c r="C4408" s="9"/>
      <c r="D4408" s="9" t="s">
        <v>83</v>
      </c>
      <c r="E4408" s="38">
        <v>1</v>
      </c>
      <c r="F4408" s="39">
        <v>0</v>
      </c>
      <c r="G4408" s="40"/>
      <c r="H4408" s="41">
        <v>0.2065420814479639</v>
      </c>
      <c r="I4408" s="40">
        <v>23998.121999999999</v>
      </c>
      <c r="J4408" s="41"/>
      <c r="K4408" s="9" t="s">
        <v>5994</v>
      </c>
    </row>
    <row r="4409" spans="1:11" x14ac:dyDescent="0.2">
      <c r="A4409" s="9" t="s">
        <v>31</v>
      </c>
      <c r="B4409" s="9" t="s">
        <v>5995</v>
      </c>
      <c r="C4409" s="9"/>
      <c r="D4409" s="9" t="s">
        <v>79</v>
      </c>
      <c r="E4409" s="38">
        <v>1033</v>
      </c>
      <c r="F4409" s="39">
        <v>0</v>
      </c>
      <c r="G4409" s="40"/>
      <c r="H4409" s="41"/>
      <c r="I4409" s="40">
        <v>46.510000774443363</v>
      </c>
      <c r="J4409" s="41"/>
      <c r="K4409" s="9" t="s">
        <v>5996</v>
      </c>
    </row>
    <row r="4410" spans="1:11" x14ac:dyDescent="0.2">
      <c r="A4410" s="9" t="s">
        <v>31</v>
      </c>
      <c r="B4410" s="9" t="s">
        <v>164</v>
      </c>
      <c r="C4410" s="9"/>
      <c r="D4410" s="9" t="s">
        <v>76</v>
      </c>
      <c r="E4410" s="38">
        <v>4560</v>
      </c>
      <c r="F4410" s="39">
        <v>2351901.4500000002</v>
      </c>
      <c r="G4410" s="40">
        <v>515.76786184210516</v>
      </c>
      <c r="H4410" s="41"/>
      <c r="I4410" s="40">
        <v>41.261429035087723</v>
      </c>
      <c r="J4410" s="41">
        <v>8.000000017007515E-2</v>
      </c>
      <c r="K4410" s="9" t="s">
        <v>5997</v>
      </c>
    </row>
    <row r="4411" spans="1:11" x14ac:dyDescent="0.2">
      <c r="A4411" s="9" t="s">
        <v>31</v>
      </c>
      <c r="B4411" s="9" t="s">
        <v>169</v>
      </c>
      <c r="C4411" s="9"/>
      <c r="D4411" s="9" t="s">
        <v>76</v>
      </c>
      <c r="E4411" s="38">
        <v>7932</v>
      </c>
      <c r="F4411" s="39">
        <v>2645121.52</v>
      </c>
      <c r="G4411" s="40">
        <v>333.47472516389303</v>
      </c>
      <c r="H4411" s="41">
        <v>0.11960222268870491</v>
      </c>
      <c r="I4411" s="40">
        <v>43.746848260211813</v>
      </c>
      <c r="J4411" s="41">
        <v>0.13118489936144789</v>
      </c>
      <c r="K4411" s="9" t="s">
        <v>5998</v>
      </c>
    </row>
    <row r="4412" spans="1:11" x14ac:dyDescent="0.2">
      <c r="A4412" s="9" t="s">
        <v>31</v>
      </c>
      <c r="B4412" s="9" t="s">
        <v>406</v>
      </c>
      <c r="C4412" s="9"/>
      <c r="D4412" s="9" t="s">
        <v>76</v>
      </c>
      <c r="E4412" s="38">
        <v>4300</v>
      </c>
      <c r="F4412" s="39">
        <v>512744.94</v>
      </c>
      <c r="G4412" s="40">
        <v>119.2430093023256</v>
      </c>
      <c r="H4412" s="41">
        <v>5.7706428781871592E-2</v>
      </c>
      <c r="I4412" s="40">
        <v>7.4418605581395347</v>
      </c>
      <c r="J4412" s="41">
        <v>6.2409197836257542E-2</v>
      </c>
      <c r="K4412" s="9" t="s">
        <v>5999</v>
      </c>
    </row>
    <row r="4413" spans="1:11" x14ac:dyDescent="0.2">
      <c r="A4413" s="9" t="s">
        <v>31</v>
      </c>
      <c r="B4413" s="9" t="s">
        <v>171</v>
      </c>
      <c r="C4413" s="9"/>
      <c r="D4413" s="9" t="s">
        <v>84</v>
      </c>
      <c r="E4413" s="38">
        <v>4000</v>
      </c>
      <c r="F4413" s="39">
        <v>0</v>
      </c>
      <c r="G4413" s="40"/>
      <c r="H4413" s="41"/>
      <c r="I4413" s="40">
        <v>50.092256999999996</v>
      </c>
      <c r="J4413" s="41"/>
      <c r="K4413" s="9" t="s">
        <v>6000</v>
      </c>
    </row>
    <row r="4414" spans="1:11" x14ac:dyDescent="0.2">
      <c r="A4414" s="9" t="s">
        <v>31</v>
      </c>
      <c r="B4414" s="9" t="s">
        <v>985</v>
      </c>
      <c r="C4414" s="9"/>
      <c r="D4414" s="9" t="s">
        <v>76</v>
      </c>
      <c r="E4414" s="38">
        <v>3960</v>
      </c>
      <c r="F4414" s="39">
        <v>1609511.53</v>
      </c>
      <c r="G4414" s="40">
        <v>406.44230555555549</v>
      </c>
      <c r="H4414" s="41">
        <v>-2.4102911521726209E-2</v>
      </c>
      <c r="I4414" s="40">
        <v>45.454545454545453</v>
      </c>
      <c r="J4414" s="41">
        <v>0.1118351727495857</v>
      </c>
      <c r="K4414" s="9" t="s">
        <v>6001</v>
      </c>
    </row>
    <row r="4415" spans="1:11" x14ac:dyDescent="0.2">
      <c r="A4415" s="9" t="s">
        <v>31</v>
      </c>
      <c r="B4415" s="9" t="s">
        <v>173</v>
      </c>
      <c r="C4415" s="9"/>
      <c r="D4415" s="9" t="s">
        <v>80</v>
      </c>
      <c r="E4415" s="38">
        <v>555</v>
      </c>
      <c r="F4415" s="39">
        <v>822484.62</v>
      </c>
      <c r="G4415" s="40">
        <v>1481.9542702702699</v>
      </c>
      <c r="H4415" s="41">
        <v>-1</v>
      </c>
      <c r="I4415" s="40">
        <v>195.19941909909909</v>
      </c>
      <c r="J4415" s="41">
        <v>0.1317175725425723</v>
      </c>
      <c r="K4415" s="9" t="s">
        <v>6002</v>
      </c>
    </row>
    <row r="4416" spans="1:11" x14ac:dyDescent="0.2">
      <c r="A4416" s="9" t="s">
        <v>31</v>
      </c>
      <c r="B4416" s="9" t="s">
        <v>3957</v>
      </c>
      <c r="C4416" s="9"/>
      <c r="D4416" s="9" t="s">
        <v>76</v>
      </c>
      <c r="E4416" s="38">
        <v>9900</v>
      </c>
      <c r="F4416" s="39">
        <v>0</v>
      </c>
      <c r="G4416" s="40"/>
      <c r="H4416" s="41"/>
      <c r="I4416" s="40">
        <v>10.101010060606059</v>
      </c>
      <c r="J4416" s="41"/>
      <c r="K4416" s="9" t="s">
        <v>6003</v>
      </c>
    </row>
    <row r="4417" spans="1:11" x14ac:dyDescent="0.2">
      <c r="A4417" s="9" t="s">
        <v>31</v>
      </c>
      <c r="B4417" s="9" t="s">
        <v>2331</v>
      </c>
      <c r="C4417" s="9"/>
      <c r="D4417" s="9" t="s">
        <v>79</v>
      </c>
      <c r="E4417" s="38">
        <v>1272</v>
      </c>
      <c r="F4417" s="39">
        <v>635778.23</v>
      </c>
      <c r="G4417" s="40">
        <v>499.82565251572328</v>
      </c>
      <c r="H4417" s="41">
        <v>-4.45545914652552E-2</v>
      </c>
      <c r="I4417" s="40">
        <v>59.97907830188678</v>
      </c>
      <c r="J4417" s="41">
        <v>0.12</v>
      </c>
      <c r="K4417" s="9" t="s">
        <v>6004</v>
      </c>
    </row>
    <row r="4418" spans="1:11" x14ac:dyDescent="0.2">
      <c r="A4418" s="9" t="s">
        <v>31</v>
      </c>
      <c r="B4418" s="9" t="s">
        <v>179</v>
      </c>
      <c r="C4418" s="9"/>
      <c r="D4418" s="9" t="s">
        <v>79</v>
      </c>
      <c r="E4418" s="38">
        <v>5082</v>
      </c>
      <c r="F4418" s="39">
        <v>2941708</v>
      </c>
      <c r="G4418" s="40">
        <v>578.84848484848487</v>
      </c>
      <c r="H4418" s="41">
        <v>-4.9805803845964149E-2</v>
      </c>
      <c r="I4418" s="40">
        <v>54.63181912632821</v>
      </c>
      <c r="J4418" s="41">
        <v>9.4380171247452141E-2</v>
      </c>
      <c r="K4418" s="9" t="s">
        <v>6005</v>
      </c>
    </row>
    <row r="4419" spans="1:11" x14ac:dyDescent="0.2">
      <c r="A4419" s="9" t="s">
        <v>31</v>
      </c>
      <c r="B4419" s="9" t="s">
        <v>1447</v>
      </c>
      <c r="C4419" s="9"/>
      <c r="D4419" s="9" t="s">
        <v>83</v>
      </c>
      <c r="E4419" s="38">
        <v>4</v>
      </c>
      <c r="F4419" s="39">
        <v>0</v>
      </c>
      <c r="G4419" s="40"/>
      <c r="H4419" s="41"/>
      <c r="I4419" s="40">
        <v>1200</v>
      </c>
      <c r="J4419" s="41"/>
      <c r="K4419" s="9" t="s">
        <v>6006</v>
      </c>
    </row>
    <row r="4420" spans="1:11" x14ac:dyDescent="0.2">
      <c r="A4420" s="9" t="s">
        <v>31</v>
      </c>
      <c r="B4420" s="9" t="s">
        <v>187</v>
      </c>
      <c r="C4420" s="9"/>
      <c r="D4420" s="9" t="s">
        <v>76</v>
      </c>
      <c r="E4420" s="38">
        <v>2280</v>
      </c>
      <c r="F4420" s="39">
        <v>574612.32000000007</v>
      </c>
      <c r="G4420" s="40">
        <v>252.02294736842109</v>
      </c>
      <c r="H4420" s="41">
        <v>-7.0227675394758979E-2</v>
      </c>
      <c r="I4420" s="40">
        <v>26.315789473684209</v>
      </c>
      <c r="J4420" s="41">
        <v>0.10441822757994471</v>
      </c>
      <c r="K4420" s="9" t="s">
        <v>6007</v>
      </c>
    </row>
    <row r="4421" spans="1:11" x14ac:dyDescent="0.2">
      <c r="A4421" s="9" t="s">
        <v>31</v>
      </c>
      <c r="B4421" s="9" t="s">
        <v>191</v>
      </c>
      <c r="C4421" s="9"/>
      <c r="D4421" s="9" t="s">
        <v>76</v>
      </c>
      <c r="E4421" s="38">
        <v>5693</v>
      </c>
      <c r="F4421" s="39">
        <v>2273237.46</v>
      </c>
      <c r="G4421" s="40">
        <v>399.30396276128579</v>
      </c>
      <c r="H4421" s="41">
        <v>3.5205258619217812E-2</v>
      </c>
      <c r="I4421" s="40">
        <v>44.826579870015813</v>
      </c>
      <c r="J4421" s="41">
        <v>0.112261795650684</v>
      </c>
      <c r="K4421" s="9" t="s">
        <v>6008</v>
      </c>
    </row>
    <row r="4422" spans="1:11" x14ac:dyDescent="0.2">
      <c r="A4422" s="9" t="s">
        <v>31</v>
      </c>
      <c r="B4422" s="9" t="s">
        <v>193</v>
      </c>
      <c r="C4422" s="9"/>
      <c r="D4422" s="9" t="s">
        <v>82</v>
      </c>
      <c r="E4422" s="38">
        <v>200</v>
      </c>
      <c r="F4422" s="39">
        <v>433068.67</v>
      </c>
      <c r="G4422" s="40">
        <v>2165.3433500000001</v>
      </c>
      <c r="H4422" s="41">
        <v>0.18796166584361471</v>
      </c>
      <c r="I4422" s="40">
        <v>173.22746799999999</v>
      </c>
      <c r="J4422" s="41">
        <v>0.08</v>
      </c>
      <c r="K4422" s="9" t="s">
        <v>6009</v>
      </c>
    </row>
    <row r="4423" spans="1:11" x14ac:dyDescent="0.2">
      <c r="A4423" s="9" t="s">
        <v>31</v>
      </c>
      <c r="B4423" s="9" t="s">
        <v>1599</v>
      </c>
      <c r="C4423" s="9"/>
      <c r="D4423" s="9" t="s">
        <v>84</v>
      </c>
      <c r="E4423" s="38">
        <v>1077</v>
      </c>
      <c r="F4423" s="39">
        <v>100520</v>
      </c>
      <c r="G4423" s="40">
        <v>93.333333333333329</v>
      </c>
      <c r="H4423" s="41">
        <v>0.53577937433163136</v>
      </c>
      <c r="I4423" s="40">
        <v>49.252553760445679</v>
      </c>
      <c r="J4423" s="41">
        <v>0.52770593314763226</v>
      </c>
      <c r="K4423" s="9" t="s">
        <v>6010</v>
      </c>
    </row>
    <row r="4424" spans="1:11" x14ac:dyDescent="0.2">
      <c r="A4424" s="9" t="s">
        <v>31</v>
      </c>
      <c r="B4424" s="9" t="s">
        <v>200</v>
      </c>
      <c r="C4424" s="9"/>
      <c r="D4424" s="9" t="s">
        <v>77</v>
      </c>
      <c r="E4424" s="38">
        <v>4309</v>
      </c>
      <c r="F4424" s="39">
        <v>1293942.3400000001</v>
      </c>
      <c r="G4424" s="40">
        <v>300.2883128336041</v>
      </c>
      <c r="H4424" s="41">
        <v>-5.6393263834738631E-2</v>
      </c>
      <c r="I4424" s="40">
        <v>21.020181898352291</v>
      </c>
      <c r="J4424" s="41">
        <v>7.0000000000000007E-2</v>
      </c>
      <c r="K4424" s="9" t="s">
        <v>6011</v>
      </c>
    </row>
    <row r="4425" spans="1:11" x14ac:dyDescent="0.2">
      <c r="A4425" s="9" t="s">
        <v>31</v>
      </c>
      <c r="B4425" s="9" t="s">
        <v>877</v>
      </c>
      <c r="C4425" s="9"/>
      <c r="D4425" s="9" t="s">
        <v>76</v>
      </c>
      <c r="E4425" s="38">
        <v>7362</v>
      </c>
      <c r="F4425" s="39">
        <v>963734.94999999984</v>
      </c>
      <c r="G4425" s="40">
        <v>130.90667617495239</v>
      </c>
      <c r="H4425" s="41">
        <v>9.7711358940561266E-2</v>
      </c>
      <c r="I4425" s="40">
        <v>13.090667617495249</v>
      </c>
      <c r="J4425" s="41">
        <v>0.1</v>
      </c>
      <c r="K4425" s="9" t="s">
        <v>6012</v>
      </c>
    </row>
    <row r="4426" spans="1:11" x14ac:dyDescent="0.2">
      <c r="A4426" s="9" t="s">
        <v>31</v>
      </c>
      <c r="B4426" s="9" t="s">
        <v>432</v>
      </c>
      <c r="C4426" s="9"/>
      <c r="D4426" s="9" t="s">
        <v>81</v>
      </c>
      <c r="E4426" s="38">
        <v>1</v>
      </c>
      <c r="F4426" s="39">
        <v>0</v>
      </c>
      <c r="G4426" s="40"/>
      <c r="H4426" s="41"/>
      <c r="I4426" s="40">
        <v>172632.81</v>
      </c>
      <c r="J4426" s="41"/>
      <c r="K4426" s="9" t="s">
        <v>6013</v>
      </c>
    </row>
    <row r="4427" spans="1:11" x14ac:dyDescent="0.2">
      <c r="A4427" s="9" t="s">
        <v>31</v>
      </c>
      <c r="B4427" s="9" t="s">
        <v>4337</v>
      </c>
      <c r="C4427" s="9"/>
      <c r="D4427" s="9" t="s">
        <v>81</v>
      </c>
      <c r="E4427" s="38">
        <v>6085</v>
      </c>
      <c r="F4427" s="39">
        <v>4223667.1300000008</v>
      </c>
      <c r="G4427" s="40">
        <v>694.11127855382097</v>
      </c>
      <c r="H4427" s="41">
        <v>0.1422047514084249</v>
      </c>
      <c r="I4427" s="40">
        <v>28.688578471651599</v>
      </c>
      <c r="J4427" s="41">
        <v>4.1331382096865189E-2</v>
      </c>
      <c r="K4427" s="9" t="s">
        <v>6014</v>
      </c>
    </row>
    <row r="4428" spans="1:11" x14ac:dyDescent="0.2">
      <c r="A4428" s="9" t="s">
        <v>31</v>
      </c>
      <c r="B4428" s="9" t="s">
        <v>1458</v>
      </c>
      <c r="C4428" s="9"/>
      <c r="D4428" s="9" t="s">
        <v>80</v>
      </c>
      <c r="E4428" s="38">
        <v>578</v>
      </c>
      <c r="F4428" s="39">
        <v>536540.49</v>
      </c>
      <c r="G4428" s="40">
        <v>928.27074394463671</v>
      </c>
      <c r="H4428" s="41">
        <v>3.2905731771705318E-2</v>
      </c>
      <c r="I4428" s="40">
        <v>148.7385197231834</v>
      </c>
      <c r="J4428" s="41">
        <v>0.1602318296611687</v>
      </c>
      <c r="K4428" s="9" t="s">
        <v>6015</v>
      </c>
    </row>
    <row r="4429" spans="1:11" x14ac:dyDescent="0.2">
      <c r="A4429" s="9" t="s">
        <v>31</v>
      </c>
      <c r="B4429" s="9" t="s">
        <v>208</v>
      </c>
      <c r="C4429" s="9"/>
      <c r="D4429" s="9" t="s">
        <v>78</v>
      </c>
      <c r="E4429" s="38">
        <v>1583</v>
      </c>
      <c r="F4429" s="39">
        <v>334612.55</v>
      </c>
      <c r="G4429" s="40">
        <v>211.37874289324071</v>
      </c>
      <c r="H4429" s="41">
        <v>-0.1233032608193745</v>
      </c>
      <c r="I4429" s="40">
        <v>16.910299684144029</v>
      </c>
      <c r="J4429" s="41">
        <v>8.0000001195412423E-2</v>
      </c>
      <c r="K4429" s="9" t="s">
        <v>6016</v>
      </c>
    </row>
    <row r="4430" spans="1:11" x14ac:dyDescent="0.2">
      <c r="A4430" s="9" t="s">
        <v>31</v>
      </c>
      <c r="B4430" s="9" t="s">
        <v>6017</v>
      </c>
      <c r="C4430" s="9"/>
      <c r="D4430" s="9" t="s">
        <v>83</v>
      </c>
      <c r="E4430" s="38">
        <v>6079</v>
      </c>
      <c r="F4430" s="39">
        <v>0</v>
      </c>
      <c r="G4430" s="40"/>
      <c r="H4430" s="41">
        <v>-0.13200426835482501</v>
      </c>
      <c r="I4430" s="40">
        <v>21.99999993419971</v>
      </c>
      <c r="J4430" s="41"/>
      <c r="K4430" s="9" t="s">
        <v>6018</v>
      </c>
    </row>
    <row r="4431" spans="1:11" x14ac:dyDescent="0.2">
      <c r="A4431" s="9" t="s">
        <v>31</v>
      </c>
      <c r="B4431" s="9" t="s">
        <v>766</v>
      </c>
      <c r="C4431" s="9"/>
      <c r="D4431" s="9" t="s">
        <v>86</v>
      </c>
      <c r="E4431" s="38">
        <v>66000</v>
      </c>
      <c r="F4431" s="39">
        <v>0</v>
      </c>
      <c r="G4431" s="40"/>
      <c r="H4431" s="41">
        <v>-1.362634059419624E-2</v>
      </c>
      <c r="I4431" s="40">
        <v>15.5</v>
      </c>
      <c r="J4431" s="41"/>
      <c r="K4431" s="9" t="s">
        <v>6019</v>
      </c>
    </row>
    <row r="4432" spans="1:11" x14ac:dyDescent="0.2">
      <c r="A4432" s="9" t="s">
        <v>31</v>
      </c>
      <c r="B4432" s="9" t="s">
        <v>1001</v>
      </c>
      <c r="C4432" s="9"/>
      <c r="D4432" s="9" t="s">
        <v>76</v>
      </c>
      <c r="E4432" s="38">
        <v>4560</v>
      </c>
      <c r="F4432" s="39">
        <v>1225598</v>
      </c>
      <c r="G4432" s="40">
        <v>268.7714912280702</v>
      </c>
      <c r="H4432" s="41">
        <v>-0.1234726692131838</v>
      </c>
      <c r="I4432" s="40">
        <v>79.184815789473689</v>
      </c>
      <c r="J4432" s="41">
        <v>0.29461761523762281</v>
      </c>
      <c r="K4432" s="9" t="s">
        <v>6020</v>
      </c>
    </row>
    <row r="4433" spans="1:11" x14ac:dyDescent="0.2">
      <c r="A4433" s="9" t="s">
        <v>31</v>
      </c>
      <c r="B4433" s="9" t="s">
        <v>228</v>
      </c>
      <c r="C4433" s="9"/>
      <c r="D4433" s="9" t="s">
        <v>76</v>
      </c>
      <c r="E4433" s="38">
        <v>5515</v>
      </c>
      <c r="F4433" s="39">
        <v>1250170.8999999999</v>
      </c>
      <c r="G4433" s="40">
        <v>226.68556663644611</v>
      </c>
      <c r="H4433" s="41">
        <v>-3.5298725079864202E-2</v>
      </c>
      <c r="I4433" s="40">
        <v>22.803517751586579</v>
      </c>
      <c r="J4433" s="41">
        <v>0.1005953669214345</v>
      </c>
      <c r="K4433" s="9" t="s">
        <v>6021</v>
      </c>
    </row>
    <row r="4434" spans="1:11" x14ac:dyDescent="0.2">
      <c r="A4434" s="9" t="s">
        <v>31</v>
      </c>
      <c r="B4434" s="9" t="s">
        <v>231</v>
      </c>
      <c r="C4434" s="9"/>
      <c r="D4434" s="9" t="s">
        <v>76</v>
      </c>
      <c r="E4434" s="38">
        <v>9483</v>
      </c>
      <c r="F4434" s="39">
        <v>1038457.73</v>
      </c>
      <c r="G4434" s="40">
        <v>109.50730043235259</v>
      </c>
      <c r="H4434" s="41">
        <v>-0.2572433666704832</v>
      </c>
      <c r="I4434" s="40">
        <v>8.7605840345882111</v>
      </c>
      <c r="J4434" s="41">
        <v>0.08</v>
      </c>
      <c r="K4434" s="9" t="s">
        <v>6022</v>
      </c>
    </row>
    <row r="4435" spans="1:11" x14ac:dyDescent="0.2">
      <c r="A4435" s="9" t="s">
        <v>31</v>
      </c>
      <c r="B4435" s="9" t="s">
        <v>456</v>
      </c>
      <c r="C4435" s="9"/>
      <c r="D4435" s="9" t="s">
        <v>76</v>
      </c>
      <c r="E4435" s="38">
        <v>1657</v>
      </c>
      <c r="F4435" s="39">
        <v>533419.6</v>
      </c>
      <c r="G4435" s="40">
        <v>321.91888955944478</v>
      </c>
      <c r="H4435" s="41">
        <v>-7.936523376057035E-2</v>
      </c>
      <c r="I4435" s="40">
        <v>37.861603379601704</v>
      </c>
      <c r="J4435" s="41">
        <v>0.1176122452193358</v>
      </c>
      <c r="K4435" s="9" t="s">
        <v>6023</v>
      </c>
    </row>
    <row r="4436" spans="1:11" x14ac:dyDescent="0.2">
      <c r="A4436" s="9" t="s">
        <v>31</v>
      </c>
      <c r="B4436" s="9" t="s">
        <v>245</v>
      </c>
      <c r="C4436" s="9"/>
      <c r="D4436" s="9" t="s">
        <v>79</v>
      </c>
      <c r="E4436" s="38">
        <v>1425</v>
      </c>
      <c r="F4436" s="39">
        <v>530579.07999999996</v>
      </c>
      <c r="G4436" s="40">
        <v>372.33619649122812</v>
      </c>
      <c r="H4436" s="41">
        <v>-0.2052359813510406</v>
      </c>
      <c r="I4436" s="40">
        <v>50.76</v>
      </c>
      <c r="J4436" s="41">
        <v>0.13632840556020409</v>
      </c>
      <c r="K4436" s="9" t="s">
        <v>6024</v>
      </c>
    </row>
    <row r="4437" spans="1:11" x14ac:dyDescent="0.2">
      <c r="A4437" s="9" t="s">
        <v>31</v>
      </c>
      <c r="B4437" s="9" t="s">
        <v>6025</v>
      </c>
      <c r="C4437" s="9"/>
      <c r="D4437" s="9" t="s">
        <v>78</v>
      </c>
      <c r="E4437" s="38">
        <v>4740</v>
      </c>
      <c r="F4437" s="39">
        <v>0</v>
      </c>
      <c r="G4437" s="40"/>
      <c r="H4437" s="41">
        <v>0.2212483292268958</v>
      </c>
      <c r="I4437" s="40">
        <v>46.22400734177215</v>
      </c>
      <c r="J4437" s="41"/>
      <c r="K4437" s="9" t="s">
        <v>6026</v>
      </c>
    </row>
    <row r="4438" spans="1:11" x14ac:dyDescent="0.2">
      <c r="A4438" s="9" t="s">
        <v>31</v>
      </c>
      <c r="B4438" s="9" t="s">
        <v>6027</v>
      </c>
      <c r="C4438" s="9"/>
      <c r="D4438" s="9" t="s">
        <v>81</v>
      </c>
      <c r="E4438" s="38">
        <v>520</v>
      </c>
      <c r="F4438" s="39">
        <v>151965.46</v>
      </c>
      <c r="G4438" s="40">
        <v>292.24126923076932</v>
      </c>
      <c r="H4438" s="41">
        <v>-3.0981228014924391E-2</v>
      </c>
      <c r="I4438" s="40">
        <v>63.959672307692308</v>
      </c>
      <c r="J4438" s="41">
        <v>0.21885913812257071</v>
      </c>
      <c r="K4438" s="9" t="s">
        <v>6028</v>
      </c>
    </row>
    <row r="4439" spans="1:11" x14ac:dyDescent="0.2">
      <c r="A4439" s="9" t="s">
        <v>31</v>
      </c>
      <c r="B4439" s="9" t="s">
        <v>247</v>
      </c>
      <c r="C4439" s="9"/>
      <c r="D4439" s="9" t="s">
        <v>76</v>
      </c>
      <c r="E4439" s="38">
        <v>15703</v>
      </c>
      <c r="F4439" s="39">
        <v>2692896.59</v>
      </c>
      <c r="G4439" s="40">
        <v>171.48930713876331</v>
      </c>
      <c r="H4439" s="41">
        <v>-0.61177179916423408</v>
      </c>
      <c r="I4439" s="40">
        <v>13.71914457110106</v>
      </c>
      <c r="J4439" s="41">
        <v>0.08</v>
      </c>
      <c r="K4439" s="9" t="s">
        <v>6029</v>
      </c>
    </row>
    <row r="4440" spans="1:11" x14ac:dyDescent="0.2">
      <c r="A4440" s="9" t="s">
        <v>31</v>
      </c>
      <c r="B4440" s="9" t="s">
        <v>249</v>
      </c>
      <c r="C4440" s="9"/>
      <c r="D4440" s="9" t="s">
        <v>82</v>
      </c>
      <c r="E4440" s="38">
        <v>4089</v>
      </c>
      <c r="F4440" s="39">
        <v>886380.06</v>
      </c>
      <c r="G4440" s="40">
        <v>216.77184152604551</v>
      </c>
      <c r="H4440" s="41">
        <v>-8.1885406576584011E-2</v>
      </c>
      <c r="I4440" s="40">
        <v>30.569821570066029</v>
      </c>
      <c r="J4440" s="41">
        <v>0.14102302842868561</v>
      </c>
      <c r="K4440" s="9" t="s">
        <v>6030</v>
      </c>
    </row>
    <row r="4441" spans="1:11" x14ac:dyDescent="0.2">
      <c r="A4441" s="9" t="s">
        <v>31</v>
      </c>
      <c r="B4441" s="9" t="s">
        <v>6031</v>
      </c>
      <c r="C4441" s="9"/>
      <c r="D4441" s="9" t="s">
        <v>83</v>
      </c>
      <c r="E4441" s="38">
        <v>1610</v>
      </c>
      <c r="F4441" s="39">
        <v>0</v>
      </c>
      <c r="G4441" s="40"/>
      <c r="H4441" s="41">
        <v>0.28563766442733379</v>
      </c>
      <c r="I4441" s="40">
        <v>55.900621118012417</v>
      </c>
      <c r="J4441" s="41"/>
      <c r="K4441" s="9" t="s">
        <v>6032</v>
      </c>
    </row>
    <row r="4442" spans="1:11" x14ac:dyDescent="0.2">
      <c r="A4442" s="9" t="s">
        <v>31</v>
      </c>
      <c r="B4442" s="9" t="s">
        <v>256</v>
      </c>
      <c r="C4442" s="9"/>
      <c r="D4442" s="9" t="s">
        <v>76</v>
      </c>
      <c r="E4442" s="38">
        <v>2144</v>
      </c>
      <c r="F4442" s="39">
        <v>1032755.03</v>
      </c>
      <c r="G4442" s="40">
        <v>481.69544309701502</v>
      </c>
      <c r="H4442" s="41">
        <v>-7.2306238625044622E-2</v>
      </c>
      <c r="I4442" s="40">
        <v>48.169544309701493</v>
      </c>
      <c r="J4442" s="41">
        <v>9.9999999999999992E-2</v>
      </c>
      <c r="K4442" s="9" t="s">
        <v>6033</v>
      </c>
    </row>
    <row r="4443" spans="1:11" x14ac:dyDescent="0.2">
      <c r="A4443" s="9" t="s">
        <v>31</v>
      </c>
      <c r="B4443" s="9" t="s">
        <v>473</v>
      </c>
      <c r="C4443" s="9"/>
      <c r="D4443" s="9" t="s">
        <v>86</v>
      </c>
      <c r="E4443" s="38">
        <v>189106</v>
      </c>
      <c r="F4443" s="39">
        <v>0</v>
      </c>
      <c r="G4443" s="40"/>
      <c r="H4443" s="41"/>
      <c r="I4443" s="40">
        <v>0.05</v>
      </c>
      <c r="J4443" s="41"/>
      <c r="K4443" s="9" t="s">
        <v>6034</v>
      </c>
    </row>
    <row r="4444" spans="1:11" x14ac:dyDescent="0.2">
      <c r="A4444" s="9" t="s">
        <v>31</v>
      </c>
      <c r="B4444" s="9" t="s">
        <v>6035</v>
      </c>
      <c r="C4444" s="9"/>
      <c r="D4444" s="9" t="s">
        <v>81</v>
      </c>
      <c r="E4444" s="38">
        <v>5000</v>
      </c>
      <c r="F4444" s="39">
        <v>0</v>
      </c>
      <c r="G4444" s="40"/>
      <c r="H4444" s="41"/>
      <c r="I4444" s="40">
        <v>26.10863208</v>
      </c>
      <c r="J4444" s="41"/>
      <c r="K4444" s="9" t="s">
        <v>6036</v>
      </c>
    </row>
    <row r="4445" spans="1:11" x14ac:dyDescent="0.2">
      <c r="A4445" s="9" t="s">
        <v>31</v>
      </c>
      <c r="B4445" s="9" t="s">
        <v>479</v>
      </c>
      <c r="C4445" s="9"/>
      <c r="D4445" s="9" t="s">
        <v>77</v>
      </c>
      <c r="E4445" s="38">
        <v>7064</v>
      </c>
      <c r="F4445" s="39">
        <v>4534519.45</v>
      </c>
      <c r="G4445" s="40">
        <v>641.91951443941116</v>
      </c>
      <c r="H4445" s="41">
        <v>0.36358647264290772</v>
      </c>
      <c r="I4445" s="40">
        <v>64.445287967157412</v>
      </c>
      <c r="J4445" s="41">
        <v>0.1003946546529864</v>
      </c>
      <c r="K4445" s="9" t="s">
        <v>6037</v>
      </c>
    </row>
    <row r="4446" spans="1:11" x14ac:dyDescent="0.2">
      <c r="A4446" s="9" t="s">
        <v>31</v>
      </c>
      <c r="B4446" s="9" t="s">
        <v>6038</v>
      </c>
      <c r="C4446" s="9"/>
      <c r="D4446" s="9" t="s">
        <v>83</v>
      </c>
      <c r="E4446" s="38">
        <v>5579</v>
      </c>
      <c r="F4446" s="39">
        <v>0</v>
      </c>
      <c r="G4446" s="40"/>
      <c r="H4446" s="41"/>
      <c r="I4446" s="40">
        <v>55.95</v>
      </c>
      <c r="J4446" s="41"/>
      <c r="K4446" s="9" t="s">
        <v>6039</v>
      </c>
    </row>
    <row r="4447" spans="1:11" x14ac:dyDescent="0.2">
      <c r="A4447" s="9" t="s">
        <v>31</v>
      </c>
      <c r="B4447" s="9" t="s">
        <v>267</v>
      </c>
      <c r="C4447" s="9"/>
      <c r="D4447" s="9" t="s">
        <v>77</v>
      </c>
      <c r="E4447" s="38">
        <v>1790</v>
      </c>
      <c r="F4447" s="39">
        <v>778321.29</v>
      </c>
      <c r="G4447" s="40">
        <v>434.81636312849162</v>
      </c>
      <c r="H4447" s="41">
        <v>-0.16535232427760521</v>
      </c>
      <c r="I4447" s="40">
        <v>102.251105698324</v>
      </c>
      <c r="J4447" s="41">
        <v>0.23515928646895939</v>
      </c>
      <c r="K4447" s="9" t="s">
        <v>6040</v>
      </c>
    </row>
    <row r="4448" spans="1:11" x14ac:dyDescent="0.2">
      <c r="A4448" s="9" t="s">
        <v>31</v>
      </c>
      <c r="B4448" s="9" t="s">
        <v>271</v>
      </c>
      <c r="C4448" s="9"/>
      <c r="D4448" s="9" t="s">
        <v>78</v>
      </c>
      <c r="E4448" s="38">
        <v>1961</v>
      </c>
      <c r="F4448" s="39">
        <v>1118509.1299999999</v>
      </c>
      <c r="G4448" s="40">
        <v>570.3769148393676</v>
      </c>
      <c r="H4448" s="41">
        <v>-9.5320449269924973E-2</v>
      </c>
      <c r="I4448" s="40">
        <v>105.2033593064763</v>
      </c>
      <c r="J4448" s="41">
        <v>0.18444533179626349</v>
      </c>
      <c r="K4448" s="9" t="s">
        <v>6041</v>
      </c>
    </row>
    <row r="4449" spans="1:11" x14ac:dyDescent="0.2">
      <c r="A4449" s="9" t="s">
        <v>31</v>
      </c>
      <c r="B4449" s="9" t="s">
        <v>1913</v>
      </c>
      <c r="C4449" s="9"/>
      <c r="D4449" s="9" t="s">
        <v>76</v>
      </c>
      <c r="E4449" s="38">
        <v>4500</v>
      </c>
      <c r="F4449" s="39">
        <v>585082.51</v>
      </c>
      <c r="G4449" s="40">
        <v>130.01833555555561</v>
      </c>
      <c r="H4449" s="41">
        <v>5.5134425183316439E-2</v>
      </c>
      <c r="I4449" s="40">
        <v>16.666666666666671</v>
      </c>
      <c r="J4449" s="41">
        <v>0.12818704835323139</v>
      </c>
      <c r="K4449" s="9" t="s">
        <v>6042</v>
      </c>
    </row>
    <row r="4450" spans="1:11" x14ac:dyDescent="0.2">
      <c r="A4450" s="9" t="s">
        <v>31</v>
      </c>
      <c r="B4450" s="9" t="s">
        <v>277</v>
      </c>
      <c r="C4450" s="9"/>
      <c r="D4450" s="9" t="s">
        <v>76</v>
      </c>
      <c r="E4450" s="38">
        <v>534</v>
      </c>
      <c r="F4450" s="39">
        <v>356760.14</v>
      </c>
      <c r="G4450" s="40">
        <v>668.09014981273413</v>
      </c>
      <c r="H4450" s="41">
        <v>0.2738531870086533</v>
      </c>
      <c r="I4450" s="40">
        <v>53.447211985018733</v>
      </c>
      <c r="J4450" s="41">
        <v>0.08</v>
      </c>
      <c r="K4450" s="9" t="s">
        <v>6043</v>
      </c>
    </row>
    <row r="4451" spans="1:11" x14ac:dyDescent="0.2">
      <c r="A4451" s="9" t="s">
        <v>31</v>
      </c>
      <c r="B4451" s="9" t="s">
        <v>1919</v>
      </c>
      <c r="C4451" s="9"/>
      <c r="D4451" s="9" t="s">
        <v>81</v>
      </c>
      <c r="E4451" s="38">
        <v>5700</v>
      </c>
      <c r="F4451" s="39">
        <v>0</v>
      </c>
      <c r="G4451" s="40"/>
      <c r="H4451" s="41"/>
      <c r="I4451" s="40">
        <v>26.97227178947368</v>
      </c>
      <c r="J4451" s="41"/>
      <c r="K4451" s="9" t="s">
        <v>6044</v>
      </c>
    </row>
    <row r="4452" spans="1:11" x14ac:dyDescent="0.2">
      <c r="A4452" s="9" t="s">
        <v>31</v>
      </c>
      <c r="B4452" s="9" t="s">
        <v>283</v>
      </c>
      <c r="C4452" s="9"/>
      <c r="D4452" s="9" t="s">
        <v>78</v>
      </c>
      <c r="E4452" s="38">
        <v>683</v>
      </c>
      <c r="F4452" s="39">
        <v>533900.91</v>
      </c>
      <c r="G4452" s="40">
        <v>781.69972181551987</v>
      </c>
      <c r="H4452" s="41">
        <v>0.33122192573777759</v>
      </c>
      <c r="I4452" s="40">
        <v>93.803966617862386</v>
      </c>
      <c r="J4452" s="41">
        <v>0.12</v>
      </c>
      <c r="K4452" s="9" t="s">
        <v>6045</v>
      </c>
    </row>
    <row r="4453" spans="1:11" x14ac:dyDescent="0.2">
      <c r="A4453" s="9" t="s">
        <v>31</v>
      </c>
      <c r="B4453" s="9" t="s">
        <v>6046</v>
      </c>
      <c r="C4453" s="9"/>
      <c r="D4453" s="9" t="s">
        <v>86</v>
      </c>
      <c r="E4453" s="38">
        <v>1</v>
      </c>
      <c r="F4453" s="39">
        <v>0</v>
      </c>
      <c r="G4453" s="40"/>
      <c r="H4453" s="41"/>
      <c r="I4453" s="40">
        <v>75663.077999999994</v>
      </c>
      <c r="J4453" s="41"/>
      <c r="K4453" s="9" t="s">
        <v>6047</v>
      </c>
    </row>
    <row r="4454" spans="1:11" x14ac:dyDescent="0.2">
      <c r="A4454" s="9" t="s">
        <v>31</v>
      </c>
      <c r="B4454" s="9" t="s">
        <v>295</v>
      </c>
      <c r="C4454" s="9"/>
      <c r="D4454" s="9" t="s">
        <v>76</v>
      </c>
      <c r="E4454" s="38">
        <v>4905</v>
      </c>
      <c r="F4454" s="39">
        <v>972365.05</v>
      </c>
      <c r="G4454" s="40">
        <v>198.23956167176351</v>
      </c>
      <c r="H4454" s="41">
        <v>3.8665647702517868E-2</v>
      </c>
      <c r="I4454" s="40">
        <v>21.806351681957189</v>
      </c>
      <c r="J4454" s="41">
        <v>0.1099999994857898</v>
      </c>
      <c r="K4454" s="9" t="s">
        <v>6048</v>
      </c>
    </row>
    <row r="4455" spans="1:11" x14ac:dyDescent="0.2">
      <c r="A4455" s="9" t="s">
        <v>31</v>
      </c>
      <c r="B4455" s="9" t="s">
        <v>6049</v>
      </c>
      <c r="C4455" s="9"/>
      <c r="D4455" s="9" t="s">
        <v>83</v>
      </c>
      <c r="E4455" s="38">
        <v>1262</v>
      </c>
      <c r="F4455" s="39">
        <v>277820</v>
      </c>
      <c r="G4455" s="40">
        <v>220.14263074484941</v>
      </c>
      <c r="H4455" s="41">
        <v>0.14887387387387391</v>
      </c>
      <c r="I4455" s="40">
        <v>30.26339144215531</v>
      </c>
      <c r="J4455" s="41">
        <v>0.13747174429486719</v>
      </c>
      <c r="K4455" s="9" t="s">
        <v>6050</v>
      </c>
    </row>
    <row r="4456" spans="1:11" x14ac:dyDescent="0.2">
      <c r="A4456" s="9" t="s">
        <v>31</v>
      </c>
      <c r="B4456" s="9" t="s">
        <v>301</v>
      </c>
      <c r="C4456" s="9"/>
      <c r="D4456" s="9" t="s">
        <v>82</v>
      </c>
      <c r="E4456" s="38">
        <v>3620</v>
      </c>
      <c r="F4456" s="39">
        <v>762971.69000000006</v>
      </c>
      <c r="G4456" s="40">
        <v>210.7656602209945</v>
      </c>
      <c r="H4456" s="41"/>
      <c r="I4456" s="40">
        <v>22.762431049723759</v>
      </c>
      <c r="J4456" s="41">
        <v>0.1079987651966484</v>
      </c>
      <c r="K4456" s="9" t="s">
        <v>6051</v>
      </c>
    </row>
    <row r="4457" spans="1:11" x14ac:dyDescent="0.2">
      <c r="A4457" s="9" t="s">
        <v>31</v>
      </c>
      <c r="B4457" s="9" t="s">
        <v>1665</v>
      </c>
      <c r="C4457" s="9"/>
      <c r="D4457" s="9" t="s">
        <v>84</v>
      </c>
      <c r="E4457" s="38">
        <v>150</v>
      </c>
      <c r="F4457" s="39">
        <v>122635</v>
      </c>
      <c r="G4457" s="40">
        <v>817.56666666666672</v>
      </c>
      <c r="H4457" s="41">
        <v>0.48466041860348252</v>
      </c>
      <c r="I4457" s="40">
        <v>325.34266400000001</v>
      </c>
      <c r="J4457" s="41">
        <v>0.39794022587352712</v>
      </c>
      <c r="K4457" s="9" t="s">
        <v>6052</v>
      </c>
    </row>
    <row r="4458" spans="1:11" x14ac:dyDescent="0.2">
      <c r="A4458" s="9" t="s">
        <v>31</v>
      </c>
      <c r="B4458" s="9" t="s">
        <v>6053</v>
      </c>
      <c r="C4458" s="9"/>
      <c r="D4458" s="9" t="s">
        <v>80</v>
      </c>
      <c r="E4458" s="38">
        <v>511</v>
      </c>
      <c r="F4458" s="39">
        <v>0</v>
      </c>
      <c r="G4458" s="40"/>
      <c r="H4458" s="41"/>
      <c r="I4458" s="40">
        <v>105.8923491193738</v>
      </c>
      <c r="J4458" s="41"/>
      <c r="K4458" s="9" t="s">
        <v>6054</v>
      </c>
    </row>
    <row r="4459" spans="1:11" x14ac:dyDescent="0.2">
      <c r="A4459" s="9" t="s">
        <v>31</v>
      </c>
      <c r="B4459" s="9" t="s">
        <v>2224</v>
      </c>
      <c r="C4459" s="9"/>
      <c r="D4459" s="9" t="s">
        <v>80</v>
      </c>
      <c r="E4459" s="38">
        <v>977</v>
      </c>
      <c r="F4459" s="39">
        <v>326495.09999999998</v>
      </c>
      <c r="G4459" s="40">
        <v>334.18126919140218</v>
      </c>
      <c r="H4459" s="41">
        <v>2.390205952065174E-2</v>
      </c>
      <c r="I4459" s="40">
        <v>70.729999590583418</v>
      </c>
      <c r="J4459" s="41">
        <v>0.21165159783408699</v>
      </c>
      <c r="K4459" s="9" t="s">
        <v>6055</v>
      </c>
    </row>
    <row r="4460" spans="1:11" x14ac:dyDescent="0.2">
      <c r="A4460" s="9" t="s">
        <v>31</v>
      </c>
      <c r="B4460" s="9" t="s">
        <v>6056</v>
      </c>
      <c r="C4460" s="9"/>
      <c r="D4460" s="9" t="s">
        <v>81</v>
      </c>
      <c r="E4460" s="38">
        <v>2061</v>
      </c>
      <c r="F4460" s="39">
        <v>1027457.02</v>
      </c>
      <c r="G4460" s="40">
        <v>498.52354196991752</v>
      </c>
      <c r="H4460" s="41">
        <v>3.5507968918077233E-2</v>
      </c>
      <c r="I4460" s="40">
        <v>50.281425909752542</v>
      </c>
      <c r="J4460" s="41">
        <v>0.1008606849559508</v>
      </c>
      <c r="K4460" s="9" t="s">
        <v>6057</v>
      </c>
    </row>
    <row r="4461" spans="1:11" x14ac:dyDescent="0.2">
      <c r="A4461" s="9" t="s">
        <v>31</v>
      </c>
      <c r="B4461" s="9" t="s">
        <v>2400</v>
      </c>
      <c r="C4461" s="9"/>
      <c r="D4461" s="9" t="s">
        <v>81</v>
      </c>
      <c r="E4461" s="38">
        <v>9330</v>
      </c>
      <c r="F4461" s="39">
        <v>0</v>
      </c>
      <c r="G4461" s="40"/>
      <c r="H4461" s="41"/>
      <c r="I4461" s="40">
        <v>23.08504180064309</v>
      </c>
      <c r="J4461" s="41"/>
      <c r="K4461" s="9" t="s">
        <v>6058</v>
      </c>
    </row>
    <row r="4462" spans="1:11" x14ac:dyDescent="0.2">
      <c r="A4462" s="9" t="s">
        <v>31</v>
      </c>
      <c r="B4462" s="9" t="s">
        <v>321</v>
      </c>
      <c r="C4462" s="9"/>
      <c r="D4462" s="9" t="s">
        <v>78</v>
      </c>
      <c r="E4462" s="38">
        <v>1363</v>
      </c>
      <c r="F4462" s="39">
        <v>1620886.28</v>
      </c>
      <c r="G4462" s="40">
        <v>1189.204900953778</v>
      </c>
      <c r="H4462" s="41">
        <v>0.1820304337472419</v>
      </c>
      <c r="I4462" s="40">
        <v>73.392646221570061</v>
      </c>
      <c r="J4462" s="41">
        <v>6.1715728015169578E-2</v>
      </c>
      <c r="K4462" s="9" t="s">
        <v>6059</v>
      </c>
    </row>
    <row r="4463" spans="1:11" x14ac:dyDescent="0.2">
      <c r="A4463" s="9" t="s">
        <v>31</v>
      </c>
      <c r="B4463" s="9" t="s">
        <v>3483</v>
      </c>
      <c r="C4463" s="9"/>
      <c r="D4463" s="9" t="s">
        <v>85</v>
      </c>
      <c r="E4463" s="38">
        <v>37121</v>
      </c>
      <c r="F4463" s="39">
        <v>0</v>
      </c>
      <c r="G4463" s="40"/>
      <c r="H4463" s="41"/>
      <c r="I4463" s="40">
        <v>5.3877859001643271</v>
      </c>
      <c r="J4463" s="41"/>
      <c r="K4463" s="9" t="s">
        <v>6060</v>
      </c>
    </row>
    <row r="4464" spans="1:11" x14ac:dyDescent="0.2">
      <c r="A4464" s="9" t="s">
        <v>31</v>
      </c>
      <c r="B4464" s="9" t="s">
        <v>2248</v>
      </c>
      <c r="C4464" s="9"/>
      <c r="D4464" s="9" t="s">
        <v>76</v>
      </c>
      <c r="E4464" s="38">
        <v>4605</v>
      </c>
      <c r="F4464" s="39">
        <v>601113.66</v>
      </c>
      <c r="G4464" s="40">
        <v>130.53499674267101</v>
      </c>
      <c r="H4464" s="41">
        <v>-2.6817120913898679E-2</v>
      </c>
      <c r="I4464" s="40">
        <v>20.740221498371341</v>
      </c>
      <c r="J4464" s="41">
        <v>0.1588862911549872</v>
      </c>
      <c r="K4464" s="9" t="s">
        <v>6061</v>
      </c>
    </row>
    <row r="4465" spans="1:11" x14ac:dyDescent="0.2">
      <c r="A4465" s="9" t="s">
        <v>31</v>
      </c>
      <c r="B4465" s="9" t="s">
        <v>6062</v>
      </c>
      <c r="C4465" s="9"/>
      <c r="D4465" s="9" t="s">
        <v>81</v>
      </c>
      <c r="E4465" s="38">
        <v>879</v>
      </c>
      <c r="F4465" s="39">
        <v>65564.52</v>
      </c>
      <c r="G4465" s="40">
        <v>74.589897610921511</v>
      </c>
      <c r="H4465" s="41"/>
      <c r="I4465" s="40">
        <v>39.362638907849828</v>
      </c>
      <c r="J4465" s="41">
        <v>0.52772077947035978</v>
      </c>
      <c r="K4465" s="9" t="s">
        <v>6063</v>
      </c>
    </row>
    <row r="4466" spans="1:11" x14ac:dyDescent="0.2">
      <c r="A4466" s="9" t="s">
        <v>31</v>
      </c>
      <c r="B4466" s="9" t="s">
        <v>6064</v>
      </c>
      <c r="C4466" s="9"/>
      <c r="D4466" s="9" t="s">
        <v>78</v>
      </c>
      <c r="E4466" s="38">
        <v>1209</v>
      </c>
      <c r="F4466" s="39">
        <v>1224518.03</v>
      </c>
      <c r="G4466" s="40">
        <v>1012.835425971878</v>
      </c>
      <c r="H4466" s="41">
        <v>-6.1237237700417002E-2</v>
      </c>
      <c r="I4466" s="40">
        <v>121.3762451612903</v>
      </c>
      <c r="J4466" s="41">
        <v>0.1198380724536984</v>
      </c>
      <c r="K4466" s="9" t="s">
        <v>6065</v>
      </c>
    </row>
    <row r="4467" spans="1:11" x14ac:dyDescent="0.2">
      <c r="A4467" s="9" t="s">
        <v>31</v>
      </c>
      <c r="B4467" s="9" t="s">
        <v>950</v>
      </c>
      <c r="C4467" s="9"/>
      <c r="D4467" s="9" t="s">
        <v>80</v>
      </c>
      <c r="E4467" s="38">
        <v>518</v>
      </c>
      <c r="F4467" s="39">
        <v>1366509.58</v>
      </c>
      <c r="G4467" s="40">
        <v>2638.0493822393828</v>
      </c>
      <c r="H4467" s="41">
        <v>-5.035803386626992E-2</v>
      </c>
      <c r="I4467" s="40">
        <v>328.28995135135148</v>
      </c>
      <c r="J4467" s="41">
        <v>0.12444420243288749</v>
      </c>
      <c r="K4467" s="9" t="s">
        <v>6066</v>
      </c>
    </row>
    <row r="4468" spans="1:11" x14ac:dyDescent="0.2">
      <c r="A4468" s="9" t="s">
        <v>31</v>
      </c>
      <c r="B4468" s="9" t="s">
        <v>339</v>
      </c>
      <c r="C4468" s="9"/>
      <c r="D4468" s="9" t="s">
        <v>80</v>
      </c>
      <c r="E4468" s="38">
        <v>562</v>
      </c>
      <c r="F4468" s="39">
        <v>473428.62</v>
      </c>
      <c r="G4468" s="40">
        <v>842.39967971530245</v>
      </c>
      <c r="H4468" s="41">
        <v>-6.0399104102531173E-2</v>
      </c>
      <c r="I4468" s="40">
        <v>142.24519857651251</v>
      </c>
      <c r="J4468" s="41">
        <v>0.16885713753427081</v>
      </c>
      <c r="K4468" s="9" t="s">
        <v>6067</v>
      </c>
    </row>
    <row r="4469" spans="1:11" x14ac:dyDescent="0.2">
      <c r="A4469" s="9" t="s">
        <v>31</v>
      </c>
      <c r="B4469" s="9" t="s">
        <v>343</v>
      </c>
      <c r="C4469" s="9"/>
      <c r="D4469" s="9" t="s">
        <v>79</v>
      </c>
      <c r="E4469" s="38">
        <v>5264</v>
      </c>
      <c r="F4469" s="39">
        <v>6678804.4799999986</v>
      </c>
      <c r="G4469" s="40">
        <v>1268.7698480243159</v>
      </c>
      <c r="H4469" s="41">
        <v>9.8310232117638799E-2</v>
      </c>
      <c r="I4469" s="40">
        <v>101.50158784194529</v>
      </c>
      <c r="J4469" s="41">
        <v>0.08</v>
      </c>
      <c r="K4469" s="9" t="s">
        <v>6068</v>
      </c>
    </row>
    <row r="4470" spans="1:11" x14ac:dyDescent="0.2">
      <c r="A4470" s="9" t="s">
        <v>31</v>
      </c>
      <c r="B4470" s="9" t="s">
        <v>353</v>
      </c>
      <c r="C4470" s="9"/>
      <c r="D4470" s="9" t="s">
        <v>76</v>
      </c>
      <c r="E4470" s="38">
        <v>2542</v>
      </c>
      <c r="F4470" s="39">
        <v>613292.71</v>
      </c>
      <c r="G4470" s="40">
        <v>241.26385129819039</v>
      </c>
      <c r="H4470" s="41">
        <v>5.1945699880245291E-2</v>
      </c>
      <c r="I4470" s="40">
        <v>31.49921353265146</v>
      </c>
      <c r="J4470" s="41">
        <v>0.13055919220040951</v>
      </c>
      <c r="K4470" s="9" t="s">
        <v>6069</v>
      </c>
    </row>
    <row r="4471" spans="1:11" x14ac:dyDescent="0.2">
      <c r="A4471" s="9" t="s">
        <v>31</v>
      </c>
      <c r="B4471" s="9" t="s">
        <v>6070</v>
      </c>
      <c r="C4471" s="9"/>
      <c r="D4471" s="9" t="s">
        <v>80</v>
      </c>
      <c r="E4471" s="38">
        <v>572</v>
      </c>
      <c r="F4471" s="39">
        <v>516467.79</v>
      </c>
      <c r="G4471" s="40">
        <v>902.91571678321679</v>
      </c>
      <c r="H4471" s="41">
        <v>-0.10444160955276691</v>
      </c>
      <c r="I4471" s="40">
        <v>116.7594671328671</v>
      </c>
      <c r="J4471" s="41">
        <v>0.12931380522297431</v>
      </c>
      <c r="K4471" s="9" t="s">
        <v>6071</v>
      </c>
    </row>
    <row r="4472" spans="1:11" x14ac:dyDescent="0.2">
      <c r="A4472" s="9" t="s">
        <v>31</v>
      </c>
      <c r="B4472" s="9" t="s">
        <v>6072</v>
      </c>
      <c r="C4472" s="9"/>
      <c r="D4472" s="9" t="s">
        <v>83</v>
      </c>
      <c r="E4472" s="38">
        <v>1520</v>
      </c>
      <c r="F4472" s="39">
        <v>0</v>
      </c>
      <c r="G4472" s="40"/>
      <c r="H4472" s="41"/>
      <c r="I4472" s="40">
        <v>30.793820526315791</v>
      </c>
      <c r="J4472" s="41"/>
      <c r="K4472" s="9" t="s">
        <v>6073</v>
      </c>
    </row>
    <row r="4473" spans="1:11" x14ac:dyDescent="0.2">
      <c r="A4473" s="9" t="s">
        <v>31</v>
      </c>
      <c r="B4473" s="9" t="s">
        <v>6074</v>
      </c>
      <c r="C4473" s="9"/>
      <c r="D4473" s="9" t="s">
        <v>79</v>
      </c>
      <c r="E4473" s="38">
        <v>2350</v>
      </c>
      <c r="F4473" s="39">
        <v>0</v>
      </c>
      <c r="G4473" s="40"/>
      <c r="H4473" s="41"/>
      <c r="I4473" s="40">
        <v>42.853041702127662</v>
      </c>
      <c r="J4473" s="41"/>
      <c r="K4473" s="9" t="s">
        <v>6075</v>
      </c>
    </row>
    <row r="4474" spans="1:11" x14ac:dyDescent="0.2">
      <c r="A4474" s="9" t="s">
        <v>31</v>
      </c>
      <c r="B4474" s="9" t="s">
        <v>357</v>
      </c>
      <c r="C4474" s="9"/>
      <c r="D4474" s="9" t="s">
        <v>76</v>
      </c>
      <c r="E4474" s="38">
        <v>690</v>
      </c>
      <c r="F4474" s="39">
        <v>413621.57</v>
      </c>
      <c r="G4474" s="40">
        <v>599.45155072463774</v>
      </c>
      <c r="H4474" s="41">
        <v>5.9833221854836791E-2</v>
      </c>
      <c r="I4474" s="40">
        <v>64.739999999999995</v>
      </c>
      <c r="J4474" s="41">
        <v>0.10799871969926519</v>
      </c>
      <c r="K4474" s="9" t="s">
        <v>6076</v>
      </c>
    </row>
    <row r="4475" spans="1:11" x14ac:dyDescent="0.2">
      <c r="A4475" s="9" t="s">
        <v>31</v>
      </c>
      <c r="B4475" s="9" t="s">
        <v>6077</v>
      </c>
      <c r="C4475" s="9"/>
      <c r="D4475" s="9" t="s">
        <v>83</v>
      </c>
      <c r="E4475" s="38">
        <v>1661</v>
      </c>
      <c r="F4475" s="39">
        <v>147350</v>
      </c>
      <c r="G4475" s="40">
        <v>88.711619506321497</v>
      </c>
      <c r="H4475" s="41">
        <v>-0.1153959484891605</v>
      </c>
      <c r="I4475" s="40">
        <v>60.482961830222763</v>
      </c>
      <c r="J4475" s="41">
        <v>0.68179300712589075</v>
      </c>
      <c r="K4475" s="9" t="s">
        <v>6078</v>
      </c>
    </row>
    <row r="4476" spans="1:11" x14ac:dyDescent="0.2">
      <c r="A4476" s="9" t="s">
        <v>31</v>
      </c>
      <c r="B4476" s="9" t="s">
        <v>6079</v>
      </c>
      <c r="C4476" s="9"/>
      <c r="D4476" s="9" t="s">
        <v>81</v>
      </c>
      <c r="E4476" s="38">
        <v>9000</v>
      </c>
      <c r="F4476" s="39">
        <v>0</v>
      </c>
      <c r="G4476" s="40"/>
      <c r="H4476" s="41"/>
      <c r="I4476" s="40">
        <v>20.866666666666671</v>
      </c>
      <c r="J4476" s="41"/>
      <c r="K4476" s="9" t="s">
        <v>6080</v>
      </c>
    </row>
    <row r="4477" spans="1:11" x14ac:dyDescent="0.2">
      <c r="A4477" s="9" t="s">
        <v>31</v>
      </c>
      <c r="B4477" s="9" t="s">
        <v>1838</v>
      </c>
      <c r="C4477" s="9"/>
      <c r="D4477" s="9" t="s">
        <v>79</v>
      </c>
      <c r="E4477" s="38">
        <v>1737</v>
      </c>
      <c r="F4477" s="39">
        <v>0</v>
      </c>
      <c r="G4477" s="40"/>
      <c r="H4477" s="41"/>
      <c r="I4477" s="40">
        <v>23.028209326424872</v>
      </c>
      <c r="J4477" s="41"/>
      <c r="K4477" s="9" t="s">
        <v>6081</v>
      </c>
    </row>
    <row r="4478" spans="1:11" x14ac:dyDescent="0.2">
      <c r="A4478" s="9" t="s">
        <v>31</v>
      </c>
      <c r="B4478" s="9" t="s">
        <v>365</v>
      </c>
      <c r="C4478" s="9"/>
      <c r="D4478" s="9" t="s">
        <v>81</v>
      </c>
      <c r="E4478" s="38">
        <v>8919</v>
      </c>
      <c r="F4478" s="39">
        <v>6743969.4600000009</v>
      </c>
      <c r="G4478" s="40">
        <v>756.13515640766911</v>
      </c>
      <c r="H4478" s="41">
        <v>-1.103761220460258E-2</v>
      </c>
      <c r="I4478" s="40">
        <v>59.75432223343423</v>
      </c>
      <c r="J4478" s="41">
        <v>7.9025980642563567E-2</v>
      </c>
      <c r="K4478" s="9" t="s">
        <v>6082</v>
      </c>
    </row>
    <row r="4479" spans="1:11" x14ac:dyDescent="0.2">
      <c r="A4479" s="9" t="s">
        <v>31</v>
      </c>
      <c r="B4479" s="9" t="s">
        <v>369</v>
      </c>
      <c r="C4479" s="9"/>
      <c r="D4479" s="9" t="s">
        <v>84</v>
      </c>
      <c r="E4479" s="38">
        <v>993</v>
      </c>
      <c r="F4479" s="39">
        <v>0</v>
      </c>
      <c r="G4479" s="40"/>
      <c r="H4479" s="41"/>
      <c r="I4479" s="40">
        <v>118.8495468277946</v>
      </c>
      <c r="J4479" s="41"/>
      <c r="K4479" s="9" t="s">
        <v>6083</v>
      </c>
    </row>
    <row r="4480" spans="1:11" x14ac:dyDescent="0.2">
      <c r="A4480" s="9" t="s">
        <v>31</v>
      </c>
      <c r="B4480" s="9" t="s">
        <v>371</v>
      </c>
      <c r="C4480" s="9"/>
      <c r="D4480" s="9" t="s">
        <v>76</v>
      </c>
      <c r="E4480" s="38">
        <v>3064</v>
      </c>
      <c r="F4480" s="39">
        <v>372520.9</v>
      </c>
      <c r="G4480" s="40">
        <v>121.57992819843339</v>
      </c>
      <c r="H4480" s="41">
        <v>-2.9271980449616541E-2</v>
      </c>
      <c r="I4480" s="40">
        <v>7.2947958877284593</v>
      </c>
      <c r="J4480" s="41">
        <v>6.0000001610647877E-2</v>
      </c>
      <c r="K4480" s="9" t="s">
        <v>6084</v>
      </c>
    </row>
    <row r="4481" spans="1:11" x14ac:dyDescent="0.2">
      <c r="A4481" s="9" t="s">
        <v>31</v>
      </c>
      <c r="B4481" s="9" t="s">
        <v>1050</v>
      </c>
      <c r="C4481" s="9"/>
      <c r="D4481" s="9" t="s">
        <v>77</v>
      </c>
      <c r="E4481" s="38">
        <v>2000</v>
      </c>
      <c r="F4481" s="39">
        <v>1230541</v>
      </c>
      <c r="G4481" s="40">
        <v>615.27049999999997</v>
      </c>
      <c r="H4481" s="41">
        <v>4.8851246216892463E-2</v>
      </c>
      <c r="I4481" s="40">
        <v>63.381259800000002</v>
      </c>
      <c r="J4481" s="41">
        <v>0.10301364976867899</v>
      </c>
      <c r="K4481" s="9" t="s">
        <v>6085</v>
      </c>
    </row>
    <row r="4482" spans="1:11" x14ac:dyDescent="0.2">
      <c r="A4482" s="9" t="s">
        <v>31</v>
      </c>
      <c r="B4482" s="9" t="s">
        <v>376</v>
      </c>
      <c r="C4482" s="9"/>
      <c r="D4482" s="9" t="s">
        <v>79</v>
      </c>
      <c r="E4482" s="38">
        <v>10208</v>
      </c>
      <c r="F4482" s="39">
        <v>0</v>
      </c>
      <c r="G4482" s="40"/>
      <c r="H4482" s="41"/>
      <c r="I4482" s="40">
        <v>37.235977311912222</v>
      </c>
      <c r="J4482" s="41"/>
      <c r="K4482" s="9" t="s">
        <v>6086</v>
      </c>
    </row>
    <row r="4483" spans="1:11" x14ac:dyDescent="0.2">
      <c r="A4483" s="9" t="s">
        <v>31</v>
      </c>
      <c r="B4483" s="9" t="s">
        <v>5870</v>
      </c>
      <c r="C4483" s="9"/>
      <c r="D4483" s="9" t="s">
        <v>85</v>
      </c>
      <c r="E4483" s="38">
        <v>48638</v>
      </c>
      <c r="F4483" s="39">
        <v>0</v>
      </c>
      <c r="G4483" s="40"/>
      <c r="H4483" s="41"/>
      <c r="I4483" s="40">
        <v>10.999999991775979</v>
      </c>
      <c r="J4483" s="41"/>
      <c r="K4483" s="9" t="s">
        <v>6087</v>
      </c>
    </row>
    <row r="4484" spans="1:11" x14ac:dyDescent="0.2">
      <c r="A4484" s="9" t="s">
        <v>31</v>
      </c>
      <c r="B4484" s="9" t="s">
        <v>384</v>
      </c>
      <c r="C4484" s="9"/>
      <c r="D4484" s="9" t="s">
        <v>77</v>
      </c>
      <c r="E4484" s="38">
        <v>3322</v>
      </c>
      <c r="F4484" s="39">
        <v>548714.84</v>
      </c>
      <c r="G4484" s="40">
        <v>165.17605057194459</v>
      </c>
      <c r="H4484" s="41">
        <v>-0.26060569484531859</v>
      </c>
      <c r="I4484" s="40">
        <v>40.809244912703193</v>
      </c>
      <c r="J4484" s="41">
        <v>0.2470651451672056</v>
      </c>
      <c r="K4484" s="9" t="s">
        <v>6088</v>
      </c>
    </row>
    <row r="4485" spans="1:11" x14ac:dyDescent="0.2">
      <c r="A4485" s="9" t="s">
        <v>31</v>
      </c>
      <c r="B4485" s="9" t="s">
        <v>388</v>
      </c>
      <c r="C4485" s="9"/>
      <c r="D4485" s="9" t="s">
        <v>76</v>
      </c>
      <c r="E4485" s="38">
        <v>8295</v>
      </c>
      <c r="F4485" s="39">
        <v>4172423.66</v>
      </c>
      <c r="G4485" s="40">
        <v>503.00466063893907</v>
      </c>
      <c r="H4485" s="41">
        <v>0.24711276203231011</v>
      </c>
      <c r="I4485" s="40">
        <v>51.862012007233282</v>
      </c>
      <c r="J4485" s="41">
        <v>0.10310443633137679</v>
      </c>
      <c r="K4485" s="9" t="s">
        <v>6089</v>
      </c>
    </row>
    <row r="4486" spans="1:11" x14ac:dyDescent="0.2">
      <c r="A4486" s="9" t="s">
        <v>31</v>
      </c>
      <c r="B4486" s="9" t="s">
        <v>6090</v>
      </c>
      <c r="C4486" s="9"/>
      <c r="D4486" s="9" t="s">
        <v>86</v>
      </c>
      <c r="E4486" s="38">
        <v>82377</v>
      </c>
      <c r="F4486" s="39">
        <v>0</v>
      </c>
      <c r="G4486" s="40"/>
      <c r="H4486" s="41"/>
      <c r="I4486" s="40">
        <v>0.44386783204049668</v>
      </c>
      <c r="J4486" s="41"/>
      <c r="K4486" s="9" t="s">
        <v>6091</v>
      </c>
    </row>
    <row r="4487" spans="1:11" x14ac:dyDescent="0.2">
      <c r="A4487" s="9" t="s">
        <v>31</v>
      </c>
      <c r="B4487" s="9" t="s">
        <v>1564</v>
      </c>
      <c r="C4487" s="9"/>
      <c r="D4487" s="9" t="s">
        <v>83</v>
      </c>
      <c r="E4487" s="38">
        <v>1</v>
      </c>
      <c r="F4487" s="39">
        <v>0</v>
      </c>
      <c r="G4487" s="40"/>
      <c r="H4487" s="41"/>
      <c r="I4487" s="40">
        <v>20250</v>
      </c>
      <c r="J4487" s="41"/>
      <c r="K4487" s="9" t="s">
        <v>6092</v>
      </c>
    </row>
    <row r="4488" spans="1:11" x14ac:dyDescent="0.2">
      <c r="A4488" s="9" t="s">
        <v>31</v>
      </c>
      <c r="B4488" s="9" t="s">
        <v>392</v>
      </c>
      <c r="C4488" s="9"/>
      <c r="D4488" s="9" t="s">
        <v>76</v>
      </c>
      <c r="E4488" s="38">
        <v>4500</v>
      </c>
      <c r="F4488" s="39">
        <v>1007485.36</v>
      </c>
      <c r="G4488" s="40">
        <v>223.8856355555555</v>
      </c>
      <c r="H4488" s="41">
        <v>-5.4092646319352178E-2</v>
      </c>
      <c r="I4488" s="40">
        <v>24.89836588888889</v>
      </c>
      <c r="J4488" s="41">
        <v>0.1112101981313158</v>
      </c>
      <c r="K4488" s="9" t="s">
        <v>6093</v>
      </c>
    </row>
    <row r="4489" spans="1:11" x14ac:dyDescent="0.2">
      <c r="A4489" s="9" t="s">
        <v>31</v>
      </c>
      <c r="B4489" s="9" t="s">
        <v>398</v>
      </c>
      <c r="C4489" s="9"/>
      <c r="D4489" s="9" t="s">
        <v>76</v>
      </c>
      <c r="E4489" s="38">
        <v>2694</v>
      </c>
      <c r="F4489" s="39">
        <v>459667.69</v>
      </c>
      <c r="G4489" s="40">
        <v>170.62646250927989</v>
      </c>
      <c r="H4489" s="41">
        <v>0.28188803801435919</v>
      </c>
      <c r="I4489" s="40">
        <v>12.68747639198218</v>
      </c>
      <c r="J4489" s="41">
        <v>7.4358198636932687E-2</v>
      </c>
      <c r="K4489" s="9" t="s">
        <v>6094</v>
      </c>
    </row>
    <row r="4490" spans="1:11" x14ac:dyDescent="0.2">
      <c r="A4490" s="9" t="s">
        <v>64</v>
      </c>
      <c r="B4490" s="9" t="s">
        <v>6095</v>
      </c>
      <c r="C4490" s="9"/>
      <c r="D4490" s="9" t="s">
        <v>77</v>
      </c>
      <c r="E4490" s="38">
        <v>1910</v>
      </c>
      <c r="F4490" s="39">
        <v>0</v>
      </c>
      <c r="G4490" s="40"/>
      <c r="H4490" s="41"/>
      <c r="I4490" s="40">
        <v>109.8011155277111</v>
      </c>
      <c r="J4490" s="41"/>
      <c r="K4490" s="9" t="s">
        <v>6096</v>
      </c>
    </row>
    <row r="4491" spans="1:11" x14ac:dyDescent="0.2">
      <c r="A4491" s="9" t="s">
        <v>64</v>
      </c>
      <c r="B4491" s="9" t="s">
        <v>650</v>
      </c>
      <c r="C4491" s="9"/>
      <c r="D4491" s="9" t="s">
        <v>76</v>
      </c>
      <c r="E4491" s="38">
        <v>7500</v>
      </c>
      <c r="F4491" s="39">
        <v>0</v>
      </c>
      <c r="G4491" s="40"/>
      <c r="H4491" s="41"/>
      <c r="I4491" s="40">
        <v>66.94090277628581</v>
      </c>
      <c r="J4491" s="41"/>
      <c r="K4491" s="9" t="s">
        <v>6097</v>
      </c>
    </row>
    <row r="4492" spans="1:11" x14ac:dyDescent="0.2">
      <c r="A4492" s="9" t="s">
        <v>64</v>
      </c>
      <c r="B4492" s="9" t="s">
        <v>164</v>
      </c>
      <c r="C4492" s="9"/>
      <c r="D4492" s="9" t="s">
        <v>76</v>
      </c>
      <c r="E4492" s="38">
        <v>4315</v>
      </c>
      <c r="F4492" s="39">
        <v>0</v>
      </c>
      <c r="G4492" s="40"/>
      <c r="H4492" s="41"/>
      <c r="I4492" s="40">
        <v>100.32684410383661</v>
      </c>
      <c r="J4492" s="41"/>
      <c r="K4492" s="9" t="s">
        <v>6098</v>
      </c>
    </row>
    <row r="4493" spans="1:11" x14ac:dyDescent="0.2">
      <c r="A4493" s="9" t="s">
        <v>64</v>
      </c>
      <c r="B4493" s="9" t="s">
        <v>166</v>
      </c>
      <c r="C4493" s="9"/>
      <c r="D4493" s="9" t="s">
        <v>76</v>
      </c>
      <c r="E4493" s="38">
        <v>4000</v>
      </c>
      <c r="F4493" s="39">
        <v>2318790</v>
      </c>
      <c r="G4493" s="40">
        <v>579.69749999999999</v>
      </c>
      <c r="H4493" s="41"/>
      <c r="I4493" s="40">
        <v>56.25</v>
      </c>
      <c r="J4493" s="41">
        <v>9.7033366540307656E-2</v>
      </c>
      <c r="K4493" s="9" t="s">
        <v>6099</v>
      </c>
    </row>
    <row r="4494" spans="1:11" x14ac:dyDescent="0.2">
      <c r="A4494" s="9" t="s">
        <v>64</v>
      </c>
      <c r="B4494" s="9" t="s">
        <v>168</v>
      </c>
      <c r="C4494" s="9"/>
      <c r="D4494" s="9" t="s">
        <v>77</v>
      </c>
      <c r="E4494" s="38">
        <v>2187</v>
      </c>
      <c r="F4494" s="39">
        <v>863270</v>
      </c>
      <c r="G4494" s="40">
        <v>394.72793781435757</v>
      </c>
      <c r="H4494" s="41"/>
      <c r="I4494" s="40">
        <v>83.973810801869888</v>
      </c>
      <c r="J4494" s="41">
        <v>0.2127384528869177</v>
      </c>
      <c r="K4494" s="9" t="s">
        <v>6100</v>
      </c>
    </row>
    <row r="4495" spans="1:11" x14ac:dyDescent="0.2">
      <c r="A4495" s="9" t="s">
        <v>64</v>
      </c>
      <c r="B4495" s="9" t="s">
        <v>6101</v>
      </c>
      <c r="C4495" s="9"/>
      <c r="D4495" s="9" t="s">
        <v>76</v>
      </c>
      <c r="E4495" s="38">
        <v>7143</v>
      </c>
      <c r="F4495" s="39">
        <v>0</v>
      </c>
      <c r="G4495" s="40"/>
      <c r="H4495" s="41"/>
      <c r="I4495" s="40">
        <v>108.2433273645604</v>
      </c>
      <c r="J4495" s="41"/>
      <c r="K4495" s="9" t="s">
        <v>6102</v>
      </c>
    </row>
    <row r="4496" spans="1:11" x14ac:dyDescent="0.2">
      <c r="A4496" s="9" t="s">
        <v>64</v>
      </c>
      <c r="B4496" s="9" t="s">
        <v>169</v>
      </c>
      <c r="C4496" s="9"/>
      <c r="D4496" s="9" t="s">
        <v>76</v>
      </c>
      <c r="E4496" s="38">
        <v>9331</v>
      </c>
      <c r="F4496" s="39">
        <v>5428486</v>
      </c>
      <c r="G4496" s="40">
        <v>581.76894223555894</v>
      </c>
      <c r="H4496" s="41"/>
      <c r="I4496" s="40">
        <v>90.276476386890607</v>
      </c>
      <c r="J4496" s="41">
        <v>0.1551758264028085</v>
      </c>
      <c r="K4496" s="9" t="s">
        <v>6103</v>
      </c>
    </row>
    <row r="4497" spans="1:11" x14ac:dyDescent="0.2">
      <c r="A4497" s="9" t="s">
        <v>64</v>
      </c>
      <c r="B4497" s="9" t="s">
        <v>6104</v>
      </c>
      <c r="C4497" s="9"/>
      <c r="D4497" s="9" t="s">
        <v>84</v>
      </c>
      <c r="E4497" s="38">
        <v>1</v>
      </c>
      <c r="F4497" s="39">
        <v>0</v>
      </c>
      <c r="G4497" s="40"/>
      <c r="H4497" s="41"/>
      <c r="I4497" s="40">
        <v>17764.04291678383</v>
      </c>
      <c r="J4497" s="41"/>
      <c r="K4497" s="9" t="s">
        <v>6105</v>
      </c>
    </row>
    <row r="4498" spans="1:11" x14ac:dyDescent="0.2">
      <c r="A4498" s="9" t="s">
        <v>64</v>
      </c>
      <c r="B4498" s="9" t="s">
        <v>6106</v>
      </c>
      <c r="C4498" s="9"/>
      <c r="D4498" s="9" t="s">
        <v>83</v>
      </c>
      <c r="E4498" s="38">
        <v>1722</v>
      </c>
      <c r="F4498" s="39">
        <v>191908</v>
      </c>
      <c r="G4498" s="40">
        <v>111.4448315911731</v>
      </c>
      <c r="H4498" s="41"/>
      <c r="I4498" s="40">
        <v>24.925024541555739</v>
      </c>
      <c r="J4498" s="41">
        <v>0.22365348115012909</v>
      </c>
      <c r="K4498" s="9" t="s">
        <v>6107</v>
      </c>
    </row>
    <row r="4499" spans="1:11" x14ac:dyDescent="0.2">
      <c r="A4499" s="9" t="s">
        <v>64</v>
      </c>
      <c r="B4499" s="9" t="s">
        <v>406</v>
      </c>
      <c r="C4499" s="9"/>
      <c r="D4499" s="9" t="s">
        <v>76</v>
      </c>
      <c r="E4499" s="38">
        <v>4200</v>
      </c>
      <c r="F4499" s="39">
        <v>1147531</v>
      </c>
      <c r="G4499" s="40">
        <v>273.22166666666669</v>
      </c>
      <c r="H4499" s="41"/>
      <c r="I4499" s="40">
        <v>51.19047619047619</v>
      </c>
      <c r="J4499" s="41">
        <v>0.18735877287846689</v>
      </c>
      <c r="K4499" s="9" t="s">
        <v>6108</v>
      </c>
    </row>
    <row r="4500" spans="1:11" x14ac:dyDescent="0.2">
      <c r="A4500" s="9" t="s">
        <v>64</v>
      </c>
      <c r="B4500" s="9" t="s">
        <v>408</v>
      </c>
      <c r="C4500" s="9"/>
      <c r="D4500" s="9" t="s">
        <v>76</v>
      </c>
      <c r="E4500" s="38">
        <v>5500</v>
      </c>
      <c r="F4500" s="39">
        <v>2294302</v>
      </c>
      <c r="G4500" s="40">
        <v>417.14581818181819</v>
      </c>
      <c r="H4500" s="41"/>
      <c r="I4500" s="40">
        <v>82.025538496643449</v>
      </c>
      <c r="J4500" s="41">
        <v>0.1966351690978515</v>
      </c>
      <c r="K4500" s="9" t="s">
        <v>6109</v>
      </c>
    </row>
    <row r="4501" spans="1:11" x14ac:dyDescent="0.2">
      <c r="A4501" s="9" t="s">
        <v>64</v>
      </c>
      <c r="B4501" s="9" t="s">
        <v>582</v>
      </c>
      <c r="C4501" s="9"/>
      <c r="D4501" s="9" t="s">
        <v>76</v>
      </c>
      <c r="E4501" s="38">
        <v>11673</v>
      </c>
      <c r="F4501" s="39">
        <v>3001203</v>
      </c>
      <c r="G4501" s="40">
        <v>257.10639938319201</v>
      </c>
      <c r="H4501" s="41"/>
      <c r="I4501" s="40">
        <v>21.68055512721665</v>
      </c>
      <c r="J4501" s="41">
        <v>8.43252255845406E-2</v>
      </c>
      <c r="K4501" s="9" t="s">
        <v>6110</v>
      </c>
    </row>
    <row r="4502" spans="1:11" x14ac:dyDescent="0.2">
      <c r="A4502" s="9" t="s">
        <v>64</v>
      </c>
      <c r="B4502" s="9" t="s">
        <v>87</v>
      </c>
      <c r="C4502" s="9"/>
      <c r="D4502" s="9" t="s">
        <v>87</v>
      </c>
      <c r="E4502" s="38">
        <v>10458</v>
      </c>
      <c r="F4502" s="39">
        <v>57319539</v>
      </c>
      <c r="G4502" s="40">
        <v>5480.9274239816395</v>
      </c>
      <c r="H4502" s="41"/>
      <c r="I4502" s="40">
        <v>118.70175941862691</v>
      </c>
      <c r="J4502" s="41">
        <v>2.165723977647482E-2</v>
      </c>
      <c r="K4502" s="9" t="s">
        <v>6111</v>
      </c>
    </row>
    <row r="4503" spans="1:11" x14ac:dyDescent="0.2">
      <c r="A4503" s="9" t="s">
        <v>64</v>
      </c>
      <c r="B4503" s="9" t="s">
        <v>2917</v>
      </c>
      <c r="C4503" s="9"/>
      <c r="D4503" s="9" t="s">
        <v>85</v>
      </c>
      <c r="E4503" s="38">
        <v>11155</v>
      </c>
      <c r="F4503" s="39">
        <v>0</v>
      </c>
      <c r="G4503" s="40"/>
      <c r="H4503" s="41"/>
      <c r="I4503" s="40">
        <v>61.089073642894341</v>
      </c>
      <c r="J4503" s="41"/>
      <c r="K4503" s="9" t="s">
        <v>6112</v>
      </c>
    </row>
    <row r="4504" spans="1:11" x14ac:dyDescent="0.2">
      <c r="A4504" s="9" t="s">
        <v>64</v>
      </c>
      <c r="B4504" s="9" t="s">
        <v>171</v>
      </c>
      <c r="C4504" s="9"/>
      <c r="D4504" s="9" t="s">
        <v>84</v>
      </c>
      <c r="E4504" s="38">
        <v>4349</v>
      </c>
      <c r="F4504" s="39">
        <v>0</v>
      </c>
      <c r="G4504" s="40"/>
      <c r="H4504" s="41"/>
      <c r="I4504" s="40">
        <v>166.46277588826771</v>
      </c>
      <c r="J4504" s="41"/>
      <c r="K4504" s="9" t="s">
        <v>6113</v>
      </c>
    </row>
    <row r="4505" spans="1:11" x14ac:dyDescent="0.2">
      <c r="A4505" s="9" t="s">
        <v>64</v>
      </c>
      <c r="B4505" s="9" t="s">
        <v>985</v>
      </c>
      <c r="C4505" s="9"/>
      <c r="D4505" s="9" t="s">
        <v>76</v>
      </c>
      <c r="E4505" s="38">
        <v>4070</v>
      </c>
      <c r="F4505" s="39">
        <v>1996340</v>
      </c>
      <c r="G4505" s="40">
        <v>490.50122850122852</v>
      </c>
      <c r="H4505" s="41"/>
      <c r="I4505" s="40">
        <v>134.37420491290271</v>
      </c>
      <c r="J4505" s="41">
        <v>0.2739528406962311</v>
      </c>
      <c r="K4505" s="9" t="s">
        <v>6114</v>
      </c>
    </row>
    <row r="4506" spans="1:11" x14ac:dyDescent="0.2">
      <c r="A4506" s="9" t="s">
        <v>64</v>
      </c>
      <c r="B4506" s="9" t="s">
        <v>173</v>
      </c>
      <c r="C4506" s="9"/>
      <c r="D4506" s="9" t="s">
        <v>80</v>
      </c>
      <c r="E4506" s="38">
        <v>658</v>
      </c>
      <c r="F4506" s="39">
        <v>410481</v>
      </c>
      <c r="G4506" s="40">
        <v>623.83130699088144</v>
      </c>
      <c r="H4506" s="41"/>
      <c r="I4506" s="40">
        <v>196.54335774826109</v>
      </c>
      <c r="J4506" s="41">
        <v>0.31505850306921829</v>
      </c>
      <c r="K4506" s="9" t="s">
        <v>6115</v>
      </c>
    </row>
    <row r="4507" spans="1:11" x14ac:dyDescent="0.2">
      <c r="A4507" s="9" t="s">
        <v>64</v>
      </c>
      <c r="B4507" s="9" t="s">
        <v>2331</v>
      </c>
      <c r="C4507" s="9"/>
      <c r="D4507" s="9" t="s">
        <v>79</v>
      </c>
      <c r="E4507" s="38">
        <v>825</v>
      </c>
      <c r="F4507" s="39">
        <v>464765</v>
      </c>
      <c r="G4507" s="40">
        <v>563.35151515151517</v>
      </c>
      <c r="H4507" s="41"/>
      <c r="I4507" s="40">
        <v>218.10582351929889</v>
      </c>
      <c r="J4507" s="41">
        <v>0.3871576052487205</v>
      </c>
      <c r="K4507" s="9" t="s">
        <v>6116</v>
      </c>
    </row>
    <row r="4508" spans="1:11" x14ac:dyDescent="0.2">
      <c r="A4508" s="9" t="s">
        <v>64</v>
      </c>
      <c r="B4508" s="9" t="s">
        <v>661</v>
      </c>
      <c r="C4508" s="9"/>
      <c r="D4508" s="9" t="s">
        <v>76</v>
      </c>
      <c r="E4508" s="38">
        <v>8534</v>
      </c>
      <c r="F4508" s="39">
        <v>2351935</v>
      </c>
      <c r="G4508" s="40">
        <v>275.59585188657138</v>
      </c>
      <c r="H4508" s="41"/>
      <c r="I4508" s="40">
        <v>88.159080416929228</v>
      </c>
      <c r="J4508" s="41">
        <v>0.31988536769854348</v>
      </c>
      <c r="K4508" s="9" t="s">
        <v>6117</v>
      </c>
    </row>
    <row r="4509" spans="1:11" x14ac:dyDescent="0.2">
      <c r="A4509" s="9" t="s">
        <v>64</v>
      </c>
      <c r="B4509" s="9" t="s">
        <v>175</v>
      </c>
      <c r="C4509" s="9"/>
      <c r="D4509" s="9" t="s">
        <v>78</v>
      </c>
      <c r="E4509" s="38">
        <v>835</v>
      </c>
      <c r="F4509" s="39">
        <v>793188</v>
      </c>
      <c r="G4509" s="40">
        <v>949.925748502994</v>
      </c>
      <c r="H4509" s="41"/>
      <c r="I4509" s="40">
        <v>128.07107163042019</v>
      </c>
      <c r="J4509" s="41">
        <v>0.13482219197895179</v>
      </c>
      <c r="K4509" s="9" t="s">
        <v>6118</v>
      </c>
    </row>
    <row r="4510" spans="1:11" x14ac:dyDescent="0.2">
      <c r="A4510" s="9" t="s">
        <v>64</v>
      </c>
      <c r="B4510" s="9" t="s">
        <v>175</v>
      </c>
      <c r="C4510" s="9"/>
      <c r="D4510" s="9" t="s">
        <v>78</v>
      </c>
      <c r="E4510" s="38">
        <v>167</v>
      </c>
      <c r="F4510" s="39">
        <v>1113048</v>
      </c>
      <c r="G4510" s="40">
        <v>6664.9580838323354</v>
      </c>
      <c r="H4510" s="41"/>
      <c r="I4510" s="40">
        <v>666.52863940302598</v>
      </c>
      <c r="J4510" s="41">
        <v>0.100004925915419</v>
      </c>
      <c r="K4510" s="9" t="s">
        <v>6118</v>
      </c>
    </row>
    <row r="4511" spans="1:11" x14ac:dyDescent="0.2">
      <c r="A4511" s="9" t="s">
        <v>64</v>
      </c>
      <c r="B4511" s="9" t="s">
        <v>179</v>
      </c>
      <c r="C4511" s="9"/>
      <c r="D4511" s="9" t="s">
        <v>79</v>
      </c>
      <c r="E4511" s="38">
        <v>4500</v>
      </c>
      <c r="F4511" s="39">
        <v>5005436</v>
      </c>
      <c r="G4511" s="40">
        <v>1112.3191111111109</v>
      </c>
      <c r="H4511" s="41"/>
      <c r="I4511" s="40">
        <v>114.6783163348571</v>
      </c>
      <c r="J4511" s="41">
        <v>0.1030983961251042</v>
      </c>
      <c r="K4511" s="9" t="s">
        <v>6119</v>
      </c>
    </row>
    <row r="4512" spans="1:11" x14ac:dyDescent="0.2">
      <c r="A4512" s="9" t="s">
        <v>64</v>
      </c>
      <c r="B4512" s="9" t="s">
        <v>6120</v>
      </c>
      <c r="C4512" s="9"/>
      <c r="D4512" s="9" t="s">
        <v>84</v>
      </c>
      <c r="E4512" s="38">
        <v>6</v>
      </c>
      <c r="F4512" s="39">
        <v>0</v>
      </c>
      <c r="G4512" s="40"/>
      <c r="H4512" s="41"/>
      <c r="I4512" s="40">
        <v>424</v>
      </c>
      <c r="J4512" s="41"/>
      <c r="K4512" s="9" t="s">
        <v>6121</v>
      </c>
    </row>
    <row r="4513" spans="1:11" x14ac:dyDescent="0.2">
      <c r="A4513" s="9" t="s">
        <v>64</v>
      </c>
      <c r="B4513" s="9" t="s">
        <v>6122</v>
      </c>
      <c r="C4513" s="9"/>
      <c r="D4513" s="9" t="s">
        <v>83</v>
      </c>
      <c r="E4513" s="38">
        <v>1222</v>
      </c>
      <c r="F4513" s="39">
        <v>217529</v>
      </c>
      <c r="G4513" s="40">
        <v>178.0106382978723</v>
      </c>
      <c r="H4513" s="41"/>
      <c r="I4513" s="40">
        <v>49.770728341969281</v>
      </c>
      <c r="J4513" s="41">
        <v>0.27959412323821858</v>
      </c>
      <c r="K4513" s="9" t="s">
        <v>6123</v>
      </c>
    </row>
    <row r="4514" spans="1:11" x14ac:dyDescent="0.2">
      <c r="A4514" s="9" t="s">
        <v>64</v>
      </c>
      <c r="B4514" s="9" t="s">
        <v>187</v>
      </c>
      <c r="C4514" s="9"/>
      <c r="D4514" s="9" t="s">
        <v>76</v>
      </c>
      <c r="E4514" s="38">
        <v>4357</v>
      </c>
      <c r="F4514" s="39">
        <v>0</v>
      </c>
      <c r="G4514" s="40"/>
      <c r="H4514" s="41"/>
      <c r="I4514" s="40">
        <v>31.933881228977771</v>
      </c>
      <c r="J4514" s="41"/>
      <c r="K4514" s="9" t="s">
        <v>6124</v>
      </c>
    </row>
    <row r="4515" spans="1:11" x14ac:dyDescent="0.2">
      <c r="A4515" s="9" t="s">
        <v>64</v>
      </c>
      <c r="B4515" s="9" t="s">
        <v>420</v>
      </c>
      <c r="C4515" s="9"/>
      <c r="D4515" s="9" t="s">
        <v>78</v>
      </c>
      <c r="E4515" s="38">
        <v>1200</v>
      </c>
      <c r="F4515" s="39">
        <v>543795</v>
      </c>
      <c r="G4515" s="40">
        <v>453.16250000000002</v>
      </c>
      <c r="H4515" s="41"/>
      <c r="I4515" s="40">
        <v>79.02989693211974</v>
      </c>
      <c r="J4515" s="41">
        <v>0.17439637421922541</v>
      </c>
      <c r="K4515" s="9" t="s">
        <v>6125</v>
      </c>
    </row>
    <row r="4516" spans="1:11" x14ac:dyDescent="0.2">
      <c r="A4516" s="9" t="s">
        <v>64</v>
      </c>
      <c r="B4516" s="9" t="s">
        <v>6126</v>
      </c>
      <c r="C4516" s="9"/>
      <c r="D4516" s="9" t="s">
        <v>81</v>
      </c>
      <c r="E4516" s="38">
        <v>7757</v>
      </c>
      <c r="F4516" s="39">
        <v>2359449</v>
      </c>
      <c r="G4516" s="40">
        <v>304.17029779553951</v>
      </c>
      <c r="H4516" s="41"/>
      <c r="I4516" s="40">
        <v>32.652244313954483</v>
      </c>
      <c r="J4516" s="41">
        <v>0.10734856279722289</v>
      </c>
      <c r="K4516" s="9" t="s">
        <v>6127</v>
      </c>
    </row>
    <row r="4517" spans="1:11" x14ac:dyDescent="0.2">
      <c r="A4517" s="9" t="s">
        <v>64</v>
      </c>
      <c r="B4517" s="9" t="s">
        <v>1758</v>
      </c>
      <c r="C4517" s="9"/>
      <c r="D4517" s="9" t="s">
        <v>76</v>
      </c>
      <c r="E4517" s="38">
        <v>10644</v>
      </c>
      <c r="F4517" s="39">
        <v>2541730</v>
      </c>
      <c r="G4517" s="40">
        <v>238.7946260804209</v>
      </c>
      <c r="H4517" s="41"/>
      <c r="I4517" s="40">
        <v>29.526245772266069</v>
      </c>
      <c r="J4517" s="41">
        <v>0.12364702781176599</v>
      </c>
      <c r="K4517" s="9" t="s">
        <v>6128</v>
      </c>
    </row>
    <row r="4518" spans="1:11" x14ac:dyDescent="0.2">
      <c r="A4518" s="9" t="s">
        <v>64</v>
      </c>
      <c r="B4518" s="9" t="s">
        <v>193</v>
      </c>
      <c r="C4518" s="9"/>
      <c r="D4518" s="9" t="s">
        <v>82</v>
      </c>
      <c r="E4518" s="38">
        <v>2500</v>
      </c>
      <c r="F4518" s="39">
        <v>1307654</v>
      </c>
      <c r="G4518" s="40">
        <v>523.0616</v>
      </c>
      <c r="H4518" s="41"/>
      <c r="I4518" s="40">
        <v>149.3912174499643</v>
      </c>
      <c r="J4518" s="41">
        <v>0.28560922355983381</v>
      </c>
      <c r="K4518" s="9" t="s">
        <v>6129</v>
      </c>
    </row>
    <row r="4519" spans="1:11" x14ac:dyDescent="0.2">
      <c r="A4519" s="9" t="s">
        <v>64</v>
      </c>
      <c r="B4519" s="9" t="s">
        <v>6130</v>
      </c>
      <c r="C4519" s="9"/>
      <c r="D4519" s="9" t="s">
        <v>83</v>
      </c>
      <c r="E4519" s="38">
        <v>2000</v>
      </c>
      <c r="F4519" s="39">
        <v>114919</v>
      </c>
      <c r="G4519" s="40">
        <v>57.459499999999998</v>
      </c>
      <c r="H4519" s="41"/>
      <c r="I4519" s="40">
        <v>20.120892260558971</v>
      </c>
      <c r="J4519" s="41">
        <v>0.35017520619843501</v>
      </c>
      <c r="K4519" s="9" t="s">
        <v>6131</v>
      </c>
    </row>
    <row r="4520" spans="1:11" x14ac:dyDescent="0.2">
      <c r="A4520" s="9" t="s">
        <v>64</v>
      </c>
      <c r="B4520" s="9" t="s">
        <v>426</v>
      </c>
      <c r="C4520" s="9"/>
      <c r="D4520" s="9" t="s">
        <v>81</v>
      </c>
      <c r="E4520" s="38">
        <v>5000</v>
      </c>
      <c r="F4520" s="39">
        <v>2047077</v>
      </c>
      <c r="G4520" s="40">
        <v>409.41539999999998</v>
      </c>
      <c r="H4520" s="41"/>
      <c r="I4520" s="40">
        <v>61.443649602512842</v>
      </c>
      <c r="J4520" s="41">
        <v>0.15007654720001459</v>
      </c>
      <c r="K4520" s="9" t="s">
        <v>6132</v>
      </c>
    </row>
    <row r="4521" spans="1:11" x14ac:dyDescent="0.2">
      <c r="A4521" s="9" t="s">
        <v>64</v>
      </c>
      <c r="B4521" s="9" t="s">
        <v>200</v>
      </c>
      <c r="C4521" s="9"/>
      <c r="D4521" s="9" t="s">
        <v>77</v>
      </c>
      <c r="E4521" s="38">
        <v>7063</v>
      </c>
      <c r="F4521" s="39">
        <v>5731293</v>
      </c>
      <c r="G4521" s="40">
        <v>811.45306526971547</v>
      </c>
      <c r="H4521" s="41"/>
      <c r="I4521" s="40">
        <v>115.2834203089725</v>
      </c>
      <c r="J4521" s="41">
        <v>0.14207034915895461</v>
      </c>
      <c r="K4521" s="9" t="s">
        <v>6133</v>
      </c>
    </row>
    <row r="4522" spans="1:11" x14ac:dyDescent="0.2">
      <c r="A4522" s="9" t="s">
        <v>64</v>
      </c>
      <c r="B4522" s="9" t="s">
        <v>206</v>
      </c>
      <c r="C4522" s="9"/>
      <c r="D4522" s="9" t="s">
        <v>80</v>
      </c>
      <c r="E4522" s="38">
        <v>774</v>
      </c>
      <c r="F4522" s="39">
        <v>870052</v>
      </c>
      <c r="G4522" s="40">
        <v>1124.09819121447</v>
      </c>
      <c r="H4522" s="41"/>
      <c r="I4522" s="40">
        <v>192.01274771294379</v>
      </c>
      <c r="J4522" s="41">
        <v>0.17081492454453129</v>
      </c>
      <c r="K4522" s="9" t="s">
        <v>6134</v>
      </c>
    </row>
    <row r="4523" spans="1:11" x14ac:dyDescent="0.2">
      <c r="A4523" s="9" t="s">
        <v>64</v>
      </c>
      <c r="B4523" s="9" t="s">
        <v>208</v>
      </c>
      <c r="C4523" s="9"/>
      <c r="D4523" s="9" t="s">
        <v>78</v>
      </c>
      <c r="E4523" s="38">
        <v>1800</v>
      </c>
      <c r="F4523" s="39">
        <v>1301977</v>
      </c>
      <c r="G4523" s="40">
        <v>723.32055555555553</v>
      </c>
      <c r="H4523" s="41"/>
      <c r="I4523" s="40">
        <v>203.29365985856279</v>
      </c>
      <c r="J4523" s="41">
        <v>0.28105610755444449</v>
      </c>
      <c r="K4523" s="9" t="s">
        <v>6135</v>
      </c>
    </row>
    <row r="4524" spans="1:11" x14ac:dyDescent="0.2">
      <c r="A4524" s="9" t="s">
        <v>64</v>
      </c>
      <c r="B4524" s="9" t="s">
        <v>437</v>
      </c>
      <c r="C4524" s="9"/>
      <c r="D4524" s="9" t="s">
        <v>77</v>
      </c>
      <c r="E4524" s="38">
        <v>2037</v>
      </c>
      <c r="F4524" s="39">
        <v>1141846</v>
      </c>
      <c r="G4524" s="40">
        <v>560.55277368679435</v>
      </c>
      <c r="H4524" s="41"/>
      <c r="I4524" s="40">
        <v>157.98160506673941</v>
      </c>
      <c r="J4524" s="41">
        <v>0.28183181402829122</v>
      </c>
      <c r="K4524" s="9" t="s">
        <v>6136</v>
      </c>
    </row>
    <row r="4525" spans="1:11" x14ac:dyDescent="0.2">
      <c r="A4525" s="9" t="s">
        <v>64</v>
      </c>
      <c r="B4525" s="9" t="s">
        <v>212</v>
      </c>
      <c r="C4525" s="9"/>
      <c r="D4525" s="9" t="s">
        <v>76</v>
      </c>
      <c r="E4525" s="38">
        <v>1800</v>
      </c>
      <c r="F4525" s="39">
        <v>1561180</v>
      </c>
      <c r="G4525" s="40">
        <v>867.32222222222219</v>
      </c>
      <c r="H4525" s="41"/>
      <c r="I4525" s="40">
        <v>152.5237547493457</v>
      </c>
      <c r="J4525" s="41">
        <v>0.17585592855969351</v>
      </c>
      <c r="K4525" s="9" t="s">
        <v>6137</v>
      </c>
    </row>
    <row r="4526" spans="1:11" x14ac:dyDescent="0.2">
      <c r="A4526" s="9" t="s">
        <v>64</v>
      </c>
      <c r="B4526" s="9" t="s">
        <v>6138</v>
      </c>
      <c r="C4526" s="9"/>
      <c r="D4526" s="9" t="s">
        <v>82</v>
      </c>
      <c r="E4526" s="38">
        <v>1517</v>
      </c>
      <c r="F4526" s="39">
        <v>0</v>
      </c>
      <c r="G4526" s="40"/>
      <c r="H4526" s="41"/>
      <c r="I4526" s="40">
        <v>28.820121764186361</v>
      </c>
      <c r="J4526" s="41"/>
      <c r="K4526" s="9" t="s">
        <v>6139</v>
      </c>
    </row>
    <row r="4527" spans="1:11" x14ac:dyDescent="0.2">
      <c r="A4527" s="9" t="s">
        <v>64</v>
      </c>
      <c r="B4527" s="9" t="s">
        <v>884</v>
      </c>
      <c r="C4527" s="9"/>
      <c r="D4527" s="9" t="s">
        <v>76</v>
      </c>
      <c r="E4527" s="38">
        <v>4118</v>
      </c>
      <c r="F4527" s="39">
        <v>1160725</v>
      </c>
      <c r="G4527" s="40">
        <v>281.86619718309862</v>
      </c>
      <c r="H4527" s="41"/>
      <c r="I4527" s="40">
        <v>33.589439984906043</v>
      </c>
      <c r="J4527" s="41">
        <v>0.1191680319264624</v>
      </c>
      <c r="K4527" s="9" t="s">
        <v>6140</v>
      </c>
    </row>
    <row r="4528" spans="1:11" x14ac:dyDescent="0.2">
      <c r="A4528" s="9" t="s">
        <v>64</v>
      </c>
      <c r="B4528" s="9" t="s">
        <v>1613</v>
      </c>
      <c r="C4528" s="9"/>
      <c r="D4528" s="9" t="s">
        <v>76</v>
      </c>
      <c r="E4528" s="38">
        <v>2160</v>
      </c>
      <c r="F4528" s="39">
        <v>622906</v>
      </c>
      <c r="G4528" s="40">
        <v>288.38240740740741</v>
      </c>
      <c r="H4528" s="41"/>
      <c r="I4528" s="40">
        <v>43.571925318951763</v>
      </c>
      <c r="J4528" s="41">
        <v>0.15109078848002069</v>
      </c>
      <c r="K4528" s="9" t="s">
        <v>6141</v>
      </c>
    </row>
    <row r="4529" spans="1:11" x14ac:dyDescent="0.2">
      <c r="A4529" s="9" t="s">
        <v>64</v>
      </c>
      <c r="B4529" s="9" t="s">
        <v>2020</v>
      </c>
      <c r="C4529" s="9"/>
      <c r="D4529" s="9" t="s">
        <v>80</v>
      </c>
      <c r="E4529" s="38">
        <v>1282</v>
      </c>
      <c r="F4529" s="39">
        <v>758233</v>
      </c>
      <c r="G4529" s="40">
        <v>591.44539781591266</v>
      </c>
      <c r="H4529" s="41"/>
      <c r="I4529" s="40">
        <v>97.5</v>
      </c>
      <c r="J4529" s="41">
        <v>0.16485038240224309</v>
      </c>
      <c r="K4529" s="9" t="s">
        <v>6142</v>
      </c>
    </row>
    <row r="4530" spans="1:11" x14ac:dyDescent="0.2">
      <c r="A4530" s="9" t="s">
        <v>64</v>
      </c>
      <c r="B4530" s="9" t="s">
        <v>6143</v>
      </c>
      <c r="C4530" s="9"/>
      <c r="D4530" s="9" t="s">
        <v>76</v>
      </c>
      <c r="E4530" s="38">
        <v>4987</v>
      </c>
      <c r="F4530" s="39">
        <v>1673546</v>
      </c>
      <c r="G4530" s="40">
        <v>335.58171245237622</v>
      </c>
      <c r="H4530" s="41"/>
      <c r="I4530" s="40">
        <v>63.826576795484222</v>
      </c>
      <c r="J4530" s="41">
        <v>0.19019682666570251</v>
      </c>
      <c r="K4530" s="9" t="s">
        <v>6144</v>
      </c>
    </row>
    <row r="4531" spans="1:11" x14ac:dyDescent="0.2">
      <c r="A4531" s="9" t="s">
        <v>64</v>
      </c>
      <c r="B4531" s="9" t="s">
        <v>6145</v>
      </c>
      <c r="C4531" s="9"/>
      <c r="D4531" s="9" t="s">
        <v>76</v>
      </c>
      <c r="E4531" s="38">
        <v>957</v>
      </c>
      <c r="F4531" s="39">
        <v>103294</v>
      </c>
      <c r="G4531" s="40">
        <v>107.9352142110763</v>
      </c>
      <c r="H4531" s="41"/>
      <c r="I4531" s="40">
        <v>70.480038412179937</v>
      </c>
      <c r="J4531" s="41">
        <v>0.65298465313044518</v>
      </c>
      <c r="K4531" s="9" t="s">
        <v>6146</v>
      </c>
    </row>
    <row r="4532" spans="1:11" x14ac:dyDescent="0.2">
      <c r="A4532" s="9" t="s">
        <v>64</v>
      </c>
      <c r="B4532" s="9" t="s">
        <v>231</v>
      </c>
      <c r="C4532" s="9"/>
      <c r="D4532" s="9" t="s">
        <v>76</v>
      </c>
      <c r="E4532" s="38">
        <v>8133</v>
      </c>
      <c r="F4532" s="39">
        <v>3588429</v>
      </c>
      <c r="G4532" s="40">
        <v>441.21836960531169</v>
      </c>
      <c r="H4532" s="41"/>
      <c r="I4532" s="40">
        <v>70.868983155047331</v>
      </c>
      <c r="J4532" s="41">
        <v>0.16062110745398611</v>
      </c>
      <c r="K4532" s="9" t="s">
        <v>6147</v>
      </c>
    </row>
    <row r="4533" spans="1:11" x14ac:dyDescent="0.2">
      <c r="A4533" s="9" t="s">
        <v>64</v>
      </c>
      <c r="B4533" s="9" t="s">
        <v>1236</v>
      </c>
      <c r="C4533" s="9"/>
      <c r="D4533" s="9" t="s">
        <v>76</v>
      </c>
      <c r="E4533" s="38">
        <v>3170</v>
      </c>
      <c r="F4533" s="39">
        <v>777762</v>
      </c>
      <c r="G4533" s="40">
        <v>245.35078864353309</v>
      </c>
      <c r="H4533" s="41"/>
      <c r="I4533" s="40">
        <v>115.9349129916675</v>
      </c>
      <c r="J4533" s="41">
        <v>0.47252716664427691</v>
      </c>
      <c r="K4533" s="9" t="s">
        <v>6148</v>
      </c>
    </row>
    <row r="4534" spans="1:11" x14ac:dyDescent="0.2">
      <c r="A4534" s="9" t="s">
        <v>64</v>
      </c>
      <c r="B4534" s="9" t="s">
        <v>5554</v>
      </c>
      <c r="C4534" s="9"/>
      <c r="D4534" s="9" t="s">
        <v>84</v>
      </c>
      <c r="E4534" s="38">
        <v>600</v>
      </c>
      <c r="F4534" s="39">
        <v>78012</v>
      </c>
      <c r="G4534" s="40">
        <v>130.02000000000001</v>
      </c>
      <c r="H4534" s="41"/>
      <c r="I4534" s="40">
        <v>53.125858545622641</v>
      </c>
      <c r="J4534" s="41">
        <v>0.40859758918337669</v>
      </c>
      <c r="K4534" s="9" t="s">
        <v>6149</v>
      </c>
    </row>
    <row r="4535" spans="1:11" x14ac:dyDescent="0.2">
      <c r="A4535" s="9" t="s">
        <v>64</v>
      </c>
      <c r="B4535" s="9" t="s">
        <v>235</v>
      </c>
      <c r="C4535" s="9"/>
      <c r="D4535" s="9" t="s">
        <v>77</v>
      </c>
      <c r="E4535" s="38">
        <v>11122</v>
      </c>
      <c r="F4535" s="39">
        <v>7531111</v>
      </c>
      <c r="G4535" s="40">
        <v>677.13639633159505</v>
      </c>
      <c r="H4535" s="41"/>
      <c r="I4535" s="40">
        <v>118.6973471417774</v>
      </c>
      <c r="J4535" s="41">
        <v>0.17529311344778331</v>
      </c>
      <c r="K4535" s="9" t="s">
        <v>6150</v>
      </c>
    </row>
    <row r="4536" spans="1:11" x14ac:dyDescent="0.2">
      <c r="A4536" s="9" t="s">
        <v>64</v>
      </c>
      <c r="B4536" s="9" t="s">
        <v>454</v>
      </c>
      <c r="C4536" s="9"/>
      <c r="D4536" s="9" t="s">
        <v>76</v>
      </c>
      <c r="E4536" s="38">
        <v>22512</v>
      </c>
      <c r="F4536" s="39">
        <v>5735769</v>
      </c>
      <c r="G4536" s="40">
        <v>254.78718017057571</v>
      </c>
      <c r="H4536" s="41"/>
      <c r="I4536" s="40">
        <v>33.315565031982942</v>
      </c>
      <c r="J4536" s="41">
        <v>0.13075840397338179</v>
      </c>
      <c r="K4536" s="9" t="s">
        <v>6151</v>
      </c>
    </row>
    <row r="4537" spans="1:11" x14ac:dyDescent="0.2">
      <c r="A4537" s="9" t="s">
        <v>64</v>
      </c>
      <c r="B4537" s="9" t="s">
        <v>456</v>
      </c>
      <c r="C4537" s="9"/>
      <c r="D4537" s="9" t="s">
        <v>76</v>
      </c>
      <c r="E4537" s="38">
        <v>1499</v>
      </c>
      <c r="F4537" s="39">
        <v>398373</v>
      </c>
      <c r="G4537" s="40">
        <v>265.75917278185449</v>
      </c>
      <c r="H4537" s="41"/>
      <c r="I4537" s="40">
        <v>9.3661641094062702</v>
      </c>
      <c r="J4537" s="41">
        <v>3.5243051110391513E-2</v>
      </c>
      <c r="K4537" s="9" t="s">
        <v>6152</v>
      </c>
    </row>
    <row r="4538" spans="1:11" x14ac:dyDescent="0.2">
      <c r="A4538" s="9" t="s">
        <v>64</v>
      </c>
      <c r="B4538" s="9" t="s">
        <v>458</v>
      </c>
      <c r="C4538" s="9"/>
      <c r="D4538" s="9" t="s">
        <v>76</v>
      </c>
      <c r="E4538" s="38">
        <v>1800</v>
      </c>
      <c r="F4538" s="39">
        <v>912382</v>
      </c>
      <c r="G4538" s="40">
        <v>506.87888888888892</v>
      </c>
      <c r="H4538" s="41"/>
      <c r="I4538" s="40">
        <v>123.1369718018373</v>
      </c>
      <c r="J4538" s="41">
        <v>0.24293174267281381</v>
      </c>
      <c r="K4538" s="9" t="s">
        <v>6153</v>
      </c>
    </row>
    <row r="4539" spans="1:11" x14ac:dyDescent="0.2">
      <c r="A4539" s="9" t="s">
        <v>64</v>
      </c>
      <c r="B4539" s="9" t="s">
        <v>1788</v>
      </c>
      <c r="C4539" s="9"/>
      <c r="D4539" s="9" t="s">
        <v>76</v>
      </c>
      <c r="E4539" s="38">
        <v>13093</v>
      </c>
      <c r="F4539" s="39">
        <v>2495253</v>
      </c>
      <c r="G4539" s="40">
        <v>190.5791644390132</v>
      </c>
      <c r="H4539" s="41"/>
      <c r="I4539" s="40">
        <v>62.466469736915847</v>
      </c>
      <c r="J4539" s="41">
        <v>0.32777176833989952</v>
      </c>
      <c r="K4539" s="9" t="s">
        <v>6154</v>
      </c>
    </row>
    <row r="4540" spans="1:11" x14ac:dyDescent="0.2">
      <c r="A4540" s="9" t="s">
        <v>64</v>
      </c>
      <c r="B4540" s="9" t="s">
        <v>461</v>
      </c>
      <c r="C4540" s="9"/>
      <c r="D4540" s="9" t="s">
        <v>76</v>
      </c>
      <c r="E4540" s="38">
        <v>4300</v>
      </c>
      <c r="F4540" s="39">
        <v>3532821</v>
      </c>
      <c r="G4540" s="40">
        <v>821.58627906976744</v>
      </c>
      <c r="H4540" s="41"/>
      <c r="I4540" s="40">
        <v>78.474095703153267</v>
      </c>
      <c r="J4540" s="41">
        <v>9.5515343552237439E-2</v>
      </c>
      <c r="K4540" s="9" t="s">
        <v>6155</v>
      </c>
    </row>
    <row r="4541" spans="1:11" x14ac:dyDescent="0.2">
      <c r="A4541" s="9" t="s">
        <v>64</v>
      </c>
      <c r="B4541" s="9" t="s">
        <v>245</v>
      </c>
      <c r="C4541" s="9"/>
      <c r="D4541" s="9" t="s">
        <v>79</v>
      </c>
      <c r="E4541" s="38">
        <v>1470</v>
      </c>
      <c r="F4541" s="39">
        <v>571143</v>
      </c>
      <c r="G4541" s="40">
        <v>388.53265306122449</v>
      </c>
      <c r="H4541" s="41"/>
      <c r="I4541" s="40">
        <v>68.027210884353735</v>
      </c>
      <c r="J4541" s="41">
        <v>0.17508749997811399</v>
      </c>
      <c r="K4541" s="9" t="s">
        <v>6156</v>
      </c>
    </row>
    <row r="4542" spans="1:11" x14ac:dyDescent="0.2">
      <c r="A4542" s="9" t="s">
        <v>64</v>
      </c>
      <c r="B4542" s="9" t="s">
        <v>1246</v>
      </c>
      <c r="C4542" s="9"/>
      <c r="D4542" s="9" t="s">
        <v>80</v>
      </c>
      <c r="E4542" s="38">
        <v>200</v>
      </c>
      <c r="F4542" s="39">
        <v>0</v>
      </c>
      <c r="G4542" s="40"/>
      <c r="H4542" s="41"/>
      <c r="I4542" s="40">
        <v>448.39850951478508</v>
      </c>
      <c r="J4542" s="41"/>
      <c r="K4542" s="9" t="s">
        <v>6157</v>
      </c>
    </row>
    <row r="4543" spans="1:11" x14ac:dyDescent="0.2">
      <c r="A4543" s="9" t="s">
        <v>64</v>
      </c>
      <c r="B4543" s="9" t="s">
        <v>6158</v>
      </c>
      <c r="C4543" s="9"/>
      <c r="D4543" s="9" t="s">
        <v>80</v>
      </c>
      <c r="E4543" s="38">
        <v>416</v>
      </c>
      <c r="F4543" s="39">
        <v>198010</v>
      </c>
      <c r="G4543" s="40">
        <v>475.98557692307691</v>
      </c>
      <c r="H4543" s="41"/>
      <c r="I4543" s="40">
        <v>225.99255824972619</v>
      </c>
      <c r="J4543" s="41">
        <v>0.47478866841011119</v>
      </c>
      <c r="K4543" s="9" t="s">
        <v>6159</v>
      </c>
    </row>
    <row r="4544" spans="1:11" x14ac:dyDescent="0.2">
      <c r="A4544" s="9" t="s">
        <v>64</v>
      </c>
      <c r="B4544" s="9" t="s">
        <v>247</v>
      </c>
      <c r="C4544" s="9"/>
      <c r="D4544" s="9" t="s">
        <v>76</v>
      </c>
      <c r="E4544" s="38">
        <v>15121</v>
      </c>
      <c r="F4544" s="39">
        <v>5519163</v>
      </c>
      <c r="G4544" s="40">
        <v>364.99986773361547</v>
      </c>
      <c r="H4544" s="41"/>
      <c r="I4544" s="40">
        <v>33.177670845423002</v>
      </c>
      <c r="J4544" s="41">
        <v>9.089776128257876E-2</v>
      </c>
      <c r="K4544" s="9" t="s">
        <v>6160</v>
      </c>
    </row>
    <row r="4545" spans="1:11" x14ac:dyDescent="0.2">
      <c r="A4545" s="9" t="s">
        <v>64</v>
      </c>
      <c r="B4545" s="9" t="s">
        <v>249</v>
      </c>
      <c r="C4545" s="9"/>
      <c r="D4545" s="9" t="s">
        <v>82</v>
      </c>
      <c r="E4545" s="38">
        <v>4076</v>
      </c>
      <c r="F4545" s="39">
        <v>1323656</v>
      </c>
      <c r="G4545" s="40">
        <v>324.74386653581939</v>
      </c>
      <c r="H4545" s="41"/>
      <c r="I4545" s="40">
        <v>55.412635123703858</v>
      </c>
      <c r="J4545" s="41">
        <v>0.17063489363113751</v>
      </c>
      <c r="K4545" s="9" t="s">
        <v>6161</v>
      </c>
    </row>
    <row r="4546" spans="1:11" x14ac:dyDescent="0.2">
      <c r="A4546" s="9" t="s">
        <v>64</v>
      </c>
      <c r="B4546" s="9" t="s">
        <v>2182</v>
      </c>
      <c r="C4546" s="9"/>
      <c r="D4546" s="9" t="s">
        <v>78</v>
      </c>
      <c r="E4546" s="38">
        <v>1577</v>
      </c>
      <c r="F4546" s="39">
        <v>3650870</v>
      </c>
      <c r="G4546" s="40">
        <v>2315.072923272035</v>
      </c>
      <c r="H4546" s="41"/>
      <c r="I4546" s="40">
        <v>182.93468663753541</v>
      </c>
      <c r="J4546" s="41">
        <v>7.9018973786355945E-2</v>
      </c>
      <c r="K4546" s="9" t="s">
        <v>6162</v>
      </c>
    </row>
    <row r="4547" spans="1:11" x14ac:dyDescent="0.2">
      <c r="A4547" s="9" t="s">
        <v>64</v>
      </c>
      <c r="B4547" s="9" t="s">
        <v>140</v>
      </c>
      <c r="C4547" s="9"/>
      <c r="D4547" s="9" t="s">
        <v>83</v>
      </c>
      <c r="E4547" s="38">
        <v>7500</v>
      </c>
      <c r="F4547" s="39">
        <v>3879085</v>
      </c>
      <c r="G4547" s="40">
        <v>517.2113333333333</v>
      </c>
      <c r="H4547" s="41"/>
      <c r="I4547" s="40">
        <v>78.154908402682054</v>
      </c>
      <c r="J4547" s="41">
        <v>0.1511082672898674</v>
      </c>
      <c r="K4547" s="9" t="s">
        <v>6163</v>
      </c>
    </row>
    <row r="4548" spans="1:11" x14ac:dyDescent="0.2">
      <c r="A4548" s="9" t="s">
        <v>64</v>
      </c>
      <c r="B4548" s="9" t="s">
        <v>256</v>
      </c>
      <c r="C4548" s="9"/>
      <c r="D4548" s="9" t="s">
        <v>76</v>
      </c>
      <c r="E4548" s="38">
        <v>1684</v>
      </c>
      <c r="F4548" s="39">
        <v>1297982</v>
      </c>
      <c r="G4548" s="40">
        <v>770.77315914489316</v>
      </c>
      <c r="H4548" s="41"/>
      <c r="I4548" s="40">
        <v>175.4697618451126</v>
      </c>
      <c r="J4548" s="41">
        <v>0.22765421935525271</v>
      </c>
      <c r="K4548" s="9" t="s">
        <v>6164</v>
      </c>
    </row>
    <row r="4549" spans="1:11" x14ac:dyDescent="0.2">
      <c r="A4549" s="9" t="s">
        <v>64</v>
      </c>
      <c r="B4549" s="9" t="s">
        <v>258</v>
      </c>
      <c r="C4549" s="9"/>
      <c r="D4549" s="9" t="s">
        <v>78</v>
      </c>
      <c r="E4549" s="38">
        <v>1333</v>
      </c>
      <c r="F4549" s="39">
        <v>623429</v>
      </c>
      <c r="G4549" s="40">
        <v>467.68867216804199</v>
      </c>
      <c r="H4549" s="41"/>
      <c r="I4549" s="40">
        <v>202.15298955619329</v>
      </c>
      <c r="J4549" s="41">
        <v>0.4322383704935216</v>
      </c>
      <c r="K4549" s="9" t="s">
        <v>6165</v>
      </c>
    </row>
    <row r="4550" spans="1:11" x14ac:dyDescent="0.2">
      <c r="A4550" s="9" t="s">
        <v>64</v>
      </c>
      <c r="B4550" s="9" t="s">
        <v>6166</v>
      </c>
      <c r="C4550" s="9"/>
      <c r="D4550" s="9" t="s">
        <v>77</v>
      </c>
      <c r="E4550" s="38">
        <v>2404</v>
      </c>
      <c r="F4550" s="39">
        <v>0</v>
      </c>
      <c r="G4550" s="40"/>
      <c r="H4550" s="41"/>
      <c r="I4550" s="40">
        <v>159.15100641467089</v>
      </c>
      <c r="J4550" s="41"/>
      <c r="K4550" s="9" t="s">
        <v>6167</v>
      </c>
    </row>
    <row r="4551" spans="1:11" x14ac:dyDescent="0.2">
      <c r="A4551" s="9" t="s">
        <v>64</v>
      </c>
      <c r="B4551" s="9" t="s">
        <v>915</v>
      </c>
      <c r="C4551" s="9"/>
      <c r="D4551" s="9" t="s">
        <v>76</v>
      </c>
      <c r="E4551" s="38">
        <v>671</v>
      </c>
      <c r="F4551" s="39">
        <v>0</v>
      </c>
      <c r="G4551" s="40"/>
      <c r="H4551" s="41"/>
      <c r="I4551" s="40">
        <v>157.2801865808909</v>
      </c>
      <c r="J4551" s="41"/>
      <c r="K4551" s="9" t="s">
        <v>6168</v>
      </c>
    </row>
    <row r="4552" spans="1:11" x14ac:dyDescent="0.2">
      <c r="A4552" s="9" t="s">
        <v>64</v>
      </c>
      <c r="B4552" s="9" t="s">
        <v>260</v>
      </c>
      <c r="C4552" s="9"/>
      <c r="D4552" s="9" t="s">
        <v>76</v>
      </c>
      <c r="E4552" s="38">
        <v>4500</v>
      </c>
      <c r="F4552" s="39">
        <v>1312409</v>
      </c>
      <c r="G4552" s="40">
        <v>291.64644444444451</v>
      </c>
      <c r="H4552" s="41"/>
      <c r="I4552" s="40">
        <v>133.40558701972671</v>
      </c>
      <c r="J4552" s="41">
        <v>0.45742229868034279</v>
      </c>
      <c r="K4552" s="9" t="s">
        <v>6169</v>
      </c>
    </row>
    <row r="4553" spans="1:11" x14ac:dyDescent="0.2">
      <c r="A4553" s="9" t="s">
        <v>64</v>
      </c>
      <c r="B4553" s="9" t="s">
        <v>473</v>
      </c>
      <c r="C4553" s="9"/>
      <c r="D4553" s="9" t="s">
        <v>86</v>
      </c>
      <c r="E4553" s="38">
        <v>190713</v>
      </c>
      <c r="F4553" s="39">
        <v>0</v>
      </c>
      <c r="G4553" s="40"/>
      <c r="H4553" s="41"/>
      <c r="I4553" s="40">
        <v>2.9845209179134682</v>
      </c>
      <c r="J4553" s="41"/>
      <c r="K4553" s="9" t="s">
        <v>6170</v>
      </c>
    </row>
    <row r="4554" spans="1:11" x14ac:dyDescent="0.2">
      <c r="A4554" s="9" t="s">
        <v>64</v>
      </c>
      <c r="B4554" s="9" t="s">
        <v>262</v>
      </c>
      <c r="C4554" s="9"/>
      <c r="D4554" s="9" t="s">
        <v>76</v>
      </c>
      <c r="E4554" s="38">
        <v>8000</v>
      </c>
      <c r="F4554" s="39">
        <v>3311475</v>
      </c>
      <c r="G4554" s="40">
        <v>413.93437499999999</v>
      </c>
      <c r="H4554" s="41"/>
      <c r="I4554" s="40">
        <v>74.230402810685092</v>
      </c>
      <c r="J4554" s="41">
        <v>0.1793289161130556</v>
      </c>
      <c r="K4554" s="9" t="s">
        <v>6171</v>
      </c>
    </row>
    <row r="4555" spans="1:11" x14ac:dyDescent="0.2">
      <c r="A4555" s="9" t="s">
        <v>64</v>
      </c>
      <c r="B4555" s="9" t="s">
        <v>481</v>
      </c>
      <c r="C4555" s="9"/>
      <c r="D4555" s="9" t="s">
        <v>77</v>
      </c>
      <c r="E4555" s="38">
        <v>1800</v>
      </c>
      <c r="F4555" s="39">
        <v>815131</v>
      </c>
      <c r="G4555" s="40">
        <v>452.85055555555562</v>
      </c>
      <c r="H4555" s="41"/>
      <c r="I4555" s="40">
        <v>177.14937522933459</v>
      </c>
      <c r="J4555" s="41">
        <v>0.3911872759259582</v>
      </c>
      <c r="K4555" s="9" t="s">
        <v>6172</v>
      </c>
    </row>
    <row r="4556" spans="1:11" x14ac:dyDescent="0.2">
      <c r="A4556" s="9" t="s">
        <v>64</v>
      </c>
      <c r="B4556" s="9" t="s">
        <v>267</v>
      </c>
      <c r="C4556" s="9"/>
      <c r="D4556" s="9" t="s">
        <v>77</v>
      </c>
      <c r="E4556" s="38">
        <v>2672</v>
      </c>
      <c r="F4556" s="39">
        <v>2290314</v>
      </c>
      <c r="G4556" s="40">
        <v>857.15344311377248</v>
      </c>
      <c r="H4556" s="41"/>
      <c r="I4556" s="40">
        <v>160.19874706387179</v>
      </c>
      <c r="J4556" s="41">
        <v>0.1868962300167861</v>
      </c>
      <c r="K4556" s="9" t="s">
        <v>6173</v>
      </c>
    </row>
    <row r="4557" spans="1:11" x14ac:dyDescent="0.2">
      <c r="A4557" s="9" t="s">
        <v>64</v>
      </c>
      <c r="B4557" s="9" t="s">
        <v>2198</v>
      </c>
      <c r="C4557" s="9"/>
      <c r="D4557" s="9" t="s">
        <v>76</v>
      </c>
      <c r="E4557" s="38">
        <v>1869</v>
      </c>
      <c r="F4557" s="39">
        <v>559258</v>
      </c>
      <c r="G4557" s="40">
        <v>299.22846441947559</v>
      </c>
      <c r="H4557" s="41"/>
      <c r="I4557" s="40">
        <v>64.111101671812506</v>
      </c>
      <c r="J4557" s="41">
        <v>0.21425468929298741</v>
      </c>
      <c r="K4557" s="9" t="s">
        <v>6174</v>
      </c>
    </row>
    <row r="4558" spans="1:11" x14ac:dyDescent="0.2">
      <c r="A4558" s="9" t="s">
        <v>64</v>
      </c>
      <c r="B4558" s="9" t="s">
        <v>271</v>
      </c>
      <c r="C4558" s="9"/>
      <c r="D4558" s="9" t="s">
        <v>78</v>
      </c>
      <c r="E4558" s="38">
        <v>2202</v>
      </c>
      <c r="F4558" s="39">
        <v>4469555</v>
      </c>
      <c r="G4558" s="40">
        <v>2029.7706630336061</v>
      </c>
      <c r="H4558" s="41"/>
      <c r="I4558" s="40">
        <v>273.61743341298711</v>
      </c>
      <c r="J4558" s="41">
        <v>0.1348021421316882</v>
      </c>
      <c r="K4558" s="9" t="s">
        <v>6175</v>
      </c>
    </row>
    <row r="4559" spans="1:11" x14ac:dyDescent="0.2">
      <c r="A4559" s="9" t="s">
        <v>64</v>
      </c>
      <c r="B4559" s="9" t="s">
        <v>487</v>
      </c>
      <c r="C4559" s="9"/>
      <c r="D4559" s="9" t="s">
        <v>77</v>
      </c>
      <c r="E4559" s="38">
        <v>3748</v>
      </c>
      <c r="F4559" s="39">
        <v>2788432</v>
      </c>
      <c r="G4559" s="40">
        <v>743.9786552828175</v>
      </c>
      <c r="H4559" s="41"/>
      <c r="I4559" s="40">
        <v>149.7357005988932</v>
      </c>
      <c r="J4559" s="41">
        <v>0.20126343616937831</v>
      </c>
      <c r="K4559" s="9" t="s">
        <v>6176</v>
      </c>
    </row>
    <row r="4560" spans="1:11" x14ac:dyDescent="0.2">
      <c r="A4560" s="9" t="s">
        <v>64</v>
      </c>
      <c r="B4560" s="9" t="s">
        <v>5596</v>
      </c>
      <c r="C4560" s="9"/>
      <c r="D4560" s="9" t="s">
        <v>79</v>
      </c>
      <c r="E4560" s="38">
        <v>825</v>
      </c>
      <c r="F4560" s="39">
        <v>734975</v>
      </c>
      <c r="G4560" s="40">
        <v>890.87878787878788</v>
      </c>
      <c r="H4560" s="41"/>
      <c r="I4560" s="40">
        <v>124.79045996149441</v>
      </c>
      <c r="J4560" s="41">
        <v>0.1400756889257905</v>
      </c>
      <c r="K4560" s="9" t="s">
        <v>6177</v>
      </c>
    </row>
    <row r="4561" spans="1:11" x14ac:dyDescent="0.2">
      <c r="A4561" s="9" t="s">
        <v>64</v>
      </c>
      <c r="B4561" s="9" t="s">
        <v>489</v>
      </c>
      <c r="C4561" s="9"/>
      <c r="D4561" s="9" t="s">
        <v>82</v>
      </c>
      <c r="E4561" s="38">
        <v>3000</v>
      </c>
      <c r="F4561" s="39">
        <v>4457127</v>
      </c>
      <c r="G4561" s="40">
        <v>1485.7090000000001</v>
      </c>
      <c r="H4561" s="41"/>
      <c r="I4561" s="40">
        <v>180.64751402789639</v>
      </c>
      <c r="J4561" s="41">
        <v>0.1215901054835748</v>
      </c>
      <c r="K4561" s="9" t="s">
        <v>6178</v>
      </c>
    </row>
    <row r="4562" spans="1:11" x14ac:dyDescent="0.2">
      <c r="A4562" s="9" t="s">
        <v>64</v>
      </c>
      <c r="B4562" s="9" t="s">
        <v>275</v>
      </c>
      <c r="C4562" s="9"/>
      <c r="D4562" s="9" t="s">
        <v>83</v>
      </c>
      <c r="E4562" s="38">
        <v>4959</v>
      </c>
      <c r="F4562" s="39">
        <v>2788686</v>
      </c>
      <c r="G4562" s="40">
        <v>562.34845735027227</v>
      </c>
      <c r="H4562" s="41"/>
      <c r="I4562" s="40">
        <v>112.6524955571401</v>
      </c>
      <c r="J4562" s="41">
        <v>0.20032507262124799</v>
      </c>
      <c r="K4562" s="9" t="s">
        <v>6179</v>
      </c>
    </row>
    <row r="4563" spans="1:11" x14ac:dyDescent="0.2">
      <c r="A4563" s="9" t="s">
        <v>64</v>
      </c>
      <c r="B4563" s="9" t="s">
        <v>277</v>
      </c>
      <c r="C4563" s="9"/>
      <c r="D4563" s="9" t="s">
        <v>76</v>
      </c>
      <c r="E4563" s="38">
        <v>682</v>
      </c>
      <c r="F4563" s="39">
        <v>0</v>
      </c>
      <c r="G4563" s="40"/>
      <c r="H4563" s="41"/>
      <c r="I4563" s="40">
        <v>114.5921195891473</v>
      </c>
      <c r="J4563" s="41"/>
      <c r="K4563" s="9" t="s">
        <v>6180</v>
      </c>
    </row>
    <row r="4564" spans="1:11" x14ac:dyDescent="0.2">
      <c r="A4564" s="9" t="s">
        <v>64</v>
      </c>
      <c r="B4564" s="9" t="s">
        <v>1262</v>
      </c>
      <c r="C4564" s="9"/>
      <c r="D4564" s="9" t="s">
        <v>79</v>
      </c>
      <c r="E4564" s="38">
        <v>1177</v>
      </c>
      <c r="F4564" s="39">
        <v>503982</v>
      </c>
      <c r="G4564" s="40">
        <v>428.19201359388268</v>
      </c>
      <c r="H4564" s="41"/>
      <c r="I4564" s="40">
        <v>85.55507946219744</v>
      </c>
      <c r="J4564" s="41">
        <v>0.19980540679430289</v>
      </c>
      <c r="K4564" s="9" t="s">
        <v>6181</v>
      </c>
    </row>
    <row r="4565" spans="1:11" x14ac:dyDescent="0.2">
      <c r="A4565" s="9" t="s">
        <v>64</v>
      </c>
      <c r="B4565" s="9" t="s">
        <v>4401</v>
      </c>
      <c r="C4565" s="9"/>
      <c r="D4565" s="9" t="s">
        <v>86</v>
      </c>
      <c r="E4565" s="38">
        <v>114700</v>
      </c>
      <c r="F4565" s="39">
        <v>0</v>
      </c>
      <c r="G4565" s="40"/>
      <c r="H4565" s="41"/>
      <c r="I4565" s="40">
        <v>3.343265320746426</v>
      </c>
      <c r="J4565" s="41"/>
      <c r="K4565" s="9" t="s">
        <v>6182</v>
      </c>
    </row>
    <row r="4566" spans="1:11" x14ac:dyDescent="0.2">
      <c r="A4566" s="9" t="s">
        <v>64</v>
      </c>
      <c r="B4566" s="9" t="s">
        <v>6183</v>
      </c>
      <c r="C4566" s="9"/>
      <c r="D4566" s="9" t="s">
        <v>76</v>
      </c>
      <c r="E4566" s="38">
        <v>3332</v>
      </c>
      <c r="F4566" s="39">
        <v>21511619</v>
      </c>
      <c r="G4566" s="40">
        <v>6456.0681272509</v>
      </c>
      <c r="H4566" s="41"/>
      <c r="I4566" s="40">
        <v>314.67390220281419</v>
      </c>
      <c r="J4566" s="41">
        <v>4.8740796410524798E-2</v>
      </c>
      <c r="K4566" s="9" t="s">
        <v>6184</v>
      </c>
    </row>
    <row r="4567" spans="1:11" x14ac:dyDescent="0.2">
      <c r="A4567" s="9" t="s">
        <v>64</v>
      </c>
      <c r="B4567" s="9" t="s">
        <v>283</v>
      </c>
      <c r="C4567" s="9"/>
      <c r="D4567" s="9" t="s">
        <v>78</v>
      </c>
      <c r="E4567" s="38">
        <v>935</v>
      </c>
      <c r="F4567" s="39">
        <v>0</v>
      </c>
      <c r="G4567" s="40"/>
      <c r="H4567" s="41"/>
      <c r="I4567" s="40">
        <v>130.57253826758571</v>
      </c>
      <c r="J4567" s="41"/>
      <c r="K4567" s="9" t="s">
        <v>6185</v>
      </c>
    </row>
    <row r="4568" spans="1:11" x14ac:dyDescent="0.2">
      <c r="A4568" s="9" t="s">
        <v>64</v>
      </c>
      <c r="B4568" s="9" t="s">
        <v>497</v>
      </c>
      <c r="C4568" s="9"/>
      <c r="D4568" s="9" t="s">
        <v>76</v>
      </c>
      <c r="E4568" s="38">
        <v>3029</v>
      </c>
      <c r="F4568" s="39">
        <v>775459</v>
      </c>
      <c r="G4568" s="40">
        <v>256.01155496863652</v>
      </c>
      <c r="H4568" s="41"/>
      <c r="I4568" s="40">
        <v>96.501252903451046</v>
      </c>
      <c r="J4568" s="41">
        <v>0.37694100532014357</v>
      </c>
      <c r="K4568" s="9" t="s">
        <v>6186</v>
      </c>
    </row>
    <row r="4569" spans="1:11" x14ac:dyDescent="0.2">
      <c r="A4569" s="9" t="s">
        <v>64</v>
      </c>
      <c r="B4569" s="9" t="s">
        <v>285</v>
      </c>
      <c r="C4569" s="9"/>
      <c r="D4569" s="9" t="s">
        <v>76</v>
      </c>
      <c r="E4569" s="38">
        <v>3200</v>
      </c>
      <c r="F4569" s="39">
        <v>7967426</v>
      </c>
      <c r="G4569" s="40">
        <v>2489.8206249999998</v>
      </c>
      <c r="H4569" s="41"/>
      <c r="I4569" s="40">
        <v>133.39787602993579</v>
      </c>
      <c r="J4569" s="41">
        <v>5.3577303798716752E-2</v>
      </c>
      <c r="K4569" s="9" t="s">
        <v>6187</v>
      </c>
    </row>
    <row r="4570" spans="1:11" x14ac:dyDescent="0.2">
      <c r="A4570" s="9" t="s">
        <v>64</v>
      </c>
      <c r="B4570" s="9" t="s">
        <v>287</v>
      </c>
      <c r="C4570" s="9"/>
      <c r="D4570" s="9" t="s">
        <v>79</v>
      </c>
      <c r="E4570" s="38">
        <v>1018</v>
      </c>
      <c r="F4570" s="39">
        <v>1441654</v>
      </c>
      <c r="G4570" s="40">
        <v>1416.163064833006</v>
      </c>
      <c r="H4570" s="41"/>
      <c r="I4570" s="40">
        <v>216.97360368452141</v>
      </c>
      <c r="J4570" s="41">
        <v>0.15321230236300989</v>
      </c>
      <c r="K4570" s="9" t="s">
        <v>6188</v>
      </c>
    </row>
    <row r="4571" spans="1:11" x14ac:dyDescent="0.2">
      <c r="A4571" s="9" t="s">
        <v>64</v>
      </c>
      <c r="B4571" s="9" t="s">
        <v>289</v>
      </c>
      <c r="C4571" s="9"/>
      <c r="D4571" s="9" t="s">
        <v>79</v>
      </c>
      <c r="E4571" s="38">
        <v>338</v>
      </c>
      <c r="F4571" s="39">
        <v>0</v>
      </c>
      <c r="G4571" s="40"/>
      <c r="H4571" s="41"/>
      <c r="I4571" s="40">
        <v>34.999881656804739</v>
      </c>
      <c r="J4571" s="41"/>
      <c r="K4571" s="9" t="s">
        <v>6189</v>
      </c>
    </row>
    <row r="4572" spans="1:11" x14ac:dyDescent="0.2">
      <c r="A4572" s="9" t="s">
        <v>64</v>
      </c>
      <c r="B4572" s="9" t="s">
        <v>289</v>
      </c>
      <c r="C4572" s="9"/>
      <c r="D4572" s="9" t="s">
        <v>79</v>
      </c>
      <c r="E4572" s="38">
        <v>853</v>
      </c>
      <c r="F4572" s="39">
        <v>498015</v>
      </c>
      <c r="G4572" s="40">
        <v>583.83939038686992</v>
      </c>
      <c r="H4572" s="41"/>
      <c r="I4572" s="40">
        <v>236.87265057094859</v>
      </c>
      <c r="J4572" s="41">
        <v>0.40571543213963268</v>
      </c>
      <c r="K4572" s="9" t="s">
        <v>6189</v>
      </c>
    </row>
    <row r="4573" spans="1:11" x14ac:dyDescent="0.2">
      <c r="A4573" s="9" t="s">
        <v>64</v>
      </c>
      <c r="B4573" s="9" t="s">
        <v>502</v>
      </c>
      <c r="C4573" s="9"/>
      <c r="D4573" s="9" t="s">
        <v>86</v>
      </c>
      <c r="E4573" s="38">
        <v>208790</v>
      </c>
      <c r="F4573" s="39">
        <v>0</v>
      </c>
      <c r="G4573" s="40"/>
      <c r="H4573" s="41"/>
      <c r="I4573" s="40">
        <v>1.569670743825353</v>
      </c>
      <c r="J4573" s="41"/>
      <c r="K4573" s="9" t="s">
        <v>6190</v>
      </c>
    </row>
    <row r="4574" spans="1:11" x14ac:dyDescent="0.2">
      <c r="A4574" s="9" t="s">
        <v>64</v>
      </c>
      <c r="B4574" s="9" t="s">
        <v>502</v>
      </c>
      <c r="C4574" s="9"/>
      <c r="D4574" s="9" t="s">
        <v>86</v>
      </c>
      <c r="E4574" s="38">
        <v>79992</v>
      </c>
      <c r="F4574" s="39">
        <v>0</v>
      </c>
      <c r="G4574" s="40"/>
      <c r="H4574" s="41"/>
      <c r="I4574" s="40">
        <v>3.5503323424844222</v>
      </c>
      <c r="J4574" s="41"/>
      <c r="K4574" s="9" t="s">
        <v>6190</v>
      </c>
    </row>
    <row r="4575" spans="1:11" x14ac:dyDescent="0.2">
      <c r="A4575" s="9" t="s">
        <v>64</v>
      </c>
      <c r="B4575" s="9" t="s">
        <v>2976</v>
      </c>
      <c r="C4575" s="9"/>
      <c r="D4575" s="9" t="s">
        <v>76</v>
      </c>
      <c r="E4575" s="38">
        <v>3484</v>
      </c>
      <c r="F4575" s="39">
        <v>2211974</v>
      </c>
      <c r="G4575" s="40">
        <v>634.8949483352468</v>
      </c>
      <c r="H4575" s="41"/>
      <c r="I4575" s="40">
        <v>100.5019001148106</v>
      </c>
      <c r="J4575" s="41">
        <v>0.1582968967989678</v>
      </c>
      <c r="K4575" s="9" t="s">
        <v>6191</v>
      </c>
    </row>
    <row r="4576" spans="1:11" x14ac:dyDescent="0.2">
      <c r="A4576" s="9" t="s">
        <v>64</v>
      </c>
      <c r="B4576" s="9" t="s">
        <v>6192</v>
      </c>
      <c r="C4576" s="9"/>
      <c r="D4576" s="9" t="s">
        <v>83</v>
      </c>
      <c r="E4576" s="38">
        <v>1461</v>
      </c>
      <c r="F4576" s="39">
        <v>0</v>
      </c>
      <c r="G4576" s="40"/>
      <c r="H4576" s="41"/>
      <c r="I4576" s="40">
        <v>33.836506907781413</v>
      </c>
      <c r="J4576" s="41"/>
      <c r="K4576" s="9" t="s">
        <v>6193</v>
      </c>
    </row>
    <row r="4577" spans="1:11" x14ac:dyDescent="0.2">
      <c r="A4577" s="9" t="s">
        <v>64</v>
      </c>
      <c r="B4577" s="9" t="s">
        <v>508</v>
      </c>
      <c r="C4577" s="9"/>
      <c r="D4577" s="9" t="s">
        <v>76</v>
      </c>
      <c r="E4577" s="38">
        <v>2100</v>
      </c>
      <c r="F4577" s="39">
        <v>729532</v>
      </c>
      <c r="G4577" s="40">
        <v>347.3961904761905</v>
      </c>
      <c r="H4577" s="41"/>
      <c r="I4577" s="40">
        <v>28</v>
      </c>
      <c r="J4577" s="41">
        <v>8.0599617288892061E-2</v>
      </c>
      <c r="K4577" s="9" t="s">
        <v>6194</v>
      </c>
    </row>
    <row r="4578" spans="1:11" x14ac:dyDescent="0.2">
      <c r="A4578" s="9" t="s">
        <v>64</v>
      </c>
      <c r="B4578" s="9" t="s">
        <v>6195</v>
      </c>
      <c r="C4578" s="9"/>
      <c r="D4578" s="9" t="s">
        <v>78</v>
      </c>
      <c r="E4578" s="38">
        <v>1862</v>
      </c>
      <c r="F4578" s="39">
        <v>2892569</v>
      </c>
      <c r="G4578" s="40">
        <v>1553.4742212674539</v>
      </c>
      <c r="H4578" s="41"/>
      <c r="I4578" s="40">
        <v>213.14051043024639</v>
      </c>
      <c r="J4578" s="41">
        <v>0.1372024765601508</v>
      </c>
      <c r="K4578" s="9" t="s">
        <v>6196</v>
      </c>
    </row>
    <row r="4579" spans="1:11" x14ac:dyDescent="0.2">
      <c r="A4579" s="9" t="s">
        <v>64</v>
      </c>
      <c r="B4579" s="9" t="s">
        <v>5326</v>
      </c>
      <c r="C4579" s="9"/>
      <c r="D4579" s="9" t="s">
        <v>80</v>
      </c>
      <c r="E4579" s="38">
        <v>1086</v>
      </c>
      <c r="F4579" s="39">
        <v>1119935</v>
      </c>
      <c r="G4579" s="40">
        <v>1031.2476979742171</v>
      </c>
      <c r="H4579" s="41"/>
      <c r="I4579" s="40">
        <v>154.41224659592899</v>
      </c>
      <c r="J4579" s="41">
        <v>0.1497334218532137</v>
      </c>
      <c r="K4579" s="9" t="s">
        <v>6197</v>
      </c>
    </row>
    <row r="4580" spans="1:11" x14ac:dyDescent="0.2">
      <c r="A4580" s="9" t="s">
        <v>64</v>
      </c>
      <c r="B4580" s="9" t="s">
        <v>6198</v>
      </c>
      <c r="C4580" s="9"/>
      <c r="D4580" s="9" t="s">
        <v>83</v>
      </c>
      <c r="E4580" s="38">
        <v>813</v>
      </c>
      <c r="F4580" s="39">
        <v>280197</v>
      </c>
      <c r="G4580" s="40">
        <v>344.64575645756457</v>
      </c>
      <c r="H4580" s="41"/>
      <c r="I4580" s="40">
        <v>14.0852743052588</v>
      </c>
      <c r="J4580" s="41">
        <v>4.0868845884058022E-2</v>
      </c>
      <c r="K4580" s="9" t="s">
        <v>6199</v>
      </c>
    </row>
    <row r="4581" spans="1:11" x14ac:dyDescent="0.2">
      <c r="A4581" s="9" t="s">
        <v>64</v>
      </c>
      <c r="B4581" s="9" t="s">
        <v>800</v>
      </c>
      <c r="C4581" s="9"/>
      <c r="D4581" s="9" t="s">
        <v>86</v>
      </c>
      <c r="E4581" s="38">
        <v>175415</v>
      </c>
      <c r="F4581" s="39">
        <v>0</v>
      </c>
      <c r="G4581" s="40"/>
      <c r="H4581" s="41"/>
      <c r="I4581" s="40">
        <v>0.91766657774063931</v>
      </c>
      <c r="J4581" s="41"/>
      <c r="K4581" s="9" t="s">
        <v>6200</v>
      </c>
    </row>
    <row r="4582" spans="1:11" x14ac:dyDescent="0.2">
      <c r="A4582" s="9" t="s">
        <v>64</v>
      </c>
      <c r="B4582" s="9" t="s">
        <v>710</v>
      </c>
      <c r="C4582" s="9"/>
      <c r="D4582" s="9" t="s">
        <v>76</v>
      </c>
      <c r="E4582" s="38">
        <v>2366</v>
      </c>
      <c r="F4582" s="39">
        <v>718283</v>
      </c>
      <c r="G4582" s="40">
        <v>303.58537616229921</v>
      </c>
      <c r="H4582" s="41"/>
      <c r="I4582" s="40">
        <v>41.409667185796948</v>
      </c>
      <c r="J4582" s="41">
        <v>0.13640204844273859</v>
      </c>
      <c r="K4582" s="9" t="s">
        <v>6201</v>
      </c>
    </row>
    <row r="4583" spans="1:11" x14ac:dyDescent="0.2">
      <c r="A4583" s="9" t="s">
        <v>64</v>
      </c>
      <c r="B4583" s="9" t="s">
        <v>1816</v>
      </c>
      <c r="C4583" s="9"/>
      <c r="D4583" s="9" t="s">
        <v>76</v>
      </c>
      <c r="E4583" s="38">
        <v>3487</v>
      </c>
      <c r="F4583" s="39">
        <v>0</v>
      </c>
      <c r="G4583" s="40"/>
      <c r="H4583" s="41"/>
      <c r="I4583" s="40">
        <v>80.004976983490508</v>
      </c>
      <c r="J4583" s="41"/>
      <c r="K4583" s="9" t="s">
        <v>6202</v>
      </c>
    </row>
    <row r="4584" spans="1:11" x14ac:dyDescent="0.2">
      <c r="A4584" s="9" t="s">
        <v>64</v>
      </c>
      <c r="B4584" s="9" t="s">
        <v>603</v>
      </c>
      <c r="C4584" s="9"/>
      <c r="D4584" s="9" t="s">
        <v>81</v>
      </c>
      <c r="E4584" s="38">
        <v>7646</v>
      </c>
      <c r="F4584" s="39">
        <v>5146518</v>
      </c>
      <c r="G4584" s="40">
        <v>673.09939837823697</v>
      </c>
      <c r="H4584" s="41"/>
      <c r="I4584" s="40">
        <v>65.54400258301736</v>
      </c>
      <c r="J4584" s="41">
        <v>9.7376409399471786E-2</v>
      </c>
      <c r="K4584" s="9" t="s">
        <v>6203</v>
      </c>
    </row>
    <row r="4585" spans="1:11" x14ac:dyDescent="0.2">
      <c r="A4585" s="9" t="s">
        <v>64</v>
      </c>
      <c r="B4585" s="9" t="s">
        <v>317</v>
      </c>
      <c r="C4585" s="9"/>
      <c r="D4585" s="9" t="s">
        <v>76</v>
      </c>
      <c r="E4585" s="38">
        <v>3349</v>
      </c>
      <c r="F4585" s="39">
        <v>2731628</v>
      </c>
      <c r="G4585" s="40">
        <v>815.65482233502541</v>
      </c>
      <c r="H4585" s="41"/>
      <c r="I4585" s="40">
        <v>127.1446695246882</v>
      </c>
      <c r="J4585" s="41">
        <v>0.15588048527771009</v>
      </c>
      <c r="K4585" s="9" t="s">
        <v>6204</v>
      </c>
    </row>
    <row r="4586" spans="1:11" x14ac:dyDescent="0.2">
      <c r="A4586" s="9" t="s">
        <v>64</v>
      </c>
      <c r="B4586" s="9" t="s">
        <v>321</v>
      </c>
      <c r="C4586" s="9"/>
      <c r="D4586" s="9" t="s">
        <v>78</v>
      </c>
      <c r="E4586" s="38">
        <v>800</v>
      </c>
      <c r="F4586" s="39">
        <v>2908485</v>
      </c>
      <c r="G4586" s="40">
        <v>3635.6062499999998</v>
      </c>
      <c r="H4586" s="41"/>
      <c r="I4586" s="40">
        <v>321.53089156971112</v>
      </c>
      <c r="J4586" s="41">
        <v>8.8439415453670525E-2</v>
      </c>
      <c r="K4586" s="9" t="s">
        <v>6205</v>
      </c>
    </row>
    <row r="4587" spans="1:11" x14ac:dyDescent="0.2">
      <c r="A4587" s="9" t="s">
        <v>64</v>
      </c>
      <c r="B4587" s="9" t="s">
        <v>6206</v>
      </c>
      <c r="C4587" s="9"/>
      <c r="D4587" s="9" t="s">
        <v>82</v>
      </c>
      <c r="E4587" s="38">
        <v>2413</v>
      </c>
      <c r="F4587" s="39">
        <v>0</v>
      </c>
      <c r="G4587" s="40"/>
      <c r="H4587" s="41"/>
      <c r="I4587" s="40">
        <v>255.9830220725589</v>
      </c>
      <c r="J4587" s="41"/>
      <c r="K4587" s="9" t="s">
        <v>6207</v>
      </c>
    </row>
    <row r="4588" spans="1:11" x14ac:dyDescent="0.2">
      <c r="A4588" s="9" t="s">
        <v>64</v>
      </c>
      <c r="B4588" s="9" t="s">
        <v>6208</v>
      </c>
      <c r="C4588" s="9"/>
      <c r="D4588" s="9" t="s">
        <v>79</v>
      </c>
      <c r="E4588" s="38">
        <v>786</v>
      </c>
      <c r="F4588" s="39">
        <v>0</v>
      </c>
      <c r="G4588" s="40"/>
      <c r="H4588" s="41"/>
      <c r="I4588" s="40">
        <v>66.157775932970679</v>
      </c>
      <c r="J4588" s="41"/>
      <c r="K4588" s="9" t="s">
        <v>6209</v>
      </c>
    </row>
    <row r="4589" spans="1:11" x14ac:dyDescent="0.2">
      <c r="A4589" s="9" t="s">
        <v>64</v>
      </c>
      <c r="B4589" s="9" t="s">
        <v>715</v>
      </c>
      <c r="C4589" s="9"/>
      <c r="D4589" s="9" t="s">
        <v>76</v>
      </c>
      <c r="E4589" s="38">
        <v>6000</v>
      </c>
      <c r="F4589" s="39">
        <v>3766935</v>
      </c>
      <c r="G4589" s="40">
        <v>627.82249999999999</v>
      </c>
      <c r="H4589" s="41"/>
      <c r="I4589" s="40">
        <v>113.9949704908895</v>
      </c>
      <c r="J4589" s="41">
        <v>0.18157197375195941</v>
      </c>
      <c r="K4589" s="9" t="s">
        <v>6210</v>
      </c>
    </row>
    <row r="4590" spans="1:11" x14ac:dyDescent="0.2">
      <c r="A4590" s="9" t="s">
        <v>64</v>
      </c>
      <c r="B4590" s="9" t="s">
        <v>6211</v>
      </c>
      <c r="C4590" s="9"/>
      <c r="D4590" s="9" t="s">
        <v>81</v>
      </c>
      <c r="E4590" s="38">
        <v>1175</v>
      </c>
      <c r="F4590" s="39">
        <v>0</v>
      </c>
      <c r="G4590" s="40"/>
      <c r="H4590" s="41"/>
      <c r="I4590" s="40">
        <v>93.327371515234773</v>
      </c>
      <c r="J4590" s="41"/>
      <c r="K4590" s="9" t="s">
        <v>6212</v>
      </c>
    </row>
    <row r="4591" spans="1:11" x14ac:dyDescent="0.2">
      <c r="A4591" s="9" t="s">
        <v>64</v>
      </c>
      <c r="B4591" s="9" t="s">
        <v>607</v>
      </c>
      <c r="C4591" s="9"/>
      <c r="D4591" s="9" t="s">
        <v>85</v>
      </c>
      <c r="E4591" s="38">
        <v>14187</v>
      </c>
      <c r="F4591" s="39">
        <v>6276994</v>
      </c>
      <c r="G4591" s="40">
        <v>442.44688799605268</v>
      </c>
      <c r="H4591" s="41"/>
      <c r="I4591" s="40">
        <v>86.590875321732057</v>
      </c>
      <c r="J4591" s="41">
        <v>0.19570908434664949</v>
      </c>
      <c r="K4591" s="9" t="s">
        <v>6213</v>
      </c>
    </row>
    <row r="4592" spans="1:11" x14ac:dyDescent="0.2">
      <c r="A4592" s="9" t="s">
        <v>64</v>
      </c>
      <c r="B4592" s="9" t="s">
        <v>941</v>
      </c>
      <c r="C4592" s="9"/>
      <c r="D4592" s="9" t="s">
        <v>80</v>
      </c>
      <c r="E4592" s="38">
        <v>461</v>
      </c>
      <c r="F4592" s="39">
        <v>697243</v>
      </c>
      <c r="G4592" s="40">
        <v>1512.4577006507591</v>
      </c>
      <c r="H4592" s="41"/>
      <c r="I4592" s="40">
        <v>309.65998011972363</v>
      </c>
      <c r="J4592" s="41">
        <v>0.20473959700591121</v>
      </c>
      <c r="K4592" s="9" t="s">
        <v>6214</v>
      </c>
    </row>
    <row r="4593" spans="1:11" x14ac:dyDescent="0.2">
      <c r="A4593" s="9" t="s">
        <v>64</v>
      </c>
      <c r="B4593" s="9" t="s">
        <v>941</v>
      </c>
      <c r="C4593" s="9"/>
      <c r="D4593" s="9" t="s">
        <v>80</v>
      </c>
      <c r="E4593" s="38">
        <v>392</v>
      </c>
      <c r="F4593" s="39">
        <v>636932</v>
      </c>
      <c r="G4593" s="40">
        <v>1624.8265306122451</v>
      </c>
      <c r="H4593" s="41"/>
      <c r="I4593" s="40">
        <v>330.87194919688642</v>
      </c>
      <c r="J4593" s="41">
        <v>0.20363524534044369</v>
      </c>
      <c r="K4593" s="9" t="s">
        <v>6214</v>
      </c>
    </row>
    <row r="4594" spans="1:11" x14ac:dyDescent="0.2">
      <c r="A4594" s="9" t="s">
        <v>64</v>
      </c>
      <c r="B4594" s="9" t="s">
        <v>2073</v>
      </c>
      <c r="C4594" s="9"/>
      <c r="D4594" s="9" t="s">
        <v>85</v>
      </c>
      <c r="E4594" s="38">
        <v>1400</v>
      </c>
      <c r="F4594" s="39">
        <v>3469970</v>
      </c>
      <c r="G4594" s="40">
        <v>2478.5500000000002</v>
      </c>
      <c r="H4594" s="41"/>
      <c r="I4594" s="40">
        <v>52.231930785751487</v>
      </c>
      <c r="J4594" s="41">
        <v>2.1073583662121601E-2</v>
      </c>
      <c r="K4594" s="9" t="s">
        <v>6215</v>
      </c>
    </row>
    <row r="4595" spans="1:11" x14ac:dyDescent="0.2">
      <c r="A4595" s="9" t="s">
        <v>64</v>
      </c>
      <c r="B4595" s="9" t="s">
        <v>6216</v>
      </c>
      <c r="C4595" s="9"/>
      <c r="D4595" s="9" t="s">
        <v>78</v>
      </c>
      <c r="E4595" s="38">
        <v>1600</v>
      </c>
      <c r="F4595" s="39">
        <v>686863</v>
      </c>
      <c r="G4595" s="40">
        <v>429.28937500000001</v>
      </c>
      <c r="H4595" s="41"/>
      <c r="I4595" s="40">
        <v>0</v>
      </c>
      <c r="J4595" s="41">
        <v>0</v>
      </c>
      <c r="K4595" s="9" t="s">
        <v>6217</v>
      </c>
    </row>
    <row r="4596" spans="1:11" x14ac:dyDescent="0.2">
      <c r="A4596" s="9" t="s">
        <v>64</v>
      </c>
      <c r="B4596" s="9" t="s">
        <v>5246</v>
      </c>
      <c r="C4596" s="9"/>
      <c r="D4596" s="9" t="s">
        <v>83</v>
      </c>
      <c r="E4596" s="38">
        <v>8</v>
      </c>
      <c r="F4596" s="39">
        <v>0</v>
      </c>
      <c r="G4596" s="40"/>
      <c r="H4596" s="41"/>
      <c r="I4596" s="40">
        <v>8750</v>
      </c>
      <c r="J4596" s="41"/>
      <c r="K4596" s="9" t="s">
        <v>6218</v>
      </c>
    </row>
    <row r="4597" spans="1:11" x14ac:dyDescent="0.2">
      <c r="A4597" s="9" t="s">
        <v>64</v>
      </c>
      <c r="B4597" s="9" t="s">
        <v>339</v>
      </c>
      <c r="C4597" s="9"/>
      <c r="D4597" s="9" t="s">
        <v>80</v>
      </c>
      <c r="E4597" s="38">
        <v>2290</v>
      </c>
      <c r="F4597" s="39">
        <v>1127742</v>
      </c>
      <c r="G4597" s="40">
        <v>492.46375545851532</v>
      </c>
      <c r="H4597" s="41"/>
      <c r="I4597" s="40">
        <v>209.52548182891101</v>
      </c>
      <c r="J4597" s="41">
        <v>0.42546376155912102</v>
      </c>
      <c r="K4597" s="9" t="s">
        <v>6219</v>
      </c>
    </row>
    <row r="4598" spans="1:11" x14ac:dyDescent="0.2">
      <c r="A4598" s="9" t="s">
        <v>64</v>
      </c>
      <c r="B4598" s="9" t="s">
        <v>343</v>
      </c>
      <c r="C4598" s="9"/>
      <c r="D4598" s="9" t="s">
        <v>79</v>
      </c>
      <c r="E4598" s="38">
        <v>5843</v>
      </c>
      <c r="F4598" s="39">
        <v>8786942</v>
      </c>
      <c r="G4598" s="40">
        <v>1503.8408351874041</v>
      </c>
      <c r="H4598" s="41"/>
      <c r="I4598" s="40">
        <v>177.53746310925871</v>
      </c>
      <c r="J4598" s="41">
        <v>0.1180560195967378</v>
      </c>
      <c r="K4598" s="9" t="s">
        <v>6220</v>
      </c>
    </row>
    <row r="4599" spans="1:11" x14ac:dyDescent="0.2">
      <c r="A4599" s="9" t="s">
        <v>64</v>
      </c>
      <c r="B4599" s="9" t="s">
        <v>1296</v>
      </c>
      <c r="C4599" s="9"/>
      <c r="D4599" s="9" t="s">
        <v>82</v>
      </c>
      <c r="E4599" s="38">
        <v>1377</v>
      </c>
      <c r="F4599" s="39">
        <v>0</v>
      </c>
      <c r="G4599" s="40"/>
      <c r="H4599" s="41"/>
      <c r="I4599" s="40">
        <v>85.38440375238217</v>
      </c>
      <c r="J4599" s="41"/>
      <c r="K4599" s="9" t="s">
        <v>6221</v>
      </c>
    </row>
    <row r="4600" spans="1:11" x14ac:dyDescent="0.2">
      <c r="A4600" s="9" t="s">
        <v>64</v>
      </c>
      <c r="B4600" s="9" t="s">
        <v>538</v>
      </c>
      <c r="C4600" s="9"/>
      <c r="D4600" s="9" t="s">
        <v>80</v>
      </c>
      <c r="E4600" s="38">
        <v>259</v>
      </c>
      <c r="F4600" s="39">
        <v>1394784</v>
      </c>
      <c r="G4600" s="40">
        <v>5385.266409266409</v>
      </c>
      <c r="H4600" s="41"/>
      <c r="I4600" s="40">
        <v>703.42178012849888</v>
      </c>
      <c r="J4600" s="41">
        <v>0.1306196809350274</v>
      </c>
      <c r="K4600" s="9" t="s">
        <v>6222</v>
      </c>
    </row>
    <row r="4601" spans="1:11" x14ac:dyDescent="0.2">
      <c r="A4601" s="9" t="s">
        <v>64</v>
      </c>
      <c r="B4601" s="9" t="s">
        <v>538</v>
      </c>
      <c r="C4601" s="9"/>
      <c r="D4601" s="9" t="s">
        <v>80</v>
      </c>
      <c r="E4601" s="38">
        <v>394</v>
      </c>
      <c r="F4601" s="39">
        <v>0</v>
      </c>
      <c r="G4601" s="40"/>
      <c r="H4601" s="41"/>
      <c r="I4601" s="40">
        <v>12.78273151068816</v>
      </c>
      <c r="J4601" s="41"/>
      <c r="K4601" s="9" t="s">
        <v>6222</v>
      </c>
    </row>
    <row r="4602" spans="1:11" x14ac:dyDescent="0.2">
      <c r="A4602" s="9" t="s">
        <v>64</v>
      </c>
      <c r="B4602" s="9" t="s">
        <v>1419</v>
      </c>
      <c r="C4602" s="9"/>
      <c r="D4602" s="9" t="s">
        <v>80</v>
      </c>
      <c r="E4602" s="38">
        <v>1086</v>
      </c>
      <c r="F4602" s="39">
        <v>577639</v>
      </c>
      <c r="G4602" s="40">
        <v>531.89594843462248</v>
      </c>
      <c r="H4602" s="41"/>
      <c r="I4602" s="40">
        <v>96.026887661141799</v>
      </c>
      <c r="J4602" s="41">
        <v>0.18053697897821999</v>
      </c>
      <c r="K4602" s="9" t="s">
        <v>6223</v>
      </c>
    </row>
    <row r="4603" spans="1:11" x14ac:dyDescent="0.2">
      <c r="A4603" s="9" t="s">
        <v>64</v>
      </c>
      <c r="B4603" s="9" t="s">
        <v>357</v>
      </c>
      <c r="C4603" s="9"/>
      <c r="D4603" s="9" t="s">
        <v>76</v>
      </c>
      <c r="E4603" s="38">
        <v>1018</v>
      </c>
      <c r="F4603" s="39">
        <v>847617</v>
      </c>
      <c r="G4603" s="40">
        <v>832.62966601178778</v>
      </c>
      <c r="H4603" s="41"/>
      <c r="I4603" s="40">
        <v>204.52457570242299</v>
      </c>
      <c r="J4603" s="41">
        <v>0.24563690684007819</v>
      </c>
      <c r="K4603" s="9" t="s">
        <v>6224</v>
      </c>
    </row>
    <row r="4604" spans="1:11" x14ac:dyDescent="0.2">
      <c r="A4604" s="9" t="s">
        <v>64</v>
      </c>
      <c r="B4604" s="9" t="s">
        <v>357</v>
      </c>
      <c r="C4604" s="9"/>
      <c r="D4604" s="9" t="s">
        <v>76</v>
      </c>
      <c r="E4604" s="38">
        <v>796</v>
      </c>
      <c r="F4604" s="39">
        <v>767835</v>
      </c>
      <c r="G4604" s="40">
        <v>964.6168341708543</v>
      </c>
      <c r="H4604" s="41"/>
      <c r="I4604" s="40">
        <v>242.80954910892481</v>
      </c>
      <c r="J4604" s="41">
        <v>0.25171606020916493</v>
      </c>
      <c r="K4604" s="9" t="s">
        <v>6224</v>
      </c>
    </row>
    <row r="4605" spans="1:11" x14ac:dyDescent="0.2">
      <c r="A4605" s="9" t="s">
        <v>64</v>
      </c>
      <c r="B4605" s="9" t="s">
        <v>1038</v>
      </c>
      <c r="C4605" s="9"/>
      <c r="D4605" s="9" t="s">
        <v>80</v>
      </c>
      <c r="E4605" s="38">
        <v>783</v>
      </c>
      <c r="F4605" s="39">
        <v>311984</v>
      </c>
      <c r="G4605" s="40">
        <v>398.44699872286083</v>
      </c>
      <c r="H4605" s="41"/>
      <c r="I4605" s="40">
        <v>129.30212265291931</v>
      </c>
      <c r="J4605" s="41">
        <v>0.32451523808027261</v>
      </c>
      <c r="K4605" s="9" t="s">
        <v>6225</v>
      </c>
    </row>
    <row r="4606" spans="1:11" x14ac:dyDescent="0.2">
      <c r="A4606" s="9" t="s">
        <v>64</v>
      </c>
      <c r="B4606" s="9" t="s">
        <v>731</v>
      </c>
      <c r="C4606" s="9"/>
      <c r="D4606" s="9" t="s">
        <v>78</v>
      </c>
      <c r="E4606" s="38">
        <v>800</v>
      </c>
      <c r="F4606" s="39">
        <v>1080078</v>
      </c>
      <c r="G4606" s="40">
        <v>1350.0975000000001</v>
      </c>
      <c r="H4606" s="41"/>
      <c r="I4606" s="40">
        <v>280.22363391701799</v>
      </c>
      <c r="J4606" s="41">
        <v>0.20755807185556449</v>
      </c>
      <c r="K4606" s="9" t="s">
        <v>6226</v>
      </c>
    </row>
    <row r="4607" spans="1:11" x14ac:dyDescent="0.2">
      <c r="A4607" s="9" t="s">
        <v>64</v>
      </c>
      <c r="B4607" s="9" t="s">
        <v>733</v>
      </c>
      <c r="C4607" s="9"/>
      <c r="D4607" s="9" t="s">
        <v>80</v>
      </c>
      <c r="E4607" s="38">
        <v>2045</v>
      </c>
      <c r="F4607" s="39">
        <v>745841</v>
      </c>
      <c r="G4607" s="40">
        <v>364.71442542787292</v>
      </c>
      <c r="H4607" s="41"/>
      <c r="I4607" s="40">
        <v>83.633675150277867</v>
      </c>
      <c r="J4607" s="41">
        <v>0.22931276999027711</v>
      </c>
      <c r="K4607" s="9" t="s">
        <v>6227</v>
      </c>
    </row>
    <row r="4608" spans="1:11" x14ac:dyDescent="0.2">
      <c r="A4608" s="9" t="s">
        <v>64</v>
      </c>
      <c r="B4608" s="9" t="s">
        <v>545</v>
      </c>
      <c r="C4608" s="9"/>
      <c r="D4608" s="9" t="s">
        <v>76</v>
      </c>
      <c r="E4608" s="38">
        <v>9769</v>
      </c>
      <c r="F4608" s="39">
        <v>2174396</v>
      </c>
      <c r="G4608" s="40">
        <v>222.581226328181</v>
      </c>
      <c r="H4608" s="41"/>
      <c r="I4608" s="40">
        <v>147.84210935639169</v>
      </c>
      <c r="J4608" s="41">
        <v>0.66421643817528653</v>
      </c>
      <c r="K4608" s="9" t="s">
        <v>6228</v>
      </c>
    </row>
    <row r="4609" spans="1:11" x14ac:dyDescent="0.2">
      <c r="A4609" s="9" t="s">
        <v>64</v>
      </c>
      <c r="B4609" s="9" t="s">
        <v>6229</v>
      </c>
      <c r="C4609" s="9"/>
      <c r="D4609" s="9" t="s">
        <v>81</v>
      </c>
      <c r="E4609" s="38">
        <v>6500</v>
      </c>
      <c r="F4609" s="39">
        <v>2694717</v>
      </c>
      <c r="G4609" s="40">
        <v>414.57184615384608</v>
      </c>
      <c r="H4609" s="41"/>
      <c r="I4609" s="40">
        <v>80.598556598217385</v>
      </c>
      <c r="J4609" s="41">
        <v>0.1944139655067352</v>
      </c>
      <c r="K4609" s="9" t="s">
        <v>6230</v>
      </c>
    </row>
    <row r="4610" spans="1:11" x14ac:dyDescent="0.2">
      <c r="A4610" s="9" t="s">
        <v>64</v>
      </c>
      <c r="B4610" s="9" t="s">
        <v>6231</v>
      </c>
      <c r="C4610" s="9"/>
      <c r="D4610" s="9" t="s">
        <v>76</v>
      </c>
      <c r="E4610" s="38">
        <v>1320</v>
      </c>
      <c r="F4610" s="39">
        <v>0</v>
      </c>
      <c r="G4610" s="40"/>
      <c r="H4610" s="41"/>
      <c r="I4610" s="40">
        <v>77.816346370167082</v>
      </c>
      <c r="J4610" s="41"/>
      <c r="K4610" s="9" t="s">
        <v>6232</v>
      </c>
    </row>
    <row r="4611" spans="1:11" x14ac:dyDescent="0.2">
      <c r="A4611" s="9" t="s">
        <v>64</v>
      </c>
      <c r="B4611" s="9" t="s">
        <v>6233</v>
      </c>
      <c r="C4611" s="9"/>
      <c r="D4611" s="9" t="s">
        <v>80</v>
      </c>
      <c r="E4611" s="38">
        <v>1827</v>
      </c>
      <c r="F4611" s="39">
        <v>0</v>
      </c>
      <c r="G4611" s="40"/>
      <c r="H4611" s="41"/>
      <c r="I4611" s="40">
        <v>73.009732164238187</v>
      </c>
      <c r="J4611" s="41"/>
      <c r="K4611" s="9" t="s">
        <v>6234</v>
      </c>
    </row>
    <row r="4612" spans="1:11" x14ac:dyDescent="0.2">
      <c r="A4612" s="9" t="s">
        <v>64</v>
      </c>
      <c r="B4612" s="9" t="s">
        <v>554</v>
      </c>
      <c r="C4612" s="9"/>
      <c r="D4612" s="9" t="s">
        <v>76</v>
      </c>
      <c r="E4612" s="38">
        <v>6500</v>
      </c>
      <c r="F4612" s="39">
        <v>2796280</v>
      </c>
      <c r="G4612" s="40">
        <v>430.1969230769231</v>
      </c>
      <c r="H4612" s="41"/>
      <c r="I4612" s="40">
        <v>64.280397465560455</v>
      </c>
      <c r="J4612" s="41">
        <v>0.14942086755480241</v>
      </c>
      <c r="K4612" s="9" t="s">
        <v>6235</v>
      </c>
    </row>
    <row r="4613" spans="1:11" x14ac:dyDescent="0.2">
      <c r="A4613" s="9" t="s">
        <v>64</v>
      </c>
      <c r="B4613" s="9" t="s">
        <v>6236</v>
      </c>
      <c r="C4613" s="9"/>
      <c r="D4613" s="9" t="s">
        <v>78</v>
      </c>
      <c r="E4613" s="38">
        <v>6004</v>
      </c>
      <c r="F4613" s="39">
        <v>7188641</v>
      </c>
      <c r="G4613" s="40">
        <v>1197.308627581612</v>
      </c>
      <c r="H4613" s="41"/>
      <c r="I4613" s="40">
        <v>129.78890519757829</v>
      </c>
      <c r="J4613" s="41">
        <v>0.1084005428573022</v>
      </c>
      <c r="K4613" s="9" t="s">
        <v>6237</v>
      </c>
    </row>
    <row r="4614" spans="1:11" x14ac:dyDescent="0.2">
      <c r="A4614" s="9" t="s">
        <v>64</v>
      </c>
      <c r="B4614" s="9" t="s">
        <v>369</v>
      </c>
      <c r="C4614" s="9"/>
      <c r="D4614" s="9" t="s">
        <v>84</v>
      </c>
      <c r="E4614" s="38">
        <v>2827</v>
      </c>
      <c r="F4614" s="39">
        <v>0</v>
      </c>
      <c r="G4614" s="40"/>
      <c r="H4614" s="41"/>
      <c r="I4614" s="40">
        <v>105.5162034189546</v>
      </c>
      <c r="J4614" s="41"/>
      <c r="K4614" s="9" t="s">
        <v>6238</v>
      </c>
    </row>
    <row r="4615" spans="1:11" x14ac:dyDescent="0.2">
      <c r="A4615" s="9" t="s">
        <v>64</v>
      </c>
      <c r="B4615" s="9" t="s">
        <v>1844</v>
      </c>
      <c r="C4615" s="9"/>
      <c r="D4615" s="9" t="s">
        <v>76</v>
      </c>
      <c r="E4615" s="38">
        <v>4336</v>
      </c>
      <c r="F4615" s="39">
        <v>2600367</v>
      </c>
      <c r="G4615" s="40">
        <v>599.71563653136536</v>
      </c>
      <c r="H4615" s="41"/>
      <c r="I4615" s="40">
        <v>143.37100670032109</v>
      </c>
      <c r="J4615" s="41">
        <v>0.23906498007880889</v>
      </c>
      <c r="K4615" s="9" t="s">
        <v>6239</v>
      </c>
    </row>
    <row r="4616" spans="1:11" x14ac:dyDescent="0.2">
      <c r="A4616" s="9" t="s">
        <v>64</v>
      </c>
      <c r="B4616" s="9" t="s">
        <v>371</v>
      </c>
      <c r="C4616" s="9"/>
      <c r="D4616" s="9" t="s">
        <v>76</v>
      </c>
      <c r="E4616" s="38">
        <v>3586</v>
      </c>
      <c r="F4616" s="39">
        <v>0</v>
      </c>
      <c r="G4616" s="40"/>
      <c r="H4616" s="41"/>
      <c r="I4616" s="40">
        <v>38.656864916637261</v>
      </c>
      <c r="J4616" s="41"/>
      <c r="K4616" s="9" t="s">
        <v>6240</v>
      </c>
    </row>
    <row r="4617" spans="1:11" x14ac:dyDescent="0.2">
      <c r="A4617" s="9" t="s">
        <v>64</v>
      </c>
      <c r="B4617" s="9" t="s">
        <v>6241</v>
      </c>
      <c r="C4617" s="9"/>
      <c r="D4617" s="9" t="s">
        <v>76</v>
      </c>
      <c r="E4617" s="38">
        <v>2218</v>
      </c>
      <c r="F4617" s="39">
        <v>1843350</v>
      </c>
      <c r="G4617" s="40">
        <v>831.0865644724978</v>
      </c>
      <c r="H4617" s="41"/>
      <c r="I4617" s="40">
        <v>108.2055906221821</v>
      </c>
      <c r="J4617" s="41">
        <v>0.13019773781430549</v>
      </c>
      <c r="K4617" s="9" t="s">
        <v>6242</v>
      </c>
    </row>
    <row r="4618" spans="1:11" x14ac:dyDescent="0.2">
      <c r="A4618" s="9" t="s">
        <v>64</v>
      </c>
      <c r="B4618" s="9" t="s">
        <v>561</v>
      </c>
      <c r="C4618" s="9"/>
      <c r="D4618" s="9" t="s">
        <v>76</v>
      </c>
      <c r="E4618" s="38">
        <v>300</v>
      </c>
      <c r="F4618" s="39">
        <v>0</v>
      </c>
      <c r="G4618" s="40"/>
      <c r="H4618" s="41"/>
      <c r="I4618" s="40">
        <v>38.117752456183737</v>
      </c>
      <c r="J4618" s="41"/>
      <c r="K4618" s="9" t="s">
        <v>6243</v>
      </c>
    </row>
    <row r="4619" spans="1:11" x14ac:dyDescent="0.2">
      <c r="A4619" s="9" t="s">
        <v>64</v>
      </c>
      <c r="B4619" s="9" t="s">
        <v>561</v>
      </c>
      <c r="C4619" s="9"/>
      <c r="D4619" s="9" t="s">
        <v>76</v>
      </c>
      <c r="E4619" s="38">
        <v>743</v>
      </c>
      <c r="F4619" s="39">
        <v>719645</v>
      </c>
      <c r="G4619" s="40">
        <v>968.56662180349929</v>
      </c>
      <c r="H4619" s="41"/>
      <c r="I4619" s="40">
        <v>161.1484353675917</v>
      </c>
      <c r="J4619" s="41">
        <v>0.166378266337042</v>
      </c>
      <c r="K4619" s="9" t="s">
        <v>6243</v>
      </c>
    </row>
    <row r="4620" spans="1:11" x14ac:dyDescent="0.2">
      <c r="A4620" s="9" t="s">
        <v>64</v>
      </c>
      <c r="B4620" s="9" t="s">
        <v>2301</v>
      </c>
      <c r="C4620" s="9"/>
      <c r="D4620" s="9" t="s">
        <v>76</v>
      </c>
      <c r="E4620" s="38">
        <v>1626</v>
      </c>
      <c r="F4620" s="39">
        <v>802951</v>
      </c>
      <c r="G4620" s="40">
        <v>493.81980319803199</v>
      </c>
      <c r="H4620" s="41"/>
      <c r="I4620" s="40">
        <v>155.6971611567036</v>
      </c>
      <c r="J4620" s="41">
        <v>0.31529144871953602</v>
      </c>
      <c r="K4620" s="9" t="s">
        <v>6244</v>
      </c>
    </row>
    <row r="4621" spans="1:11" x14ac:dyDescent="0.2">
      <c r="A4621" s="9" t="s">
        <v>64</v>
      </c>
      <c r="B4621" s="9" t="s">
        <v>565</v>
      </c>
      <c r="C4621" s="9"/>
      <c r="D4621" s="9" t="s">
        <v>76</v>
      </c>
      <c r="E4621" s="38">
        <v>10958</v>
      </c>
      <c r="F4621" s="39">
        <v>3349325</v>
      </c>
      <c r="G4621" s="40">
        <v>305.65112246760361</v>
      </c>
      <c r="H4621" s="41"/>
      <c r="I4621" s="40">
        <v>70.963086091076704</v>
      </c>
      <c r="J4621" s="41">
        <v>0.23217021262075749</v>
      </c>
      <c r="K4621" s="9" t="s">
        <v>6245</v>
      </c>
    </row>
    <row r="4622" spans="1:11" x14ac:dyDescent="0.2">
      <c r="A4622" s="9" t="s">
        <v>64</v>
      </c>
      <c r="B4622" s="9" t="s">
        <v>384</v>
      </c>
      <c r="C4622" s="9"/>
      <c r="D4622" s="9" t="s">
        <v>77</v>
      </c>
      <c r="E4622" s="38">
        <v>3500</v>
      </c>
      <c r="F4622" s="39">
        <v>2261015</v>
      </c>
      <c r="G4622" s="40">
        <v>646.00428571428574</v>
      </c>
      <c r="H4622" s="41"/>
      <c r="I4622" s="40">
        <v>142.2897613676657</v>
      </c>
      <c r="J4622" s="41">
        <v>0.22026132722995201</v>
      </c>
      <c r="K4622" s="9" t="s">
        <v>6246</v>
      </c>
    </row>
    <row r="4623" spans="1:11" x14ac:dyDescent="0.2">
      <c r="A4623" s="9" t="s">
        <v>64</v>
      </c>
      <c r="B4623" s="9" t="s">
        <v>386</v>
      </c>
      <c r="C4623" s="9"/>
      <c r="D4623" s="9" t="s">
        <v>84</v>
      </c>
      <c r="E4623" s="38">
        <v>1084</v>
      </c>
      <c r="F4623" s="39">
        <v>2938551</v>
      </c>
      <c r="G4623" s="40">
        <v>2710.840405904059</v>
      </c>
      <c r="H4623" s="41"/>
      <c r="I4623" s="40">
        <v>242.28194649613889</v>
      </c>
      <c r="J4623" s="41">
        <v>8.9375215880825115E-2</v>
      </c>
      <c r="K4623" s="9" t="s">
        <v>6247</v>
      </c>
    </row>
    <row r="4624" spans="1:11" x14ac:dyDescent="0.2">
      <c r="A4624" s="9" t="s">
        <v>64</v>
      </c>
      <c r="B4624" s="9" t="s">
        <v>388</v>
      </c>
      <c r="C4624" s="9"/>
      <c r="D4624" s="9" t="s">
        <v>76</v>
      </c>
      <c r="E4624" s="38">
        <v>800</v>
      </c>
      <c r="F4624" s="39">
        <v>0</v>
      </c>
      <c r="G4624" s="40"/>
      <c r="H4624" s="41"/>
      <c r="I4624" s="40">
        <v>49.999949999999998</v>
      </c>
      <c r="J4624" s="41"/>
      <c r="K4624" s="9" t="s">
        <v>6248</v>
      </c>
    </row>
    <row r="4625" spans="1:11" x14ac:dyDescent="0.2">
      <c r="A4625" s="9" t="s">
        <v>64</v>
      </c>
      <c r="B4625" s="9" t="s">
        <v>388</v>
      </c>
      <c r="C4625" s="9"/>
      <c r="D4625" s="9" t="s">
        <v>76</v>
      </c>
      <c r="E4625" s="38">
        <v>9019</v>
      </c>
      <c r="F4625" s="39">
        <v>6031105</v>
      </c>
      <c r="G4625" s="40">
        <v>668.71105444062539</v>
      </c>
      <c r="H4625" s="41"/>
      <c r="I4625" s="40">
        <v>114.70009196772619</v>
      </c>
      <c r="J4625" s="41">
        <v>0.17152414515365311</v>
      </c>
      <c r="K4625" s="9" t="s">
        <v>6248</v>
      </c>
    </row>
    <row r="4626" spans="1:11" x14ac:dyDescent="0.2">
      <c r="A4626" s="9" t="s">
        <v>64</v>
      </c>
      <c r="B4626" s="9" t="s">
        <v>3035</v>
      </c>
      <c r="C4626" s="9"/>
      <c r="D4626" s="9" t="s">
        <v>76</v>
      </c>
      <c r="E4626" s="38">
        <v>4000</v>
      </c>
      <c r="F4626" s="39">
        <v>1570996</v>
      </c>
      <c r="G4626" s="40">
        <v>392.74900000000002</v>
      </c>
      <c r="H4626" s="41"/>
      <c r="I4626" s="40">
        <v>130.39329018014391</v>
      </c>
      <c r="J4626" s="41">
        <v>0.33200158416735348</v>
      </c>
      <c r="K4626" s="9" t="s">
        <v>6249</v>
      </c>
    </row>
    <row r="4627" spans="1:11" x14ac:dyDescent="0.2">
      <c r="A4627" s="9" t="s">
        <v>64</v>
      </c>
      <c r="B4627" s="9" t="s">
        <v>640</v>
      </c>
      <c r="C4627" s="9"/>
      <c r="D4627" s="9" t="s">
        <v>83</v>
      </c>
      <c r="E4627" s="38">
        <v>2001</v>
      </c>
      <c r="F4627" s="39">
        <v>2376717</v>
      </c>
      <c r="G4627" s="40">
        <v>1187.7646176911539</v>
      </c>
      <c r="H4627" s="41"/>
      <c r="I4627" s="40">
        <v>93.804384586586693</v>
      </c>
      <c r="J4627" s="41">
        <v>7.8975567372034608E-2</v>
      </c>
      <c r="K4627" s="9" t="s">
        <v>6250</v>
      </c>
    </row>
    <row r="4628" spans="1:11" x14ac:dyDescent="0.2">
      <c r="A4628" s="9" t="s">
        <v>64</v>
      </c>
      <c r="B4628" s="9" t="s">
        <v>571</v>
      </c>
      <c r="C4628" s="9"/>
      <c r="D4628" s="9" t="s">
        <v>76</v>
      </c>
      <c r="E4628" s="38">
        <v>3225</v>
      </c>
      <c r="F4628" s="39">
        <v>1369129</v>
      </c>
      <c r="G4628" s="40">
        <v>424.53612403100777</v>
      </c>
      <c r="H4628" s="41"/>
      <c r="I4628" s="40">
        <v>155.30186825981741</v>
      </c>
      <c r="J4628" s="41">
        <v>0.36581543823694551</v>
      </c>
      <c r="K4628" s="9" t="s">
        <v>6251</v>
      </c>
    </row>
    <row r="4629" spans="1:11" x14ac:dyDescent="0.2">
      <c r="A4629" s="9" t="s">
        <v>64</v>
      </c>
      <c r="B4629" s="9" t="s">
        <v>574</v>
      </c>
      <c r="C4629" s="9"/>
      <c r="D4629" s="9" t="s">
        <v>82</v>
      </c>
      <c r="E4629" s="38">
        <v>2228</v>
      </c>
      <c r="F4629" s="39">
        <v>1191534</v>
      </c>
      <c r="G4629" s="40">
        <v>534.7998204667864</v>
      </c>
      <c r="H4629" s="41"/>
      <c r="I4629" s="40">
        <v>107.7199281867145</v>
      </c>
      <c r="J4629" s="41">
        <v>0.20142102533372949</v>
      </c>
      <c r="K4629" s="9" t="s">
        <v>6252</v>
      </c>
    </row>
    <row r="4630" spans="1:11" x14ac:dyDescent="0.2">
      <c r="A4630" s="9" t="s">
        <v>64</v>
      </c>
      <c r="B4630" s="9" t="s">
        <v>396</v>
      </c>
      <c r="C4630" s="9"/>
      <c r="D4630" s="9" t="s">
        <v>78</v>
      </c>
      <c r="E4630" s="38">
        <v>1300</v>
      </c>
      <c r="F4630" s="39">
        <v>1917899</v>
      </c>
      <c r="G4630" s="40">
        <v>1475.3069230769231</v>
      </c>
      <c r="H4630" s="41"/>
      <c r="I4630" s="40">
        <v>174.79382558306961</v>
      </c>
      <c r="J4630" s="41">
        <v>0.1184796348806639</v>
      </c>
      <c r="K4630" s="9" t="s">
        <v>6253</v>
      </c>
    </row>
    <row r="4631" spans="1:11" x14ac:dyDescent="0.2">
      <c r="A4631" s="9" t="s">
        <v>29</v>
      </c>
      <c r="B4631" s="9" t="s">
        <v>87</v>
      </c>
      <c r="C4631" s="9" t="s">
        <v>4875</v>
      </c>
      <c r="D4631" s="9" t="s">
        <v>87</v>
      </c>
      <c r="E4631" s="38">
        <v>8351</v>
      </c>
      <c r="F4631" s="39">
        <v>42094517</v>
      </c>
      <c r="G4631" s="40">
        <v>5040.6558495988502</v>
      </c>
      <c r="H4631" s="41"/>
      <c r="I4631" s="40">
        <v>58.87</v>
      </c>
      <c r="J4631" s="41">
        <v>1.17E-2</v>
      </c>
      <c r="K4631" s="9" t="s">
        <v>6254</v>
      </c>
    </row>
    <row r="4632" spans="1:11" x14ac:dyDescent="0.2">
      <c r="A4632" s="9" t="s">
        <v>29</v>
      </c>
      <c r="B4632" s="9" t="s">
        <v>6255</v>
      </c>
      <c r="C4632" s="9" t="s">
        <v>4875</v>
      </c>
      <c r="D4632" s="9" t="s">
        <v>86</v>
      </c>
      <c r="E4632" s="38">
        <v>225000</v>
      </c>
      <c r="F4632" s="39">
        <v>28384114</v>
      </c>
      <c r="G4632" s="40">
        <v>126.1516177777778</v>
      </c>
      <c r="H4632" s="41"/>
      <c r="I4632" s="40">
        <v>4.7300000000000004</v>
      </c>
      <c r="J4632" s="41">
        <v>3.7499999999999999E-2</v>
      </c>
      <c r="K4632" s="9" t="s">
        <v>6256</v>
      </c>
    </row>
    <row r="4633" spans="1:11" x14ac:dyDescent="0.2">
      <c r="A4633" s="9" t="s">
        <v>29</v>
      </c>
      <c r="B4633" s="9" t="s">
        <v>1206</v>
      </c>
      <c r="C4633" s="9" t="s">
        <v>4875</v>
      </c>
      <c r="D4633" s="9" t="s">
        <v>86</v>
      </c>
      <c r="E4633" s="38">
        <v>237537</v>
      </c>
      <c r="F4633" s="39">
        <v>20078287</v>
      </c>
      <c r="G4633" s="40">
        <v>84.526987374598477</v>
      </c>
      <c r="H4633" s="41"/>
      <c r="I4633" s="40">
        <v>1.06</v>
      </c>
      <c r="J4633" s="41">
        <v>1.2500000000000001E-2</v>
      </c>
      <c r="K4633" s="9" t="s">
        <v>6257</v>
      </c>
    </row>
    <row r="4634" spans="1:11" x14ac:dyDescent="0.2">
      <c r="A4634" s="9" t="s">
        <v>29</v>
      </c>
      <c r="B4634" s="9" t="s">
        <v>1091</v>
      </c>
      <c r="C4634" s="9" t="s">
        <v>4875</v>
      </c>
      <c r="D4634" s="9" t="s">
        <v>81</v>
      </c>
      <c r="E4634" s="38">
        <v>10310</v>
      </c>
      <c r="F4634" s="39">
        <v>10632809</v>
      </c>
      <c r="G4634" s="40">
        <v>1031.3102812803099</v>
      </c>
      <c r="H4634" s="41"/>
      <c r="I4634" s="40">
        <v>36.36</v>
      </c>
      <c r="J4634" s="41">
        <v>3.5299999999999998E-2</v>
      </c>
      <c r="K4634" s="9" t="s">
        <v>6258</v>
      </c>
    </row>
    <row r="4635" spans="1:11" x14ac:dyDescent="0.2">
      <c r="A4635" s="9" t="s">
        <v>29</v>
      </c>
      <c r="B4635" s="9" t="s">
        <v>343</v>
      </c>
      <c r="C4635" s="9" t="s">
        <v>4875</v>
      </c>
      <c r="D4635" s="9" t="s">
        <v>79</v>
      </c>
      <c r="E4635" s="38">
        <v>5572</v>
      </c>
      <c r="F4635" s="39">
        <v>7172586</v>
      </c>
      <c r="G4635" s="40">
        <v>1287.255204594401</v>
      </c>
      <c r="H4635" s="41"/>
      <c r="I4635" s="40">
        <v>83.23</v>
      </c>
      <c r="J4635" s="41">
        <v>6.4699999999999994E-2</v>
      </c>
      <c r="K4635" s="9" t="s">
        <v>6259</v>
      </c>
    </row>
    <row r="4636" spans="1:11" x14ac:dyDescent="0.2">
      <c r="A4636" s="9" t="s">
        <v>29</v>
      </c>
      <c r="B4636" s="9" t="s">
        <v>2622</v>
      </c>
      <c r="C4636" s="9" t="s">
        <v>4875</v>
      </c>
      <c r="D4636" s="9" t="s">
        <v>81</v>
      </c>
      <c r="E4636" s="38">
        <v>8438</v>
      </c>
      <c r="F4636" s="39">
        <v>6541773</v>
      </c>
      <c r="G4636" s="40">
        <v>775.27530220431379</v>
      </c>
      <c r="H4636" s="41"/>
      <c r="I4636" s="40">
        <v>23.26</v>
      </c>
      <c r="J4636" s="41">
        <v>0.03</v>
      </c>
      <c r="K4636" s="9" t="s">
        <v>6260</v>
      </c>
    </row>
    <row r="4637" spans="1:11" x14ac:dyDescent="0.2">
      <c r="A4637" s="9" t="s">
        <v>29</v>
      </c>
      <c r="B4637" s="9" t="s">
        <v>169</v>
      </c>
      <c r="C4637" s="9" t="s">
        <v>4875</v>
      </c>
      <c r="D4637" s="9" t="s">
        <v>76</v>
      </c>
      <c r="E4637" s="38">
        <v>9305</v>
      </c>
      <c r="F4637" s="39">
        <v>6231692</v>
      </c>
      <c r="G4637" s="40">
        <v>669.71434712520147</v>
      </c>
      <c r="H4637" s="41"/>
      <c r="I4637" s="40">
        <v>96.63</v>
      </c>
      <c r="J4637" s="41">
        <v>0.14430000000000001</v>
      </c>
      <c r="K4637" s="9" t="s">
        <v>6261</v>
      </c>
    </row>
    <row r="4638" spans="1:11" x14ac:dyDescent="0.2">
      <c r="A4638" s="9" t="s">
        <v>29</v>
      </c>
      <c r="B4638" s="9" t="s">
        <v>235</v>
      </c>
      <c r="C4638" s="9" t="s">
        <v>4875</v>
      </c>
      <c r="D4638" s="9" t="s">
        <v>77</v>
      </c>
      <c r="E4638" s="38">
        <v>5975</v>
      </c>
      <c r="F4638" s="39">
        <v>5495733</v>
      </c>
      <c r="G4638" s="40">
        <v>919.78794979079498</v>
      </c>
      <c r="H4638" s="41"/>
      <c r="I4638" s="40">
        <v>122.01</v>
      </c>
      <c r="J4638" s="41">
        <v>0.13270000000000001</v>
      </c>
      <c r="K4638" s="9" t="s">
        <v>6262</v>
      </c>
    </row>
    <row r="4639" spans="1:11" x14ac:dyDescent="0.2">
      <c r="A4639" s="9" t="s">
        <v>29</v>
      </c>
      <c r="B4639" s="9" t="s">
        <v>479</v>
      </c>
      <c r="C4639" s="9" t="s">
        <v>4875</v>
      </c>
      <c r="D4639" s="9" t="s">
        <v>77</v>
      </c>
      <c r="E4639" s="38">
        <v>6287</v>
      </c>
      <c r="F4639" s="39">
        <v>4175208</v>
      </c>
      <c r="G4639" s="40">
        <v>664.10179735963095</v>
      </c>
      <c r="H4639" s="41"/>
      <c r="I4639" s="40">
        <v>88.61</v>
      </c>
      <c r="J4639" s="41">
        <v>0.13339999999999999</v>
      </c>
      <c r="K4639" s="9" t="s">
        <v>6263</v>
      </c>
    </row>
    <row r="4640" spans="1:11" x14ac:dyDescent="0.2">
      <c r="A4640" s="9" t="s">
        <v>29</v>
      </c>
      <c r="B4640" s="9" t="s">
        <v>4883</v>
      </c>
      <c r="C4640" s="9" t="s">
        <v>4875</v>
      </c>
      <c r="D4640" s="9" t="s">
        <v>76</v>
      </c>
      <c r="E4640" s="38">
        <v>9885</v>
      </c>
      <c r="F4640" s="39">
        <v>4174273</v>
      </c>
      <c r="G4640" s="40">
        <v>422.28356095093568</v>
      </c>
      <c r="H4640" s="41"/>
      <c r="I4640" s="40">
        <v>78.2</v>
      </c>
      <c r="J4640" s="41">
        <v>0.1852</v>
      </c>
      <c r="K4640" s="9" t="s">
        <v>6264</v>
      </c>
    </row>
    <row r="4641" spans="1:11" x14ac:dyDescent="0.2">
      <c r="A4641" s="9" t="s">
        <v>29</v>
      </c>
      <c r="B4641" s="9" t="s">
        <v>179</v>
      </c>
      <c r="C4641" s="9" t="s">
        <v>4875</v>
      </c>
      <c r="D4641" s="9" t="s">
        <v>79</v>
      </c>
      <c r="E4641" s="38">
        <v>5017</v>
      </c>
      <c r="F4641" s="39">
        <v>3780574</v>
      </c>
      <c r="G4641" s="40">
        <v>753.55272074945185</v>
      </c>
      <c r="H4641" s="41"/>
      <c r="I4641" s="40">
        <v>76.900000000000006</v>
      </c>
      <c r="J4641" s="41">
        <v>0.10199999999999999</v>
      </c>
      <c r="K4641" s="9" t="s">
        <v>6265</v>
      </c>
    </row>
    <row r="4642" spans="1:11" x14ac:dyDescent="0.2">
      <c r="A4642" s="9" t="s">
        <v>29</v>
      </c>
      <c r="B4642" s="9" t="s">
        <v>6266</v>
      </c>
      <c r="C4642" s="9" t="s">
        <v>4875</v>
      </c>
      <c r="D4642" s="9" t="s">
        <v>80</v>
      </c>
      <c r="E4642" s="38">
        <v>1070</v>
      </c>
      <c r="F4642" s="39">
        <v>3117498</v>
      </c>
      <c r="G4642" s="40">
        <v>2913.5495327102799</v>
      </c>
      <c r="H4642" s="41"/>
      <c r="I4642" s="40">
        <v>233.39</v>
      </c>
      <c r="J4642" s="41">
        <v>8.0100000000000005E-2</v>
      </c>
      <c r="K4642" s="9" t="s">
        <v>6267</v>
      </c>
    </row>
    <row r="4643" spans="1:11" x14ac:dyDescent="0.2">
      <c r="A4643" s="9" t="s">
        <v>29</v>
      </c>
      <c r="B4643" s="9" t="s">
        <v>6268</v>
      </c>
      <c r="C4643" s="9" t="s">
        <v>4875</v>
      </c>
      <c r="D4643" s="9" t="s">
        <v>85</v>
      </c>
      <c r="E4643" s="38">
        <v>12478</v>
      </c>
      <c r="F4643" s="39">
        <v>3027728</v>
      </c>
      <c r="G4643" s="40">
        <v>242.645295720468</v>
      </c>
      <c r="H4643" s="41"/>
      <c r="I4643" s="40">
        <v>40.83</v>
      </c>
      <c r="J4643" s="41">
        <v>0.16830000000000001</v>
      </c>
      <c r="K4643" s="9" t="s">
        <v>6269</v>
      </c>
    </row>
    <row r="4644" spans="1:11" x14ac:dyDescent="0.2">
      <c r="A4644" s="9" t="s">
        <v>29</v>
      </c>
      <c r="B4644" s="9" t="s">
        <v>321</v>
      </c>
      <c r="C4644" s="9" t="s">
        <v>4875</v>
      </c>
      <c r="D4644" s="9" t="s">
        <v>78</v>
      </c>
      <c r="E4644" s="38">
        <v>1400</v>
      </c>
      <c r="F4644" s="39">
        <v>2922345</v>
      </c>
      <c r="G4644" s="40">
        <v>2087.389285714286</v>
      </c>
      <c r="H4644" s="41"/>
      <c r="I4644" s="40">
        <v>183.71</v>
      </c>
      <c r="J4644" s="41">
        <v>8.8000000000000009E-2</v>
      </c>
      <c r="K4644" s="9" t="s">
        <v>6270</v>
      </c>
    </row>
    <row r="4645" spans="1:11" x14ac:dyDescent="0.2">
      <c r="A4645" s="9" t="s">
        <v>29</v>
      </c>
      <c r="B4645" s="9" t="s">
        <v>461</v>
      </c>
      <c r="C4645" s="9" t="s">
        <v>4875</v>
      </c>
      <c r="D4645" s="9" t="s">
        <v>76</v>
      </c>
      <c r="E4645" s="38">
        <v>3380</v>
      </c>
      <c r="F4645" s="39">
        <v>2448773</v>
      </c>
      <c r="G4645" s="40">
        <v>724.48905325443786</v>
      </c>
      <c r="H4645" s="41"/>
      <c r="I4645" s="40">
        <v>108.67</v>
      </c>
      <c r="J4645" s="41">
        <v>0.15</v>
      </c>
      <c r="K4645" s="9" t="s">
        <v>6271</v>
      </c>
    </row>
    <row r="4646" spans="1:11" x14ac:dyDescent="0.2">
      <c r="A4646" s="9" t="s">
        <v>29</v>
      </c>
      <c r="B4646" s="9" t="s">
        <v>247</v>
      </c>
      <c r="C4646" s="9" t="s">
        <v>4875</v>
      </c>
      <c r="D4646" s="9" t="s">
        <v>76</v>
      </c>
      <c r="E4646" s="38">
        <v>16852</v>
      </c>
      <c r="F4646" s="39">
        <v>2235110</v>
      </c>
      <c r="G4646" s="40">
        <v>132.63173510562541</v>
      </c>
      <c r="H4646" s="41"/>
      <c r="I4646" s="40">
        <v>10.61</v>
      </c>
      <c r="J4646" s="41">
        <v>0.08</v>
      </c>
      <c r="K4646" s="9" t="s">
        <v>6272</v>
      </c>
    </row>
    <row r="4647" spans="1:11" x14ac:dyDescent="0.2">
      <c r="A4647" s="9" t="s">
        <v>29</v>
      </c>
      <c r="B4647" s="9" t="s">
        <v>140</v>
      </c>
      <c r="C4647" s="9" t="s">
        <v>4875</v>
      </c>
      <c r="D4647" s="9" t="s">
        <v>76</v>
      </c>
      <c r="E4647" s="38">
        <v>4500</v>
      </c>
      <c r="F4647" s="39">
        <v>2231334</v>
      </c>
      <c r="G4647" s="40">
        <v>495.85199999999998</v>
      </c>
      <c r="H4647" s="41"/>
      <c r="I4647" s="40">
        <v>39.659999999999997</v>
      </c>
      <c r="J4647" s="41">
        <v>0.08</v>
      </c>
      <c r="K4647" s="9" t="s">
        <v>6273</v>
      </c>
    </row>
    <row r="4648" spans="1:11" x14ac:dyDescent="0.2">
      <c r="A4648" s="9" t="s">
        <v>29</v>
      </c>
      <c r="B4648" s="9" t="s">
        <v>271</v>
      </c>
      <c r="C4648" s="9" t="s">
        <v>4875</v>
      </c>
      <c r="D4648" s="9" t="s">
        <v>78</v>
      </c>
      <c r="E4648" s="38">
        <v>1648</v>
      </c>
      <c r="F4648" s="39">
        <v>2024544</v>
      </c>
      <c r="G4648" s="40">
        <v>1228.485436893204</v>
      </c>
      <c r="H4648" s="41"/>
      <c r="I4648" s="40">
        <v>219.17</v>
      </c>
      <c r="J4648" s="41">
        <v>0.1784</v>
      </c>
      <c r="K4648" s="9" t="s">
        <v>6274</v>
      </c>
    </row>
    <row r="4649" spans="1:11" x14ac:dyDescent="0.2">
      <c r="A4649" s="9" t="s">
        <v>29</v>
      </c>
      <c r="B4649" s="9" t="s">
        <v>317</v>
      </c>
      <c r="C4649" s="9" t="s">
        <v>4875</v>
      </c>
      <c r="D4649" s="9" t="s">
        <v>76</v>
      </c>
      <c r="E4649" s="38">
        <v>4500</v>
      </c>
      <c r="F4649" s="39">
        <v>1755875</v>
      </c>
      <c r="G4649" s="40">
        <v>390.19444444444451</v>
      </c>
      <c r="H4649" s="41"/>
      <c r="I4649" s="40">
        <v>49.96</v>
      </c>
      <c r="J4649" s="41">
        <v>0.12790000000000001</v>
      </c>
      <c r="K4649" s="9" t="s">
        <v>6275</v>
      </c>
    </row>
    <row r="4650" spans="1:11" x14ac:dyDescent="0.2">
      <c r="A4650" s="9" t="s">
        <v>29</v>
      </c>
      <c r="B4650" s="9" t="s">
        <v>1536</v>
      </c>
      <c r="C4650" s="9" t="s">
        <v>4875</v>
      </c>
      <c r="D4650" s="9" t="s">
        <v>76</v>
      </c>
      <c r="E4650" s="38">
        <v>4190</v>
      </c>
      <c r="F4650" s="39">
        <v>1563622</v>
      </c>
      <c r="G4650" s="40">
        <v>373.1794749403341</v>
      </c>
      <c r="H4650" s="41"/>
      <c r="I4650" s="40">
        <v>63.8</v>
      </c>
      <c r="J4650" s="41">
        <v>0.17100000000000001</v>
      </c>
      <c r="K4650" s="9" t="s">
        <v>6276</v>
      </c>
    </row>
    <row r="4651" spans="1:11" x14ac:dyDescent="0.2">
      <c r="A4651" s="9" t="s">
        <v>29</v>
      </c>
      <c r="B4651" s="9" t="s">
        <v>487</v>
      </c>
      <c r="C4651" s="9" t="s">
        <v>4875</v>
      </c>
      <c r="D4651" s="9" t="s">
        <v>77</v>
      </c>
      <c r="E4651" s="38">
        <v>3645</v>
      </c>
      <c r="F4651" s="39">
        <v>1543824</v>
      </c>
      <c r="G4651" s="40">
        <v>423.54567901234572</v>
      </c>
      <c r="H4651" s="41"/>
      <c r="I4651" s="40">
        <v>88.81</v>
      </c>
      <c r="J4651" s="41">
        <v>0.20979999999999999</v>
      </c>
      <c r="K4651" s="9" t="s">
        <v>6277</v>
      </c>
    </row>
    <row r="4652" spans="1:11" x14ac:dyDescent="0.2">
      <c r="A4652" s="9" t="s">
        <v>29</v>
      </c>
      <c r="B4652" s="9" t="s">
        <v>200</v>
      </c>
      <c r="C4652" s="9" t="s">
        <v>4875</v>
      </c>
      <c r="D4652" s="9" t="s">
        <v>77</v>
      </c>
      <c r="E4652" s="38">
        <v>5532</v>
      </c>
      <c r="F4652" s="39">
        <v>1507652</v>
      </c>
      <c r="G4652" s="40">
        <v>272.53289949385402</v>
      </c>
      <c r="H4652" s="41"/>
      <c r="I4652" s="40">
        <v>32.700000000000003</v>
      </c>
      <c r="J4652" s="41">
        <v>0.12</v>
      </c>
      <c r="K4652" s="9" t="s">
        <v>6278</v>
      </c>
    </row>
    <row r="4653" spans="1:11" x14ac:dyDescent="0.2">
      <c r="A4653" s="9" t="s">
        <v>29</v>
      </c>
      <c r="B4653" s="9" t="s">
        <v>166</v>
      </c>
      <c r="C4653" s="9" t="s">
        <v>4875</v>
      </c>
      <c r="D4653" s="9" t="s">
        <v>76</v>
      </c>
      <c r="E4653" s="38">
        <v>4013</v>
      </c>
      <c r="F4653" s="39">
        <v>1483843</v>
      </c>
      <c r="G4653" s="40">
        <v>369.75903314228759</v>
      </c>
      <c r="H4653" s="41"/>
      <c r="I4653" s="40">
        <v>36.979999999999997</v>
      </c>
      <c r="J4653" s="41">
        <v>0.1</v>
      </c>
      <c r="K4653" s="9" t="s">
        <v>6279</v>
      </c>
    </row>
    <row r="4654" spans="1:11" x14ac:dyDescent="0.2">
      <c r="A4654" s="9" t="s">
        <v>29</v>
      </c>
      <c r="B4654" s="9" t="s">
        <v>231</v>
      </c>
      <c r="C4654" s="9" t="s">
        <v>4875</v>
      </c>
      <c r="D4654" s="9" t="s">
        <v>85</v>
      </c>
      <c r="E4654" s="38">
        <v>11380</v>
      </c>
      <c r="F4654" s="39">
        <v>1335692</v>
      </c>
      <c r="G4654" s="40">
        <v>117.37188049209141</v>
      </c>
      <c r="H4654" s="41"/>
      <c r="I4654" s="40">
        <v>11.74</v>
      </c>
      <c r="J4654" s="41">
        <v>0.1</v>
      </c>
      <c r="K4654" s="9" t="s">
        <v>6280</v>
      </c>
    </row>
    <row r="4655" spans="1:11" x14ac:dyDescent="0.2">
      <c r="A4655" s="9" t="s">
        <v>29</v>
      </c>
      <c r="B4655" s="9" t="s">
        <v>267</v>
      </c>
      <c r="C4655" s="9" t="s">
        <v>4875</v>
      </c>
      <c r="D4655" s="9" t="s">
        <v>77</v>
      </c>
      <c r="E4655" s="38">
        <v>3004</v>
      </c>
      <c r="F4655" s="39">
        <v>1176561</v>
      </c>
      <c r="G4655" s="40">
        <v>391.66478029294268</v>
      </c>
      <c r="H4655" s="41"/>
      <c r="I4655" s="40">
        <v>65.09</v>
      </c>
      <c r="J4655" s="41">
        <v>0.16619999999999999</v>
      </c>
      <c r="K4655" s="9" t="s">
        <v>6281</v>
      </c>
    </row>
    <row r="4656" spans="1:11" x14ac:dyDescent="0.2">
      <c r="A4656" s="9" t="s">
        <v>29</v>
      </c>
      <c r="B4656" s="9" t="s">
        <v>193</v>
      </c>
      <c r="C4656" s="9" t="s">
        <v>4875</v>
      </c>
      <c r="D4656" s="9" t="s">
        <v>82</v>
      </c>
      <c r="E4656" s="38">
        <v>2699</v>
      </c>
      <c r="F4656" s="39">
        <v>1045494</v>
      </c>
      <c r="G4656" s="40">
        <v>387.36346795109301</v>
      </c>
      <c r="H4656" s="41"/>
      <c r="I4656" s="40">
        <v>47.56</v>
      </c>
      <c r="J4656" s="41">
        <v>0.12280000000000001</v>
      </c>
      <c r="K4656" s="9" t="s">
        <v>6282</v>
      </c>
    </row>
    <row r="4657" spans="1:11" x14ac:dyDescent="0.2">
      <c r="A4657" s="9" t="s">
        <v>29</v>
      </c>
      <c r="B4657" s="9" t="s">
        <v>6283</v>
      </c>
      <c r="C4657" s="9" t="s">
        <v>4875</v>
      </c>
      <c r="D4657" s="9" t="s">
        <v>76</v>
      </c>
      <c r="E4657" s="38">
        <v>4700</v>
      </c>
      <c r="F4657" s="39">
        <v>906474</v>
      </c>
      <c r="G4657" s="40">
        <v>192.86680851063829</v>
      </c>
      <c r="H4657" s="41"/>
      <c r="I4657" s="40">
        <v>29.68</v>
      </c>
      <c r="J4657" s="41">
        <v>0.15390000000000001</v>
      </c>
      <c r="K4657" s="9" t="s">
        <v>6284</v>
      </c>
    </row>
    <row r="4658" spans="1:11" x14ac:dyDescent="0.2">
      <c r="A4658" s="9" t="s">
        <v>29</v>
      </c>
      <c r="B4658" s="9" t="s">
        <v>392</v>
      </c>
      <c r="C4658" s="9" t="s">
        <v>4875</v>
      </c>
      <c r="D4658" s="9" t="s">
        <v>76</v>
      </c>
      <c r="E4658" s="38">
        <v>2709</v>
      </c>
      <c r="F4658" s="39">
        <v>874544</v>
      </c>
      <c r="G4658" s="40">
        <v>322.82908822443699</v>
      </c>
      <c r="H4658" s="41"/>
      <c r="I4658" s="40">
        <v>27.69</v>
      </c>
      <c r="J4658" s="41">
        <v>8.5800000000000001E-2</v>
      </c>
      <c r="K4658" s="9" t="s">
        <v>6285</v>
      </c>
    </row>
    <row r="4659" spans="1:11" x14ac:dyDescent="0.2">
      <c r="A4659" s="9" t="s">
        <v>29</v>
      </c>
      <c r="B4659" s="9" t="s">
        <v>4900</v>
      </c>
      <c r="C4659" s="9" t="s">
        <v>4875</v>
      </c>
      <c r="D4659" s="9" t="s">
        <v>79</v>
      </c>
      <c r="E4659" s="38">
        <v>2266</v>
      </c>
      <c r="F4659" s="39">
        <v>847124</v>
      </c>
      <c r="G4659" s="40">
        <v>373.84112974404229</v>
      </c>
      <c r="H4659" s="41"/>
      <c r="I4659" s="40">
        <v>37.380000000000003</v>
      </c>
      <c r="J4659" s="41">
        <v>0.1</v>
      </c>
      <c r="K4659" s="9" t="s">
        <v>6286</v>
      </c>
    </row>
    <row r="4660" spans="1:11" x14ac:dyDescent="0.2">
      <c r="A4660" s="9" t="s">
        <v>29</v>
      </c>
      <c r="B4660" s="9" t="s">
        <v>4917</v>
      </c>
      <c r="C4660" s="9" t="s">
        <v>4875</v>
      </c>
      <c r="D4660" s="9" t="s">
        <v>76</v>
      </c>
      <c r="E4660" s="38">
        <v>4059</v>
      </c>
      <c r="F4660" s="39">
        <v>836845</v>
      </c>
      <c r="G4660" s="40">
        <v>206.170238975117</v>
      </c>
      <c r="H4660" s="41"/>
      <c r="I4660" s="40">
        <v>28.86</v>
      </c>
      <c r="J4660" s="41">
        <v>0.14000000000000001</v>
      </c>
      <c r="K4660" s="9" t="s">
        <v>6287</v>
      </c>
    </row>
    <row r="4661" spans="1:11" x14ac:dyDescent="0.2">
      <c r="A4661" s="9" t="s">
        <v>29</v>
      </c>
      <c r="B4661" s="9" t="s">
        <v>256</v>
      </c>
      <c r="C4661" s="9" t="s">
        <v>4875</v>
      </c>
      <c r="D4661" s="9" t="s">
        <v>76</v>
      </c>
      <c r="E4661" s="38">
        <v>1672</v>
      </c>
      <c r="F4661" s="39">
        <v>762651</v>
      </c>
      <c r="G4661" s="40">
        <v>456.13098086124398</v>
      </c>
      <c r="H4661" s="41"/>
      <c r="I4661" s="40">
        <v>94.58</v>
      </c>
      <c r="J4661" s="41">
        <v>0.2074</v>
      </c>
      <c r="K4661" s="9" t="s">
        <v>6288</v>
      </c>
    </row>
    <row r="4662" spans="1:11" x14ac:dyDescent="0.2">
      <c r="A4662" s="9" t="s">
        <v>29</v>
      </c>
      <c r="B4662" s="9" t="s">
        <v>187</v>
      </c>
      <c r="C4662" s="9" t="s">
        <v>4875</v>
      </c>
      <c r="D4662" s="9" t="s">
        <v>82</v>
      </c>
      <c r="E4662" s="38">
        <v>3715</v>
      </c>
      <c r="F4662" s="39">
        <v>675562</v>
      </c>
      <c r="G4662" s="40">
        <v>181.84710632570659</v>
      </c>
      <c r="H4662" s="41"/>
      <c r="I4662" s="40">
        <v>27.47</v>
      </c>
      <c r="J4662" s="41">
        <v>0.151</v>
      </c>
      <c r="K4662" s="9" t="s">
        <v>6289</v>
      </c>
    </row>
    <row r="4663" spans="1:11" x14ac:dyDescent="0.2">
      <c r="A4663" s="9" t="s">
        <v>29</v>
      </c>
      <c r="B4663" s="9" t="s">
        <v>398</v>
      </c>
      <c r="C4663" s="9" t="s">
        <v>4875</v>
      </c>
      <c r="D4663" s="9" t="s">
        <v>76</v>
      </c>
      <c r="E4663" s="38">
        <v>3099</v>
      </c>
      <c r="F4663" s="39">
        <v>646650</v>
      </c>
      <c r="G4663" s="40">
        <v>208.6640851887706</v>
      </c>
      <c r="H4663" s="41"/>
      <c r="I4663" s="40">
        <v>19.489999999999998</v>
      </c>
      <c r="J4663" s="41">
        <v>9.3399999999999997E-2</v>
      </c>
      <c r="K4663" s="9" t="s">
        <v>6290</v>
      </c>
    </row>
    <row r="4664" spans="1:11" x14ac:dyDescent="0.2">
      <c r="A4664" s="9" t="s">
        <v>29</v>
      </c>
      <c r="B4664" s="9" t="s">
        <v>301</v>
      </c>
      <c r="C4664" s="9" t="s">
        <v>4875</v>
      </c>
      <c r="D4664" s="9" t="s">
        <v>82</v>
      </c>
      <c r="E4664" s="38">
        <v>2165</v>
      </c>
      <c r="F4664" s="39">
        <v>635238</v>
      </c>
      <c r="G4664" s="40">
        <v>293.41247113163968</v>
      </c>
      <c r="H4664" s="41"/>
      <c r="I4664" s="40">
        <v>45.2</v>
      </c>
      <c r="J4664" s="41">
        <v>0.154</v>
      </c>
      <c r="K4664" s="9" t="s">
        <v>6291</v>
      </c>
    </row>
    <row r="4665" spans="1:11" x14ac:dyDescent="0.2">
      <c r="A4665" s="9" t="s">
        <v>29</v>
      </c>
      <c r="B4665" s="9" t="s">
        <v>243</v>
      </c>
      <c r="C4665" s="9" t="s">
        <v>4875</v>
      </c>
      <c r="D4665" s="9" t="s">
        <v>82</v>
      </c>
      <c r="E4665" s="38">
        <v>1510</v>
      </c>
      <c r="F4665" s="39">
        <v>615657</v>
      </c>
      <c r="G4665" s="40">
        <v>407.71986754966889</v>
      </c>
      <c r="H4665" s="41"/>
      <c r="I4665" s="40">
        <v>92.74</v>
      </c>
      <c r="J4665" s="41">
        <v>0.22750000000000001</v>
      </c>
      <c r="K4665" s="9" t="s">
        <v>6292</v>
      </c>
    </row>
    <row r="4666" spans="1:11" x14ac:dyDescent="0.2">
      <c r="A4666" s="9" t="s">
        <v>29</v>
      </c>
      <c r="B4666" s="9" t="s">
        <v>456</v>
      </c>
      <c r="C4666" s="9" t="s">
        <v>4875</v>
      </c>
      <c r="D4666" s="9" t="s">
        <v>76</v>
      </c>
      <c r="E4666" s="38">
        <v>1755</v>
      </c>
      <c r="F4666" s="39">
        <v>576333</v>
      </c>
      <c r="G4666" s="40">
        <v>328.39487179487179</v>
      </c>
      <c r="H4666" s="41"/>
      <c r="I4666" s="40">
        <v>51.28</v>
      </c>
      <c r="J4666" s="41">
        <v>0.15620000000000001</v>
      </c>
      <c r="K4666" s="9" t="s">
        <v>6293</v>
      </c>
    </row>
    <row r="4667" spans="1:11" x14ac:dyDescent="0.2">
      <c r="A4667" s="9" t="s">
        <v>29</v>
      </c>
      <c r="B4667" s="9" t="s">
        <v>371</v>
      </c>
      <c r="C4667" s="9" t="s">
        <v>4875</v>
      </c>
      <c r="D4667" s="9" t="s">
        <v>76</v>
      </c>
      <c r="E4667" s="38">
        <v>3007</v>
      </c>
      <c r="F4667" s="39">
        <v>573798</v>
      </c>
      <c r="G4667" s="40">
        <v>190.82075157964749</v>
      </c>
      <c r="H4667" s="41"/>
      <c r="I4667" s="40">
        <v>21.82</v>
      </c>
      <c r="J4667" s="41">
        <v>0.1144</v>
      </c>
      <c r="K4667" s="9" t="s">
        <v>6294</v>
      </c>
    </row>
    <row r="4668" spans="1:11" x14ac:dyDescent="0.2">
      <c r="A4668" s="9" t="s">
        <v>29</v>
      </c>
      <c r="B4668" s="9" t="s">
        <v>283</v>
      </c>
      <c r="C4668" s="9" t="s">
        <v>4875</v>
      </c>
      <c r="D4668" s="9" t="s">
        <v>78</v>
      </c>
      <c r="E4668" s="38">
        <v>738</v>
      </c>
      <c r="F4668" s="39">
        <v>539559</v>
      </c>
      <c r="G4668" s="40">
        <v>731.10975609756099</v>
      </c>
      <c r="H4668" s="41"/>
      <c r="I4668" s="40">
        <v>136.57</v>
      </c>
      <c r="J4668" s="41">
        <v>0.18679999999999999</v>
      </c>
      <c r="K4668" s="9" t="s">
        <v>6295</v>
      </c>
    </row>
    <row r="4669" spans="1:11" x14ac:dyDescent="0.2">
      <c r="A4669" s="9" t="s">
        <v>29</v>
      </c>
      <c r="B4669" s="9" t="s">
        <v>208</v>
      </c>
      <c r="C4669" s="9" t="s">
        <v>4875</v>
      </c>
      <c r="D4669" s="9" t="s">
        <v>78</v>
      </c>
      <c r="E4669" s="38">
        <v>1783</v>
      </c>
      <c r="F4669" s="39">
        <v>514589</v>
      </c>
      <c r="G4669" s="40">
        <v>288.60852495793608</v>
      </c>
      <c r="H4669" s="41"/>
      <c r="I4669" s="40">
        <v>37.520000000000003</v>
      </c>
      <c r="J4669" s="41">
        <v>0.13</v>
      </c>
      <c r="K4669" s="9" t="s">
        <v>6296</v>
      </c>
    </row>
    <row r="4670" spans="1:11" x14ac:dyDescent="0.2">
      <c r="A4670" s="9" t="s">
        <v>29</v>
      </c>
      <c r="B4670" s="9" t="s">
        <v>277</v>
      </c>
      <c r="C4670" s="9" t="s">
        <v>4875</v>
      </c>
      <c r="D4670" s="9" t="s">
        <v>76</v>
      </c>
      <c r="E4670" s="38">
        <v>647</v>
      </c>
      <c r="F4670" s="39">
        <v>499648</v>
      </c>
      <c r="G4670" s="40">
        <v>772.25347758887176</v>
      </c>
      <c r="H4670" s="41"/>
      <c r="I4670" s="40">
        <v>91.83</v>
      </c>
      <c r="J4670" s="41">
        <v>0.11890000000000001</v>
      </c>
      <c r="K4670" s="9" t="s">
        <v>6297</v>
      </c>
    </row>
    <row r="4671" spans="1:11" x14ac:dyDescent="0.2">
      <c r="A4671" s="9" t="s">
        <v>29</v>
      </c>
      <c r="B4671" s="9" t="s">
        <v>574</v>
      </c>
      <c r="C4671" s="9" t="s">
        <v>4875</v>
      </c>
      <c r="D4671" s="9" t="s">
        <v>82</v>
      </c>
      <c r="E4671" s="38">
        <v>1843</v>
      </c>
      <c r="F4671" s="39">
        <v>443350</v>
      </c>
      <c r="G4671" s="40">
        <v>240.5588714053174</v>
      </c>
      <c r="H4671" s="41"/>
      <c r="I4671" s="40">
        <v>66.27</v>
      </c>
      <c r="J4671" s="41">
        <v>0.27560000000000001</v>
      </c>
      <c r="K4671" s="9" t="s">
        <v>6298</v>
      </c>
    </row>
    <row r="4672" spans="1:11" x14ac:dyDescent="0.2">
      <c r="A4672" s="9" t="s">
        <v>29</v>
      </c>
      <c r="B4672" s="9" t="s">
        <v>396</v>
      </c>
      <c r="C4672" s="9" t="s">
        <v>4875</v>
      </c>
      <c r="D4672" s="9" t="s">
        <v>78</v>
      </c>
      <c r="E4672" s="38">
        <v>2003</v>
      </c>
      <c r="F4672" s="39">
        <v>1645256</v>
      </c>
      <c r="G4672" s="40">
        <v>821.39590614078884</v>
      </c>
      <c r="H4672" s="41"/>
      <c r="I4672" s="40">
        <v>89.87</v>
      </c>
      <c r="J4672" s="41">
        <v>0.1094</v>
      </c>
      <c r="K4672" s="9" t="s">
        <v>6299</v>
      </c>
    </row>
    <row r="4673" spans="1:11" x14ac:dyDescent="0.2">
      <c r="A4673" s="9" t="s">
        <v>29</v>
      </c>
      <c r="B4673" s="9" t="s">
        <v>497</v>
      </c>
      <c r="C4673" s="9" t="s">
        <v>4875</v>
      </c>
      <c r="D4673" s="9" t="s">
        <v>76</v>
      </c>
      <c r="E4673" s="38">
        <v>2363</v>
      </c>
      <c r="F4673" s="39">
        <v>511861</v>
      </c>
      <c r="G4673" s="40">
        <v>216.61489631823949</v>
      </c>
      <c r="H4673" s="41"/>
      <c r="I4673" s="40">
        <v>8.67</v>
      </c>
      <c r="J4673" s="41">
        <v>0.04</v>
      </c>
      <c r="K4673" s="9" t="s">
        <v>6300</v>
      </c>
    </row>
    <row r="4674" spans="1:11" x14ac:dyDescent="0.2">
      <c r="A4674" s="9" t="s">
        <v>29</v>
      </c>
      <c r="B4674" s="9" t="s">
        <v>6301</v>
      </c>
      <c r="C4674" s="9" t="s">
        <v>4875</v>
      </c>
      <c r="D4674" s="9" t="s">
        <v>86</v>
      </c>
      <c r="E4674" s="38">
        <v>103394</v>
      </c>
      <c r="F4674" s="39">
        <v>2613913</v>
      </c>
      <c r="G4674" s="40">
        <v>25.281089811787918</v>
      </c>
      <c r="H4674" s="41"/>
      <c r="I4674" s="40">
        <v>9.34</v>
      </c>
      <c r="J4674" s="41">
        <v>0.36959999999999998</v>
      </c>
      <c r="K4674" s="9" t="s">
        <v>6302</v>
      </c>
    </row>
  </sheetData>
  <autoFilter ref="A1:K467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7A2D"/>
  </sheetPr>
  <dimension ref="A1:BC75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8" customWidth="1"/>
    <col min="4" max="52" width="12" customWidth="1"/>
    <col min="53" max="53" width="10" customWidth="1"/>
    <col min="54" max="54" width="6" customWidth="1"/>
    <col min="55" max="55" width="5" customWidth="1"/>
  </cols>
  <sheetData>
    <row r="1" spans="1:55" ht="19" x14ac:dyDescent="0.25">
      <c r="A1" s="84" t="s">
        <v>6303</v>
      </c>
      <c r="B1" s="83"/>
      <c r="C1" s="83"/>
      <c r="D1" s="83"/>
      <c r="E1" s="83"/>
      <c r="F1" s="83"/>
    </row>
    <row r="2" spans="1:55" ht="16" x14ac:dyDescent="0.2">
      <c r="A2" s="56" t="s">
        <v>158</v>
      </c>
      <c r="B2" s="56" t="s">
        <v>71</v>
      </c>
      <c r="C2" s="56" t="s">
        <v>6304</v>
      </c>
      <c r="D2" s="57" t="s">
        <v>6305</v>
      </c>
      <c r="E2" s="58" t="s">
        <v>6306</v>
      </c>
      <c r="F2" s="58" t="s">
        <v>6307</v>
      </c>
      <c r="G2" s="58" t="s">
        <v>6308</v>
      </c>
      <c r="H2" s="58" t="s">
        <v>21</v>
      </c>
      <c r="I2" s="58" t="s">
        <v>32</v>
      </c>
      <c r="J2" s="58" t="s">
        <v>6309</v>
      </c>
      <c r="K2" s="58" t="s">
        <v>6310</v>
      </c>
      <c r="L2" s="58" t="s">
        <v>6311</v>
      </c>
      <c r="M2" s="58" t="s">
        <v>6312</v>
      </c>
      <c r="N2" s="58" t="s">
        <v>6313</v>
      </c>
      <c r="O2" s="58" t="s">
        <v>6314</v>
      </c>
      <c r="P2" s="58" t="s">
        <v>6315</v>
      </c>
      <c r="Q2" s="58" t="s">
        <v>6316</v>
      </c>
      <c r="R2" s="58" t="s">
        <v>6317</v>
      </c>
      <c r="S2" s="58" t="s">
        <v>52</v>
      </c>
      <c r="T2" s="58" t="s">
        <v>6318</v>
      </c>
      <c r="U2" s="58" t="s">
        <v>58</v>
      </c>
      <c r="V2" s="58" t="s">
        <v>6319</v>
      </c>
      <c r="W2" s="58" t="s">
        <v>6320</v>
      </c>
      <c r="X2" s="58" t="s">
        <v>6321</v>
      </c>
      <c r="Y2" s="58" t="s">
        <v>6322</v>
      </c>
      <c r="Z2" s="58" t="s">
        <v>6323</v>
      </c>
      <c r="AA2" s="58" t="s">
        <v>6324</v>
      </c>
      <c r="AB2" s="58" t="s">
        <v>6325</v>
      </c>
      <c r="AC2" s="58" t="s">
        <v>6326</v>
      </c>
      <c r="AD2" s="58" t="s">
        <v>43</v>
      </c>
      <c r="AE2" s="58" t="s">
        <v>6327</v>
      </c>
      <c r="AF2" s="58" t="s">
        <v>6328</v>
      </c>
      <c r="AG2" s="58" t="s">
        <v>6329</v>
      </c>
      <c r="AH2" s="58" t="s">
        <v>6330</v>
      </c>
      <c r="AI2" s="58" t="s">
        <v>6331</v>
      </c>
      <c r="AJ2" s="58" t="s">
        <v>6332</v>
      </c>
      <c r="AK2" s="58" t="s">
        <v>6333</v>
      </c>
      <c r="AL2" s="58" t="s">
        <v>46</v>
      </c>
      <c r="AM2" s="58" t="s">
        <v>30</v>
      </c>
      <c r="AN2" s="58" t="s">
        <v>6334</v>
      </c>
      <c r="AO2" s="58" t="s">
        <v>6335</v>
      </c>
      <c r="AP2" s="58" t="s">
        <v>6336</v>
      </c>
      <c r="AQ2" s="58" t="s">
        <v>6337</v>
      </c>
      <c r="AR2" s="58" t="s">
        <v>6338</v>
      </c>
      <c r="AS2" s="58" t="s">
        <v>6339</v>
      </c>
      <c r="AT2" s="58" t="s">
        <v>67</v>
      </c>
      <c r="AU2" s="58" t="s">
        <v>57</v>
      </c>
      <c r="AV2" s="58" t="s">
        <v>6340</v>
      </c>
      <c r="AW2" s="58" t="s">
        <v>6341</v>
      </c>
      <c r="AX2" s="58" t="s">
        <v>6342</v>
      </c>
      <c r="AY2" s="58" t="s">
        <v>29</v>
      </c>
      <c r="AZ2" s="59" t="s">
        <v>94</v>
      </c>
      <c r="BA2" s="59" t="s">
        <v>6343</v>
      </c>
      <c r="BB2" s="59" t="s">
        <v>150</v>
      </c>
      <c r="BC2" s="59" t="s">
        <v>6344</v>
      </c>
    </row>
    <row r="3" spans="1:55" x14ac:dyDescent="0.2">
      <c r="A3" s="60" t="s">
        <v>6345</v>
      </c>
      <c r="D3" s="61" t="str">
        <f>'Property Summary'!B2</f>
        <v>Y</v>
      </c>
      <c r="E3" s="61" t="str">
        <f>'Property Summary'!B3</f>
        <v>Y</v>
      </c>
      <c r="F3" s="61" t="str">
        <f>'Property Summary'!B4</f>
        <v>Y</v>
      </c>
      <c r="G3" s="61" t="str">
        <f>'Property Summary'!B5</f>
        <v>Y</v>
      </c>
      <c r="H3" s="61" t="str">
        <f>'Property Summary'!B6</f>
        <v>Y</v>
      </c>
      <c r="I3" s="61" t="str">
        <f>'Property Summary'!B7</f>
        <v>Y</v>
      </c>
      <c r="J3" s="61" t="str">
        <f>'Property Summary'!B8</f>
        <v>Y</v>
      </c>
      <c r="K3" s="61" t="str">
        <f>'Property Summary'!B9</f>
        <v>Y</v>
      </c>
      <c r="L3" s="61" t="str">
        <f>'Property Summary'!B10</f>
        <v>Y</v>
      </c>
      <c r="M3" s="61" t="str">
        <f>'Property Summary'!B11</f>
        <v>Y</v>
      </c>
      <c r="N3" s="61" t="str">
        <f>'Property Summary'!B12</f>
        <v>Y</v>
      </c>
      <c r="O3" s="61" t="str">
        <f>'Property Summary'!B13</f>
        <v>Y</v>
      </c>
      <c r="P3" s="61" t="str">
        <f>'Property Summary'!B14</f>
        <v>Y</v>
      </c>
      <c r="Q3" s="61" t="str">
        <f>'Property Summary'!B15</f>
        <v>Y</v>
      </c>
      <c r="R3" s="61" t="str">
        <f>'Property Summary'!B16</f>
        <v>Y</v>
      </c>
      <c r="S3" s="61" t="str">
        <f>'Property Summary'!B17</f>
        <v>Y</v>
      </c>
      <c r="T3" s="61" t="str">
        <f>'Property Summary'!B18</f>
        <v>Y</v>
      </c>
      <c r="U3" s="61" t="str">
        <f>'Property Summary'!B19</f>
        <v>Y</v>
      </c>
      <c r="V3" s="61" t="str">
        <f>'Property Summary'!B20</f>
        <v>Y</v>
      </c>
      <c r="W3" s="61" t="str">
        <f>'Property Summary'!B21</f>
        <v>Y</v>
      </c>
      <c r="X3" s="61" t="str">
        <f>'Property Summary'!B22</f>
        <v>Y</v>
      </c>
      <c r="Y3" s="61" t="str">
        <f>'Property Summary'!B23</f>
        <v>Y</v>
      </c>
      <c r="Z3" s="61" t="str">
        <f>'Property Summary'!B24</f>
        <v>Y</v>
      </c>
      <c r="AA3" s="61" t="str">
        <f>'Property Summary'!B25</f>
        <v>Y</v>
      </c>
      <c r="AB3" s="61" t="str">
        <f>'Property Summary'!B26</f>
        <v>Y</v>
      </c>
      <c r="AC3" s="61" t="str">
        <f>'Property Summary'!B27</f>
        <v>Y</v>
      </c>
      <c r="AD3" s="61" t="str">
        <f>'Property Summary'!B28</f>
        <v>Y</v>
      </c>
      <c r="AE3" s="61" t="str">
        <f>'Property Summary'!B29</f>
        <v>Y</v>
      </c>
      <c r="AF3" s="61" t="str">
        <f>'Property Summary'!B30</f>
        <v>Y</v>
      </c>
      <c r="AG3" s="61" t="str">
        <f>'Property Summary'!B31</f>
        <v>Y</v>
      </c>
      <c r="AH3" s="61" t="str">
        <f>'Property Summary'!B32</f>
        <v>Y</v>
      </c>
      <c r="AI3" s="61" t="str">
        <f>'Property Summary'!B33</f>
        <v>Y</v>
      </c>
      <c r="AJ3" s="61" t="str">
        <f>'Property Summary'!B34</f>
        <v>Y</v>
      </c>
      <c r="AK3" s="61" t="str">
        <f>'Property Summary'!B35</f>
        <v>Y</v>
      </c>
      <c r="AL3" s="61" t="str">
        <f>'Property Summary'!B36</f>
        <v>Y</v>
      </c>
      <c r="AM3" s="61" t="str">
        <f>'Property Summary'!B37</f>
        <v>Y</v>
      </c>
      <c r="AN3" s="61" t="str">
        <f>'Property Summary'!B38</f>
        <v>Y</v>
      </c>
      <c r="AO3" s="61" t="str">
        <f>'Property Summary'!B39</f>
        <v>Y</v>
      </c>
      <c r="AP3" s="61" t="str">
        <f>'Property Summary'!B40</f>
        <v>Y</v>
      </c>
      <c r="AQ3" s="61" t="str">
        <f>'Property Summary'!B41</f>
        <v>Y</v>
      </c>
      <c r="AR3" s="61" t="str">
        <f>'Property Summary'!B42</f>
        <v>Y</v>
      </c>
      <c r="AS3" s="61" t="str">
        <f>'Property Summary'!B43</f>
        <v>Y</v>
      </c>
      <c r="AT3" s="61" t="str">
        <f>'Property Summary'!B44</f>
        <v>Y</v>
      </c>
      <c r="AU3" s="61" t="str">
        <f>'Property Summary'!B45</f>
        <v>Y</v>
      </c>
      <c r="AV3" s="61" t="str">
        <f>'Property Summary'!B46</f>
        <v>Y</v>
      </c>
      <c r="AW3" s="61" t="str">
        <f>'Property Summary'!B47</f>
        <v>Y</v>
      </c>
      <c r="AX3" s="61" t="str">
        <f>'Property Summary'!B48</f>
        <v>Y</v>
      </c>
      <c r="AY3" s="61" t="str">
        <f>'Property Summary'!B49</f>
        <v>Y</v>
      </c>
    </row>
    <row r="4" spans="1:55" x14ac:dyDescent="0.2">
      <c r="A4" s="62" t="s">
        <v>179</v>
      </c>
      <c r="B4" s="31" t="s">
        <v>79</v>
      </c>
      <c r="C4" s="62">
        <v>44</v>
      </c>
      <c r="D4" s="63">
        <v>856.52197530864203</v>
      </c>
      <c r="E4" s="64">
        <v>1000.623464854978</v>
      </c>
      <c r="F4" s="64"/>
      <c r="G4" s="64">
        <v>877.4243614931238</v>
      </c>
      <c r="H4" s="64">
        <v>319.70937204165352</v>
      </c>
      <c r="I4" s="64">
        <v>1422.1210215361159</v>
      </c>
      <c r="J4" s="64">
        <v>59.774349527976057</v>
      </c>
      <c r="K4" s="64">
        <v>1122.9743394308939</v>
      </c>
      <c r="L4" s="64">
        <v>1014.779310344828</v>
      </c>
      <c r="M4" s="64">
        <v>782.30852713178297</v>
      </c>
      <c r="N4" s="64">
        <v>932.83540372670802</v>
      </c>
      <c r="O4" s="64">
        <v>812.46673170731708</v>
      </c>
      <c r="P4" s="64">
        <v>912.57248520710061</v>
      </c>
      <c r="Q4" s="64">
        <v>1253.072991119775</v>
      </c>
      <c r="R4" s="64">
        <v>743.93088235294113</v>
      </c>
      <c r="S4" s="64">
        <v>657.87952499521168</v>
      </c>
      <c r="T4" s="64">
        <v>808.93448984250176</v>
      </c>
      <c r="U4" s="64">
        <v>741.46712478525694</v>
      </c>
      <c r="V4" s="64">
        <v>1007.095646842428</v>
      </c>
      <c r="W4" s="64">
        <v>634.93189964157705</v>
      </c>
      <c r="X4" s="64">
        <v>638.86042654028438</v>
      </c>
      <c r="Y4" s="64"/>
      <c r="Z4" s="64">
        <v>518.871320249777</v>
      </c>
      <c r="AA4" s="64">
        <v>665.90713654998422</v>
      </c>
      <c r="AB4" s="64">
        <v>932.16499999999996</v>
      </c>
      <c r="AC4" s="64">
        <v>1055.923173016864</v>
      </c>
      <c r="AD4" s="64">
        <v>998.02265229821865</v>
      </c>
      <c r="AE4" s="64">
        <v>797.26366468422543</v>
      </c>
      <c r="AF4" s="64">
        <v>1043.6031073446329</v>
      </c>
      <c r="AG4" s="64">
        <v>697.27756252201482</v>
      </c>
      <c r="AH4" s="64"/>
      <c r="AI4" s="64">
        <v>1149.6937778721599</v>
      </c>
      <c r="AJ4" s="64">
        <v>584.15452744886966</v>
      </c>
      <c r="AK4" s="64">
        <v>781.83727092073309</v>
      </c>
      <c r="AL4" s="64">
        <v>809.64705882352939</v>
      </c>
      <c r="AM4" s="64">
        <v>492.22521976356472</v>
      </c>
      <c r="AN4" s="64">
        <v>602.01769646070784</v>
      </c>
      <c r="AO4" s="64">
        <v>839.407912425581</v>
      </c>
      <c r="AP4" s="64">
        <v>652.01533166458069</v>
      </c>
      <c r="AQ4" s="64">
        <v>793.65395840933968</v>
      </c>
      <c r="AR4" s="64"/>
      <c r="AS4" s="64">
        <v>900.67121702915313</v>
      </c>
      <c r="AT4" s="64">
        <v>1118.9578067672239</v>
      </c>
      <c r="AU4" s="64">
        <v>491.5011995201919</v>
      </c>
      <c r="AV4" s="64">
        <v>1057.5691105769231</v>
      </c>
      <c r="AW4" s="64">
        <v>578.84848484848487</v>
      </c>
      <c r="AX4" s="64">
        <v>1112.3191111111109</v>
      </c>
      <c r="AY4" s="64">
        <v>753.55272074945185</v>
      </c>
      <c r="AZ4" s="65">
        <f t="shared" ref="AZ4:AZ35" si="0">IFERROR(AVERAGEIFS(D4:AY4,$D$3:$AY$3,"Y",D4:AY4,"&lt;&gt;"),"")</f>
        <v>818.8043261247368</v>
      </c>
      <c r="BA4" s="10">
        <f t="shared" ref="BA4:BA35" si="1">IFERROR(D4-AZ4,"")</f>
        <v>37.717649183905223</v>
      </c>
      <c r="BB4" s="49">
        <f t="shared" ref="BB4:BB35" si="2">IFERROR(COUNTIFS(D4:AY4,"&gt;"&amp;D4,$D$3:$AY$3,"Y",D4:AY4,"&lt;&gt;")+1,"")</f>
        <v>19</v>
      </c>
      <c r="BC4" s="49">
        <f t="shared" ref="BC4:BC35" si="3">COUNTIFS($D$3:$AY$3,"Y",D4:AY4,"&lt;&gt;")</f>
        <v>44</v>
      </c>
    </row>
    <row r="5" spans="1:55" x14ac:dyDescent="0.2">
      <c r="A5" s="62" t="s">
        <v>208</v>
      </c>
      <c r="B5" s="31" t="s">
        <v>78</v>
      </c>
      <c r="C5" s="62">
        <v>42</v>
      </c>
      <c r="D5" s="63">
        <v>843.66915688367123</v>
      </c>
      <c r="E5" s="64">
        <v>660.49611574074083</v>
      </c>
      <c r="F5" s="64"/>
      <c r="G5" s="64">
        <v>816.63636363636363</v>
      </c>
      <c r="H5" s="64">
        <v>267.671875</v>
      </c>
      <c r="I5" s="64">
        <v>950.39130434782612</v>
      </c>
      <c r="J5" s="64">
        <v>46.681415929203538</v>
      </c>
      <c r="K5" s="64">
        <v>616.24222585924713</v>
      </c>
      <c r="L5" s="64">
        <v>737.63666666666666</v>
      </c>
      <c r="M5" s="64">
        <v>456.01614275414568</v>
      </c>
      <c r="N5" s="64">
        <v>425.41458000000011</v>
      </c>
      <c r="O5" s="64">
        <v>685.0362608069164</v>
      </c>
      <c r="P5" s="64">
        <v>649.53264604811</v>
      </c>
      <c r="Q5" s="64">
        <v>791.86801739130431</v>
      </c>
      <c r="R5" s="64">
        <v>489.94862552594668</v>
      </c>
      <c r="S5" s="64">
        <v>592.94304693715196</v>
      </c>
      <c r="T5" s="64">
        <v>687.73483594864479</v>
      </c>
      <c r="U5" s="64">
        <v>565.46275543836521</v>
      </c>
      <c r="V5" s="64">
        <v>573.11313043478265</v>
      </c>
      <c r="W5" s="64">
        <v>343.49943962115242</v>
      </c>
      <c r="X5" s="64">
        <v>223.65323244552059</v>
      </c>
      <c r="Y5" s="64">
        <v>546.47280000000001</v>
      </c>
      <c r="Z5" s="64">
        <v>288.18497611810682</v>
      </c>
      <c r="AA5" s="64">
        <v>543.31721893491124</v>
      </c>
      <c r="AB5" s="64">
        <v>470.58271865121179</v>
      </c>
      <c r="AC5" s="64">
        <v>479.77177105831532</v>
      </c>
      <c r="AD5" s="64">
        <v>353.73539721539731</v>
      </c>
      <c r="AE5" s="64">
        <v>245.2015852842809</v>
      </c>
      <c r="AF5" s="64">
        <v>360.53706377857998</v>
      </c>
      <c r="AG5" s="64">
        <v>803.05395547945193</v>
      </c>
      <c r="AH5" s="64"/>
      <c r="AI5" s="64">
        <v>494.24266920877028</v>
      </c>
      <c r="AJ5" s="64">
        <v>281.10459545454552</v>
      </c>
      <c r="AK5" s="64">
        <v>444.24173131504261</v>
      </c>
      <c r="AL5" s="64"/>
      <c r="AM5" s="64"/>
      <c r="AN5" s="64"/>
      <c r="AO5" s="64">
        <v>414.63782945736432</v>
      </c>
      <c r="AP5" s="64">
        <v>404.79879098360658</v>
      </c>
      <c r="AQ5" s="64">
        <v>559.66117831893166</v>
      </c>
      <c r="AR5" s="64"/>
      <c r="AS5" s="64">
        <v>421.85512530315282</v>
      </c>
      <c r="AT5" s="64">
        <v>656.82971593897946</v>
      </c>
      <c r="AU5" s="64">
        <v>541.02119047619044</v>
      </c>
      <c r="AV5" s="64">
        <v>596.1206263048017</v>
      </c>
      <c r="AW5" s="64">
        <v>211.37874289324071</v>
      </c>
      <c r="AX5" s="64">
        <v>723.32055555555553</v>
      </c>
      <c r="AY5" s="64">
        <v>288.60852495793608</v>
      </c>
      <c r="AZ5" s="65">
        <f t="shared" si="0"/>
        <v>513.15063333581293</v>
      </c>
      <c r="BA5" s="10">
        <f t="shared" si="1"/>
        <v>330.51852354785831</v>
      </c>
      <c r="BB5" s="49">
        <f t="shared" si="2"/>
        <v>2</v>
      </c>
      <c r="BC5" s="49">
        <f t="shared" si="3"/>
        <v>42</v>
      </c>
    </row>
    <row r="6" spans="1:55" x14ac:dyDescent="0.2">
      <c r="A6" s="62" t="s">
        <v>357</v>
      </c>
      <c r="B6" s="31" t="s">
        <v>76</v>
      </c>
      <c r="C6" s="62">
        <v>39</v>
      </c>
      <c r="D6" s="63">
        <v>661.03168685927312</v>
      </c>
      <c r="E6" s="64">
        <v>761.30342569269521</v>
      </c>
      <c r="F6" s="64"/>
      <c r="G6" s="64">
        <v>1918.464678178964</v>
      </c>
      <c r="H6" s="64"/>
      <c r="I6" s="64">
        <v>1038.8516746411481</v>
      </c>
      <c r="J6" s="64">
        <v>90.082644628099175</v>
      </c>
      <c r="K6" s="64">
        <v>936.09943977591035</v>
      </c>
      <c r="L6" s="64">
        <v>2514.5008547008551</v>
      </c>
      <c r="M6" s="64">
        <v>1110.594003590664</v>
      </c>
      <c r="N6" s="64">
        <v>3135.8882666666668</v>
      </c>
      <c r="O6" s="64">
        <v>1386.808003802282</v>
      </c>
      <c r="P6" s="64">
        <v>1019.09534368071</v>
      </c>
      <c r="Q6" s="64">
        <v>1032.2676230899831</v>
      </c>
      <c r="R6" s="64">
        <v>559.86278409090903</v>
      </c>
      <c r="S6" s="64">
        <v>1089.105552238806</v>
      </c>
      <c r="T6" s="64">
        <v>1189.6371460674161</v>
      </c>
      <c r="U6" s="64">
        <v>516.85175438596491</v>
      </c>
      <c r="V6" s="64">
        <v>1453.6172307692309</v>
      </c>
      <c r="W6" s="64">
        <v>559.73650912106132</v>
      </c>
      <c r="X6" s="64">
        <v>331.05008187134501</v>
      </c>
      <c r="Y6" s="64"/>
      <c r="Z6" s="64">
        <v>478.56601466992657</v>
      </c>
      <c r="AA6" s="64">
        <v>838.01713124274102</v>
      </c>
      <c r="AB6" s="64"/>
      <c r="AC6" s="64">
        <v>1463.2067857142861</v>
      </c>
      <c r="AD6" s="64">
        <v>1705.1853333333329</v>
      </c>
      <c r="AE6" s="64">
        <v>1355.4780125</v>
      </c>
      <c r="AF6" s="64">
        <v>1839.0334</v>
      </c>
      <c r="AG6" s="64">
        <v>749.66908977556125</v>
      </c>
      <c r="AH6" s="64"/>
      <c r="AI6" s="64">
        <v>1012.097085714286</v>
      </c>
      <c r="AJ6" s="64"/>
      <c r="AK6" s="64">
        <v>600.27890688259106</v>
      </c>
      <c r="AL6" s="64"/>
      <c r="AM6" s="64">
        <v>1363.043984641638</v>
      </c>
      <c r="AN6" s="64">
        <v>953.26352705410818</v>
      </c>
      <c r="AO6" s="64">
        <v>678.4656645851918</v>
      </c>
      <c r="AP6" s="64"/>
      <c r="AQ6" s="64">
        <v>648.09184466019417</v>
      </c>
      <c r="AR6" s="64">
        <v>506.72375</v>
      </c>
      <c r="AS6" s="64">
        <v>1181.5642093784079</v>
      </c>
      <c r="AT6" s="64">
        <v>2411.8732812500002</v>
      </c>
      <c r="AU6" s="64">
        <v>846.2881024447031</v>
      </c>
      <c r="AV6" s="64">
        <v>1409.386878881988</v>
      </c>
      <c r="AW6" s="64">
        <v>599.45155072463774</v>
      </c>
      <c r="AX6" s="64">
        <v>832.62966601178778</v>
      </c>
      <c r="AY6" s="64"/>
      <c r="AZ6" s="65">
        <f t="shared" si="0"/>
        <v>1096.8503313671119</v>
      </c>
      <c r="BA6" s="10">
        <f t="shared" si="1"/>
        <v>-435.81864450783883</v>
      </c>
      <c r="BB6" s="49">
        <f t="shared" si="2"/>
        <v>29</v>
      </c>
      <c r="BC6" s="49">
        <f t="shared" si="3"/>
        <v>39</v>
      </c>
    </row>
    <row r="7" spans="1:55" x14ac:dyDescent="0.2">
      <c r="A7" s="62" t="s">
        <v>277</v>
      </c>
      <c r="B7" s="31" t="s">
        <v>76</v>
      </c>
      <c r="C7" s="62">
        <v>38</v>
      </c>
      <c r="D7" s="63">
        <v>1033.0213333333329</v>
      </c>
      <c r="E7" s="64">
        <v>627.00381999999991</v>
      </c>
      <c r="F7" s="64"/>
      <c r="G7" s="64">
        <v>919.71660649819489</v>
      </c>
      <c r="H7" s="64"/>
      <c r="I7" s="64">
        <v>2092.0608885298871</v>
      </c>
      <c r="J7" s="64">
        <v>88.888888888888886</v>
      </c>
      <c r="K7" s="64"/>
      <c r="L7" s="64">
        <v>790.86811594202902</v>
      </c>
      <c r="M7" s="64">
        <v>967.62856716417912</v>
      </c>
      <c r="N7" s="64">
        <v>431.01488000000001</v>
      </c>
      <c r="O7" s="64">
        <v>504.46063178047228</v>
      </c>
      <c r="P7" s="64">
        <v>1321.586387434555</v>
      </c>
      <c r="Q7" s="64">
        <v>939.07559297218154</v>
      </c>
      <c r="R7" s="64">
        <v>984.14672910662819</v>
      </c>
      <c r="S7" s="64">
        <v>1206.2504986522911</v>
      </c>
      <c r="T7" s="64">
        <v>982.71019209039537</v>
      </c>
      <c r="U7" s="64">
        <v>1174.269980506823</v>
      </c>
      <c r="V7" s="64">
        <v>868.84287371133996</v>
      </c>
      <c r="W7" s="64">
        <v>722.5338888888889</v>
      </c>
      <c r="X7" s="64"/>
      <c r="Y7" s="64"/>
      <c r="Z7" s="64">
        <v>384.48635936030098</v>
      </c>
      <c r="AA7" s="64">
        <v>359.62236974789909</v>
      </c>
      <c r="AB7" s="64">
        <v>589.3099345627603</v>
      </c>
      <c r="AC7" s="64">
        <v>632.80920000000003</v>
      </c>
      <c r="AD7" s="64">
        <v>1040.1592698706099</v>
      </c>
      <c r="AE7" s="64"/>
      <c r="AF7" s="64">
        <v>1019.479426111908</v>
      </c>
      <c r="AG7" s="64">
        <v>1825.3767133956389</v>
      </c>
      <c r="AH7" s="64"/>
      <c r="AI7" s="64">
        <v>875.02265500794908</v>
      </c>
      <c r="AJ7" s="64">
        <v>929.79284259259259</v>
      </c>
      <c r="AK7" s="64">
        <v>923.57179327521794</v>
      </c>
      <c r="AL7" s="64">
        <v>1210.223175965665</v>
      </c>
      <c r="AM7" s="64"/>
      <c r="AN7" s="64">
        <v>305.56917688266202</v>
      </c>
      <c r="AO7" s="64">
        <v>420.96458737864077</v>
      </c>
      <c r="AP7" s="64">
        <v>413.41614285714292</v>
      </c>
      <c r="AQ7" s="64">
        <v>527.84720625</v>
      </c>
      <c r="AR7" s="64"/>
      <c r="AS7" s="64">
        <v>869.86139980824544</v>
      </c>
      <c r="AT7" s="64">
        <v>701.52061578490895</v>
      </c>
      <c r="AU7" s="64">
        <v>1019.04333676622</v>
      </c>
      <c r="AV7" s="64">
        <v>901.87235380116965</v>
      </c>
      <c r="AW7" s="64">
        <v>668.09014981273413</v>
      </c>
      <c r="AX7" s="64"/>
      <c r="AY7" s="64">
        <v>772.25347758887176</v>
      </c>
      <c r="AZ7" s="65">
        <f t="shared" si="0"/>
        <v>843.27294900845322</v>
      </c>
      <c r="BA7" s="10">
        <f t="shared" si="1"/>
        <v>189.74838432487968</v>
      </c>
      <c r="BB7" s="49">
        <f t="shared" si="2"/>
        <v>8</v>
      </c>
      <c r="BC7" s="49">
        <f t="shared" si="3"/>
        <v>38</v>
      </c>
    </row>
    <row r="8" spans="1:55" x14ac:dyDescent="0.2">
      <c r="A8" s="62" t="s">
        <v>321</v>
      </c>
      <c r="B8" s="31" t="s">
        <v>78</v>
      </c>
      <c r="C8" s="62">
        <v>38</v>
      </c>
      <c r="D8" s="63">
        <v>1262.8492307692311</v>
      </c>
      <c r="E8" s="64">
        <v>2548.264812575575</v>
      </c>
      <c r="F8" s="64"/>
      <c r="G8" s="64">
        <v>2195.9755102040822</v>
      </c>
      <c r="H8" s="64"/>
      <c r="I8" s="64">
        <v>2025.322727272727</v>
      </c>
      <c r="J8" s="64">
        <v>126.85284640171859</v>
      </c>
      <c r="K8" s="64">
        <v>1038.855333333333</v>
      </c>
      <c r="L8" s="64">
        <v>2298.087011349307</v>
      </c>
      <c r="M8" s="64">
        <v>1978.930461095101</v>
      </c>
      <c r="N8" s="64">
        <v>2585.305412371134</v>
      </c>
      <c r="O8" s="64">
        <v>1879.0738116591931</v>
      </c>
      <c r="P8" s="64">
        <v>4177.38</v>
      </c>
      <c r="Q8" s="64">
        <v>1161.5876520509189</v>
      </c>
      <c r="R8" s="64"/>
      <c r="S8" s="64">
        <v>1723.476516634051</v>
      </c>
      <c r="T8" s="64">
        <v>1448.09404568902</v>
      </c>
      <c r="U8" s="64">
        <v>3563.077966101695</v>
      </c>
      <c r="V8" s="64">
        <v>1387.999220430107</v>
      </c>
      <c r="W8" s="64">
        <v>1980.591328806983</v>
      </c>
      <c r="X8" s="64"/>
      <c r="Y8" s="64">
        <v>1034.3450531479971</v>
      </c>
      <c r="Z8" s="64">
        <v>1231.57384341637</v>
      </c>
      <c r="AA8" s="64">
        <v>899.45375401560352</v>
      </c>
      <c r="AB8" s="64"/>
      <c r="AC8" s="64">
        <v>3259.28665</v>
      </c>
      <c r="AD8" s="64">
        <v>1826.3572944785269</v>
      </c>
      <c r="AE8" s="64"/>
      <c r="AF8" s="64"/>
      <c r="AG8" s="64">
        <v>1469.572593068036</v>
      </c>
      <c r="AH8" s="64"/>
      <c r="AI8" s="64">
        <v>1699.7613305785119</v>
      </c>
      <c r="AJ8" s="64">
        <v>1974.8587</v>
      </c>
      <c r="AK8" s="64">
        <v>1633.33590738423</v>
      </c>
      <c r="AL8" s="64">
        <v>976.52699784017284</v>
      </c>
      <c r="AM8" s="64"/>
      <c r="AN8" s="64">
        <v>2141.8919999999998</v>
      </c>
      <c r="AO8" s="64">
        <v>1541.1733065693429</v>
      </c>
      <c r="AP8" s="64">
        <v>342.50316602316599</v>
      </c>
      <c r="AQ8" s="64">
        <v>1840.7971034996281</v>
      </c>
      <c r="AR8" s="64"/>
      <c r="AS8" s="64">
        <v>2020.081932287366</v>
      </c>
      <c r="AT8" s="64">
        <v>2397.5970000000002</v>
      </c>
      <c r="AU8" s="64">
        <v>1973.7358632478631</v>
      </c>
      <c r="AV8" s="64">
        <v>1957.3910027100269</v>
      </c>
      <c r="AW8" s="64">
        <v>1189.204900953778</v>
      </c>
      <c r="AX8" s="64">
        <v>3635.6062499999998</v>
      </c>
      <c r="AY8" s="64">
        <v>2087.389285714286</v>
      </c>
      <c r="AZ8" s="65">
        <f t="shared" si="0"/>
        <v>1855.635995307345</v>
      </c>
      <c r="BA8" s="10">
        <f t="shared" si="1"/>
        <v>-592.78676453811386</v>
      </c>
      <c r="BB8" s="49">
        <f t="shared" si="2"/>
        <v>29</v>
      </c>
      <c r="BC8" s="49">
        <f t="shared" si="3"/>
        <v>38</v>
      </c>
    </row>
    <row r="9" spans="1:55" x14ac:dyDescent="0.2">
      <c r="A9" s="62" t="s">
        <v>267</v>
      </c>
      <c r="B9" s="31" t="s">
        <v>77</v>
      </c>
      <c r="C9" s="62">
        <v>37</v>
      </c>
      <c r="D9" s="63">
        <v>1075.26719415703</v>
      </c>
      <c r="E9" s="64">
        <v>437.25231439525959</v>
      </c>
      <c r="F9" s="64"/>
      <c r="G9" s="64">
        <v>1227.466889632107</v>
      </c>
      <c r="H9" s="64"/>
      <c r="I9" s="64">
        <v>1009.531266702298</v>
      </c>
      <c r="J9" s="64">
        <v>43.450479233226837</v>
      </c>
      <c r="K9" s="64"/>
      <c r="L9" s="64">
        <v>415.12735849056611</v>
      </c>
      <c r="M9" s="64">
        <v>607.37485294117641</v>
      </c>
      <c r="N9" s="64">
        <v>946.51522812667758</v>
      </c>
      <c r="O9" s="64">
        <v>702.48235242676003</v>
      </c>
      <c r="P9" s="64">
        <v>781.74500344589933</v>
      </c>
      <c r="Q9" s="64">
        <v>334.64490000000001</v>
      </c>
      <c r="R9" s="64">
        <v>426.36653333333328</v>
      </c>
      <c r="S9" s="64">
        <v>498.46943101524732</v>
      </c>
      <c r="T9" s="64">
        <v>484.02438254772107</v>
      </c>
      <c r="U9" s="64">
        <v>1024.7918749999999</v>
      </c>
      <c r="V9" s="64">
        <v>858.16612223393054</v>
      </c>
      <c r="W9" s="64">
        <v>381.06767634854759</v>
      </c>
      <c r="X9" s="64"/>
      <c r="Y9" s="64"/>
      <c r="Z9" s="64">
        <v>563.54200178731014</v>
      </c>
      <c r="AA9" s="64">
        <v>345.24316646316652</v>
      </c>
      <c r="AB9" s="64"/>
      <c r="AC9" s="64">
        <v>1187.3068539325841</v>
      </c>
      <c r="AD9" s="64">
        <v>581.69592184724695</v>
      </c>
      <c r="AE9" s="64"/>
      <c r="AF9" s="64">
        <v>635.13865224625636</v>
      </c>
      <c r="AG9" s="64">
        <v>813.0725342465754</v>
      </c>
      <c r="AH9" s="64"/>
      <c r="AI9" s="64">
        <v>780.34929879974732</v>
      </c>
      <c r="AJ9" s="64">
        <v>471.98738600212079</v>
      </c>
      <c r="AK9" s="64">
        <v>590.59284032030155</v>
      </c>
      <c r="AL9" s="64">
        <v>503.41703056768557</v>
      </c>
      <c r="AM9" s="64"/>
      <c r="AN9" s="64">
        <v>474.85801104972381</v>
      </c>
      <c r="AO9" s="64">
        <v>533.10426902336735</v>
      </c>
      <c r="AP9" s="64">
        <v>409.97796882610811</v>
      </c>
      <c r="AQ9" s="64">
        <v>488.99629451780709</v>
      </c>
      <c r="AR9" s="64"/>
      <c r="AS9" s="64">
        <v>506.76406188605108</v>
      </c>
      <c r="AT9" s="64">
        <v>616.56778222578066</v>
      </c>
      <c r="AU9" s="64"/>
      <c r="AV9" s="64">
        <v>774.2817305107526</v>
      </c>
      <c r="AW9" s="64">
        <v>434.81636312849162</v>
      </c>
      <c r="AX9" s="64">
        <v>857.15344311377248</v>
      </c>
      <c r="AY9" s="64">
        <v>391.66478029294268</v>
      </c>
      <c r="AZ9" s="65">
        <f t="shared" si="0"/>
        <v>627.4128175896642</v>
      </c>
      <c r="BA9" s="10">
        <f t="shared" si="1"/>
        <v>447.85437656736576</v>
      </c>
      <c r="BB9" s="49">
        <f t="shared" si="2"/>
        <v>3</v>
      </c>
      <c r="BC9" s="49">
        <f t="shared" si="3"/>
        <v>37</v>
      </c>
    </row>
    <row r="10" spans="1:55" x14ac:dyDescent="0.2">
      <c r="A10" s="62" t="s">
        <v>173</v>
      </c>
      <c r="B10" s="31" t="s">
        <v>80</v>
      </c>
      <c r="C10" s="62">
        <v>36</v>
      </c>
      <c r="D10" s="63">
        <v>1187.464126984127</v>
      </c>
      <c r="E10" s="64">
        <v>1632.5356798245609</v>
      </c>
      <c r="F10" s="64"/>
      <c r="G10" s="64">
        <v>2415.3670411985022</v>
      </c>
      <c r="H10" s="64"/>
      <c r="I10" s="64">
        <v>3844.135416666667</v>
      </c>
      <c r="J10" s="64">
        <v>163.91982182628061</v>
      </c>
      <c r="K10" s="64"/>
      <c r="L10" s="64">
        <v>9386.82</v>
      </c>
      <c r="M10" s="64">
        <v>6192.1735648148151</v>
      </c>
      <c r="N10" s="64">
        <v>1236.4140625</v>
      </c>
      <c r="O10" s="64">
        <v>3478.0592592592589</v>
      </c>
      <c r="P10" s="64">
        <v>2780.8880994671399</v>
      </c>
      <c r="Q10" s="64">
        <v>3293.09</v>
      </c>
      <c r="R10" s="64">
        <v>2377.390962671906</v>
      </c>
      <c r="S10" s="64">
        <v>1035.099022038567</v>
      </c>
      <c r="T10" s="64">
        <v>4694.0811363636367</v>
      </c>
      <c r="U10" s="64">
        <v>1278.5881383855019</v>
      </c>
      <c r="V10" s="64">
        <v>4790.6942631578959</v>
      </c>
      <c r="W10" s="64">
        <v>4954.3532499999992</v>
      </c>
      <c r="X10" s="64"/>
      <c r="Y10" s="64"/>
      <c r="Z10" s="64">
        <v>1026.1035940803381</v>
      </c>
      <c r="AA10" s="64">
        <v>756.87861538461527</v>
      </c>
      <c r="AB10" s="64">
        <v>1904.595009596929</v>
      </c>
      <c r="AC10" s="64">
        <v>1046.7077594936709</v>
      </c>
      <c r="AD10" s="64">
        <v>3441.577777777778</v>
      </c>
      <c r="AE10" s="64"/>
      <c r="AF10" s="64">
        <v>960.74408950617305</v>
      </c>
      <c r="AG10" s="64">
        <v>4009.7249999999999</v>
      </c>
      <c r="AH10" s="64"/>
      <c r="AI10" s="64">
        <v>4850.4592129629636</v>
      </c>
      <c r="AJ10" s="64">
        <v>2564.8249999999998</v>
      </c>
      <c r="AK10" s="64"/>
      <c r="AL10" s="64">
        <v>12087.12</v>
      </c>
      <c r="AM10" s="64"/>
      <c r="AN10" s="64"/>
      <c r="AO10" s="64">
        <v>4183.6277500000006</v>
      </c>
      <c r="AP10" s="64">
        <v>356.67881303335918</v>
      </c>
      <c r="AQ10" s="64">
        <v>3430.4196363636361</v>
      </c>
      <c r="AR10" s="64"/>
      <c r="AS10" s="64">
        <v>1087.5896415094339</v>
      </c>
      <c r="AT10" s="64">
        <v>3550.1908101265831</v>
      </c>
      <c r="AU10" s="64">
        <v>1176.159955237242</v>
      </c>
      <c r="AV10" s="64">
        <v>3041.3363214285719</v>
      </c>
      <c r="AW10" s="64">
        <v>1481.9542702702699</v>
      </c>
      <c r="AX10" s="64">
        <v>623.83130699088144</v>
      </c>
      <c r="AY10" s="64"/>
      <c r="AZ10" s="65">
        <f t="shared" si="0"/>
        <v>2953.3777335811469</v>
      </c>
      <c r="BA10" s="10">
        <f t="shared" si="1"/>
        <v>-1765.9136065970199</v>
      </c>
      <c r="BB10" s="49">
        <f t="shared" si="2"/>
        <v>26</v>
      </c>
      <c r="BC10" s="49">
        <f t="shared" si="3"/>
        <v>36</v>
      </c>
    </row>
    <row r="11" spans="1:55" x14ac:dyDescent="0.2">
      <c r="A11" s="62" t="s">
        <v>398</v>
      </c>
      <c r="B11" s="31" t="s">
        <v>76</v>
      </c>
      <c r="C11" s="62">
        <v>36</v>
      </c>
      <c r="D11" s="63">
        <v>592.33268733850127</v>
      </c>
      <c r="E11" s="64">
        <v>270.75068205666321</v>
      </c>
      <c r="F11" s="64"/>
      <c r="G11" s="64">
        <v>853.85562965868974</v>
      </c>
      <c r="H11" s="64"/>
      <c r="I11" s="64">
        <v>508.76123595505618</v>
      </c>
      <c r="J11" s="64">
        <v>19.711004075583549</v>
      </c>
      <c r="K11" s="64"/>
      <c r="L11" s="64">
        <v>396.91982427237781</v>
      </c>
      <c r="M11" s="64">
        <v>243.74051934471939</v>
      </c>
      <c r="N11" s="64">
        <v>259.17603169469601</v>
      </c>
      <c r="O11" s="64">
        <v>298.5834294649062</v>
      </c>
      <c r="P11" s="64">
        <v>685.27112232030265</v>
      </c>
      <c r="Q11" s="64">
        <v>433.63316674675639</v>
      </c>
      <c r="R11" s="64">
        <v>395.70288440860207</v>
      </c>
      <c r="S11" s="64">
        <v>350.99785602011951</v>
      </c>
      <c r="T11" s="64">
        <v>338.88736652472983</v>
      </c>
      <c r="U11" s="64">
        <v>697.9186666666667</v>
      </c>
      <c r="V11" s="64">
        <v>318.70533928571427</v>
      </c>
      <c r="W11" s="64">
        <v>322.85594576271188</v>
      </c>
      <c r="X11" s="64"/>
      <c r="Y11" s="64"/>
      <c r="Z11" s="64">
        <v>271.2787668258793</v>
      </c>
      <c r="AA11" s="64">
        <v>161.8927202173069</v>
      </c>
      <c r="AB11" s="64"/>
      <c r="AC11" s="64">
        <v>481.31716999999998</v>
      </c>
      <c r="AD11" s="64"/>
      <c r="AE11" s="64"/>
      <c r="AF11" s="64">
        <v>360.01211571463591</v>
      </c>
      <c r="AG11" s="64">
        <v>557.61535677352629</v>
      </c>
      <c r="AH11" s="64"/>
      <c r="AI11" s="64">
        <v>341.32082413249208</v>
      </c>
      <c r="AJ11" s="64">
        <v>199.14636666666669</v>
      </c>
      <c r="AK11" s="64">
        <v>277.52634823359767</v>
      </c>
      <c r="AL11" s="64">
        <v>374.6473087818697</v>
      </c>
      <c r="AM11" s="64"/>
      <c r="AN11" s="64">
        <v>190.97710516103999</v>
      </c>
      <c r="AO11" s="64">
        <v>243.34746735395191</v>
      </c>
      <c r="AP11" s="64">
        <v>346.67935408560311</v>
      </c>
      <c r="AQ11" s="64">
        <v>257.85828076923082</v>
      </c>
      <c r="AR11" s="64"/>
      <c r="AS11" s="64">
        <v>237.51448369565219</v>
      </c>
      <c r="AT11" s="64">
        <v>445.42654591104741</v>
      </c>
      <c r="AU11" s="64">
        <v>359.27117757712568</v>
      </c>
      <c r="AV11" s="64">
        <v>443.97491200000002</v>
      </c>
      <c r="AW11" s="64">
        <v>170.62646250927989</v>
      </c>
      <c r="AX11" s="64"/>
      <c r="AY11" s="64">
        <v>208.6640851887706</v>
      </c>
      <c r="AZ11" s="65">
        <f t="shared" si="0"/>
        <v>358.80278453317976</v>
      </c>
      <c r="BA11" s="10">
        <f t="shared" si="1"/>
        <v>233.52990280532151</v>
      </c>
      <c r="BB11" s="49">
        <f t="shared" si="2"/>
        <v>4</v>
      </c>
      <c r="BC11" s="49">
        <f t="shared" si="3"/>
        <v>36</v>
      </c>
    </row>
    <row r="12" spans="1:55" x14ac:dyDescent="0.2">
      <c r="A12" s="62" t="s">
        <v>392</v>
      </c>
      <c r="B12" s="31" t="s">
        <v>76</v>
      </c>
      <c r="C12" s="62">
        <v>35</v>
      </c>
      <c r="D12" s="63">
        <v>292.87555050433298</v>
      </c>
      <c r="E12" s="64">
        <v>359.64091743119258</v>
      </c>
      <c r="F12" s="64"/>
      <c r="G12" s="64">
        <v>553.67548792590139</v>
      </c>
      <c r="H12" s="64"/>
      <c r="I12" s="64">
        <v>672.87356051703875</v>
      </c>
      <c r="J12" s="64">
        <v>20.890635232481991</v>
      </c>
      <c r="K12" s="64"/>
      <c r="L12" s="64">
        <v>320.54887218045121</v>
      </c>
      <c r="M12" s="64">
        <v>187.07100809716599</v>
      </c>
      <c r="N12" s="64">
        <v>385.223290585835</v>
      </c>
      <c r="O12" s="64">
        <v>352.2782700948577</v>
      </c>
      <c r="P12" s="64">
        <v>569.56615384615384</v>
      </c>
      <c r="Q12" s="64">
        <v>345.11337142857138</v>
      </c>
      <c r="R12" s="64">
        <v>424.99668666666668</v>
      </c>
      <c r="S12" s="64">
        <v>260.32329678470882</v>
      </c>
      <c r="T12" s="64">
        <v>339.97680488425328</v>
      </c>
      <c r="U12" s="64">
        <v>281.04841321243521</v>
      </c>
      <c r="V12" s="64">
        <v>424.0198270975057</v>
      </c>
      <c r="W12" s="64">
        <v>356.22796590101819</v>
      </c>
      <c r="X12" s="64"/>
      <c r="Y12" s="64"/>
      <c r="Z12" s="64">
        <v>136.517614091273</v>
      </c>
      <c r="AA12" s="64">
        <v>312.03728600642711</v>
      </c>
      <c r="AB12" s="64"/>
      <c r="AC12" s="64">
        <v>397.79169605568438</v>
      </c>
      <c r="AD12" s="64">
        <v>353.03591748413152</v>
      </c>
      <c r="AE12" s="64"/>
      <c r="AF12" s="64">
        <v>207.05763365468891</v>
      </c>
      <c r="AG12" s="64">
        <v>357.00794243421052</v>
      </c>
      <c r="AH12" s="64"/>
      <c r="AI12" s="64">
        <v>328.66732956152748</v>
      </c>
      <c r="AJ12" s="64">
        <v>401.9104679050082</v>
      </c>
      <c r="AK12" s="64">
        <v>231.5450343760742</v>
      </c>
      <c r="AL12" s="64">
        <v>343.01396812905762</v>
      </c>
      <c r="AM12" s="64"/>
      <c r="AN12" s="64"/>
      <c r="AO12" s="64">
        <v>411.43147636162558</v>
      </c>
      <c r="AP12" s="64"/>
      <c r="AQ12" s="64">
        <v>199.3450751215201</v>
      </c>
      <c r="AR12" s="64"/>
      <c r="AS12" s="64">
        <v>260.85192773892783</v>
      </c>
      <c r="AT12" s="64">
        <v>404.71067749419962</v>
      </c>
      <c r="AU12" s="64">
        <v>348.98356746252091</v>
      </c>
      <c r="AV12" s="64">
        <v>369.6742496801316</v>
      </c>
      <c r="AW12" s="64">
        <v>223.8856355555555</v>
      </c>
      <c r="AX12" s="64"/>
      <c r="AY12" s="64">
        <v>322.82908822443699</v>
      </c>
      <c r="AZ12" s="65">
        <f t="shared" si="0"/>
        <v>335.90419142078787</v>
      </c>
      <c r="BA12" s="10">
        <f t="shared" si="1"/>
        <v>-43.02864091645489</v>
      </c>
      <c r="BB12" s="49">
        <f t="shared" si="2"/>
        <v>25</v>
      </c>
      <c r="BC12" s="49">
        <f t="shared" si="3"/>
        <v>35</v>
      </c>
    </row>
    <row r="13" spans="1:55" x14ac:dyDescent="0.2">
      <c r="A13" s="62" t="s">
        <v>169</v>
      </c>
      <c r="B13" s="31" t="s">
        <v>76</v>
      </c>
      <c r="C13" s="62">
        <v>34</v>
      </c>
      <c r="D13" s="63">
        <v>420.91530347041743</v>
      </c>
      <c r="E13" s="64"/>
      <c r="F13" s="64"/>
      <c r="G13" s="64">
        <v>502.21220266093269</v>
      </c>
      <c r="H13" s="64"/>
      <c r="I13" s="64">
        <v>710.9816041122715</v>
      </c>
      <c r="J13" s="64"/>
      <c r="K13" s="64"/>
      <c r="L13" s="64">
        <v>617.6001818181818</v>
      </c>
      <c r="M13" s="64">
        <v>530.1926425965047</v>
      </c>
      <c r="N13" s="64">
        <v>507.91398476580258</v>
      </c>
      <c r="O13" s="64">
        <v>546.9179891781223</v>
      </c>
      <c r="P13" s="64">
        <v>794.2920962199313</v>
      </c>
      <c r="Q13" s="64">
        <v>409.53707342189273</v>
      </c>
      <c r="R13" s="64">
        <v>845.03281755457522</v>
      </c>
      <c r="S13" s="64"/>
      <c r="T13" s="64">
        <v>661.75672944418932</v>
      </c>
      <c r="U13" s="64">
        <v>395.61650165016499</v>
      </c>
      <c r="V13" s="64">
        <v>663.94168614546697</v>
      </c>
      <c r="W13" s="64">
        <v>677.58516333333341</v>
      </c>
      <c r="X13" s="64">
        <v>276.73278292461401</v>
      </c>
      <c r="Y13" s="64"/>
      <c r="Z13" s="64">
        <v>548.23015276734282</v>
      </c>
      <c r="AA13" s="64">
        <v>512.86553691645508</v>
      </c>
      <c r="AB13" s="64"/>
      <c r="AC13" s="64">
        <v>308.22774924738798</v>
      </c>
      <c r="AD13" s="64"/>
      <c r="AE13" s="64"/>
      <c r="AF13" s="64">
        <v>431.72920181818182</v>
      </c>
      <c r="AG13" s="64">
        <v>583.80340886130762</v>
      </c>
      <c r="AH13" s="64"/>
      <c r="AI13" s="64">
        <v>317.09377239977829</v>
      </c>
      <c r="AJ13" s="64">
        <v>394.32794429409108</v>
      </c>
      <c r="AK13" s="64"/>
      <c r="AL13" s="64">
        <v>354.59679334916859</v>
      </c>
      <c r="AM13" s="64"/>
      <c r="AN13" s="64">
        <v>292.64166666666671</v>
      </c>
      <c r="AO13" s="64">
        <v>432.60840619726957</v>
      </c>
      <c r="AP13" s="64">
        <v>250.9701452444167</v>
      </c>
      <c r="AQ13" s="64">
        <v>571.08437777777783</v>
      </c>
      <c r="AR13" s="64"/>
      <c r="AS13" s="64">
        <v>382.31101599558741</v>
      </c>
      <c r="AT13" s="64">
        <v>1024.81083283671</v>
      </c>
      <c r="AU13" s="64">
        <v>455.69125938692599</v>
      </c>
      <c r="AV13" s="64">
        <v>866.47957336320133</v>
      </c>
      <c r="AW13" s="64">
        <v>333.47472516389303</v>
      </c>
      <c r="AX13" s="64">
        <v>581.76894223555894</v>
      </c>
      <c r="AY13" s="64">
        <v>669.71434712520147</v>
      </c>
      <c r="AZ13" s="65">
        <f t="shared" si="0"/>
        <v>525.69584149833292</v>
      </c>
      <c r="BA13" s="10">
        <f t="shared" si="1"/>
        <v>-104.7805380279155</v>
      </c>
      <c r="BB13" s="49">
        <f t="shared" si="2"/>
        <v>23</v>
      </c>
      <c r="BC13" s="49">
        <f t="shared" si="3"/>
        <v>34</v>
      </c>
    </row>
    <row r="14" spans="1:55" x14ac:dyDescent="0.2">
      <c r="A14" s="62" t="s">
        <v>256</v>
      </c>
      <c r="B14" s="31" t="s">
        <v>76</v>
      </c>
      <c r="C14" s="62">
        <v>34</v>
      </c>
      <c r="D14" s="63">
        <v>860.06689287445465</v>
      </c>
      <c r="E14" s="64">
        <v>382.21666666666658</v>
      </c>
      <c r="F14" s="64"/>
      <c r="G14" s="64">
        <v>866.3853572994301</v>
      </c>
      <c r="H14" s="64"/>
      <c r="I14" s="64">
        <v>1211.6507389162559</v>
      </c>
      <c r="J14" s="64">
        <v>34.654788418708243</v>
      </c>
      <c r="K14" s="64"/>
      <c r="L14" s="64">
        <v>605.0468397291196</v>
      </c>
      <c r="M14" s="64">
        <v>579.61182819383259</v>
      </c>
      <c r="N14" s="64">
        <v>503.74297329376861</v>
      </c>
      <c r="O14" s="64">
        <v>545.00086302057196</v>
      </c>
      <c r="P14" s="64"/>
      <c r="Q14" s="64">
        <v>839.20403783783797</v>
      </c>
      <c r="R14" s="64">
        <v>776.44529264632308</v>
      </c>
      <c r="S14" s="64">
        <v>933.5464208389717</v>
      </c>
      <c r="T14" s="64">
        <v>952.95583333333332</v>
      </c>
      <c r="U14" s="64">
        <v>480.94167904903418</v>
      </c>
      <c r="V14" s="64">
        <v>867.90187994722953</v>
      </c>
      <c r="W14" s="64">
        <v>742.24180105501125</v>
      </c>
      <c r="X14" s="64"/>
      <c r="Y14" s="64"/>
      <c r="Z14" s="64">
        <v>562.38579301898346</v>
      </c>
      <c r="AA14" s="64">
        <v>449.05681666666669</v>
      </c>
      <c r="AB14" s="64"/>
      <c r="AC14" s="64">
        <v>731.98571040108766</v>
      </c>
      <c r="AD14" s="64">
        <v>560.20790666666676</v>
      </c>
      <c r="AE14" s="64"/>
      <c r="AF14" s="64">
        <v>298.91411532951292</v>
      </c>
      <c r="AG14" s="64">
        <v>1038.85535049288</v>
      </c>
      <c r="AH14" s="64"/>
      <c r="AI14" s="64"/>
      <c r="AJ14" s="64">
        <v>548.04447701532308</v>
      </c>
      <c r="AK14" s="64">
        <v>284.89822695035463</v>
      </c>
      <c r="AL14" s="64">
        <v>725.26630434782612</v>
      </c>
      <c r="AM14" s="64"/>
      <c r="AN14" s="64">
        <v>143.85275490816969</v>
      </c>
      <c r="AO14" s="64">
        <v>742.26081507896072</v>
      </c>
      <c r="AP14" s="64"/>
      <c r="AQ14" s="64">
        <v>444.82487567040471</v>
      </c>
      <c r="AR14" s="64"/>
      <c r="AS14" s="64">
        <v>638.94805239179959</v>
      </c>
      <c r="AT14" s="64"/>
      <c r="AU14" s="64">
        <v>699.38253106605623</v>
      </c>
      <c r="AV14" s="64">
        <v>816.48037106918252</v>
      </c>
      <c r="AW14" s="64">
        <v>481.69544309701502</v>
      </c>
      <c r="AX14" s="64">
        <v>770.77315914489316</v>
      </c>
      <c r="AY14" s="64">
        <v>456.13098086124398</v>
      </c>
      <c r="AZ14" s="65">
        <f t="shared" si="0"/>
        <v>634.57581109698754</v>
      </c>
      <c r="BA14" s="10">
        <f t="shared" si="1"/>
        <v>225.49108177746712</v>
      </c>
      <c r="BB14" s="49">
        <f t="shared" si="2"/>
        <v>7</v>
      </c>
      <c r="BC14" s="49">
        <f t="shared" si="3"/>
        <v>34</v>
      </c>
    </row>
    <row r="15" spans="1:55" x14ac:dyDescent="0.2">
      <c r="A15" s="62" t="s">
        <v>271</v>
      </c>
      <c r="B15" s="31" t="s">
        <v>78</v>
      </c>
      <c r="C15" s="62">
        <v>34</v>
      </c>
      <c r="D15" s="63">
        <v>1560.7839793281651</v>
      </c>
      <c r="E15" s="64">
        <v>1381.558948905109</v>
      </c>
      <c r="F15" s="64"/>
      <c r="G15" s="64">
        <v>2076.1010962241171</v>
      </c>
      <c r="H15" s="64"/>
      <c r="I15" s="64">
        <v>1960.584980237154</v>
      </c>
      <c r="J15" s="64">
        <v>111.2442396313364</v>
      </c>
      <c r="K15" s="64"/>
      <c r="L15" s="64">
        <v>1369.7265500794911</v>
      </c>
      <c r="M15" s="64">
        <v>1713.0586291850921</v>
      </c>
      <c r="N15" s="64">
        <v>2171.5730977620728</v>
      </c>
      <c r="O15" s="64">
        <v>1129.984375</v>
      </c>
      <c r="P15" s="64">
        <v>2706.2060766182299</v>
      </c>
      <c r="Q15" s="64">
        <v>2061.3782822410149</v>
      </c>
      <c r="R15" s="64">
        <v>1256.9782316731951</v>
      </c>
      <c r="S15" s="64">
        <v>710.16096443640754</v>
      </c>
      <c r="T15" s="64">
        <v>2282.0901432291671</v>
      </c>
      <c r="U15" s="64">
        <v>1172.885653409091</v>
      </c>
      <c r="V15" s="64">
        <v>1432.57068434032</v>
      </c>
      <c r="W15" s="64">
        <v>1129.183189922481</v>
      </c>
      <c r="X15" s="64"/>
      <c r="Y15" s="64"/>
      <c r="Z15" s="64"/>
      <c r="AA15" s="64">
        <v>1018.376721189591</v>
      </c>
      <c r="AB15" s="64">
        <v>392.8842760768033</v>
      </c>
      <c r="AC15" s="64">
        <v>3058.9294710507511</v>
      </c>
      <c r="AD15" s="64">
        <v>1270.4265562913911</v>
      </c>
      <c r="AE15" s="64"/>
      <c r="AF15" s="64">
        <v>1818.8816345347859</v>
      </c>
      <c r="AG15" s="64">
        <v>1537.410336432049</v>
      </c>
      <c r="AH15" s="64"/>
      <c r="AI15" s="64">
        <v>2214.6810252525252</v>
      </c>
      <c r="AJ15" s="64"/>
      <c r="AK15" s="64">
        <v>807.28800000000001</v>
      </c>
      <c r="AL15" s="64"/>
      <c r="AM15" s="64"/>
      <c r="AN15" s="64">
        <v>477.66052631578953</v>
      </c>
      <c r="AO15" s="64">
        <v>1748.18507482108</v>
      </c>
      <c r="AP15" s="64"/>
      <c r="AQ15" s="64">
        <v>806.51819083608882</v>
      </c>
      <c r="AR15" s="64"/>
      <c r="AS15" s="64"/>
      <c r="AT15" s="64">
        <v>1142.846220703125</v>
      </c>
      <c r="AU15" s="64">
        <v>2027.3795709090909</v>
      </c>
      <c r="AV15" s="64">
        <v>833.67587401574815</v>
      </c>
      <c r="AW15" s="64">
        <v>570.3769148393676</v>
      </c>
      <c r="AX15" s="64">
        <v>2029.7706630336061</v>
      </c>
      <c r="AY15" s="64">
        <v>1228.485436893204</v>
      </c>
      <c r="AZ15" s="65">
        <f t="shared" si="0"/>
        <v>1447.3484004534539</v>
      </c>
      <c r="BA15" s="10">
        <f t="shared" si="1"/>
        <v>113.43557887471115</v>
      </c>
      <c r="BB15" s="49">
        <f t="shared" si="2"/>
        <v>14</v>
      </c>
      <c r="BC15" s="49">
        <f t="shared" si="3"/>
        <v>34</v>
      </c>
    </row>
    <row r="16" spans="1:55" x14ac:dyDescent="0.2">
      <c r="A16" s="62" t="s">
        <v>275</v>
      </c>
      <c r="B16" s="31" t="s">
        <v>83</v>
      </c>
      <c r="C16" s="62">
        <v>34</v>
      </c>
      <c r="D16" s="63">
        <v>447.17791878172591</v>
      </c>
      <c r="E16" s="64">
        <v>751.65586421228784</v>
      </c>
      <c r="F16" s="64"/>
      <c r="G16" s="64">
        <v>660.61258843620396</v>
      </c>
      <c r="H16" s="64">
        <v>518.87860821581853</v>
      </c>
      <c r="I16" s="64">
        <v>785.8186258547704</v>
      </c>
      <c r="J16" s="64">
        <v>43.02812687013764</v>
      </c>
      <c r="K16" s="64"/>
      <c r="L16" s="64">
        <v>1392.0771929824559</v>
      </c>
      <c r="M16" s="64"/>
      <c r="N16" s="64">
        <v>804.5022691908714</v>
      </c>
      <c r="O16" s="64">
        <v>592.25882810539531</v>
      </c>
      <c r="P16" s="64">
        <v>713.36611726560386</v>
      </c>
      <c r="Q16" s="64">
        <v>950.94216949152542</v>
      </c>
      <c r="R16" s="64">
        <v>822.69435727440157</v>
      </c>
      <c r="S16" s="64">
        <v>686.54291560102297</v>
      </c>
      <c r="T16" s="64"/>
      <c r="U16" s="64">
        <v>1006.82498453927</v>
      </c>
      <c r="V16" s="64">
        <v>563.51063165717119</v>
      </c>
      <c r="W16" s="64">
        <v>1371.183033333333</v>
      </c>
      <c r="X16" s="64"/>
      <c r="Y16" s="64">
        <v>644.90656249999995</v>
      </c>
      <c r="Z16" s="64">
        <v>840.07580174927114</v>
      </c>
      <c r="AA16" s="64">
        <v>459.3203636363636</v>
      </c>
      <c r="AB16" s="64"/>
      <c r="AC16" s="64">
        <v>450.64302565707129</v>
      </c>
      <c r="AD16" s="64"/>
      <c r="AE16" s="64"/>
      <c r="AF16" s="64"/>
      <c r="AG16" s="64">
        <v>793.90813462493793</v>
      </c>
      <c r="AH16" s="64"/>
      <c r="AI16" s="64"/>
      <c r="AJ16" s="64">
        <v>900.00192379182158</v>
      </c>
      <c r="AK16" s="64">
        <v>694.78964468629965</v>
      </c>
      <c r="AL16" s="64">
        <v>484.52044127190129</v>
      </c>
      <c r="AM16" s="64">
        <v>558.06829855936405</v>
      </c>
      <c r="AN16" s="64">
        <v>388.75480505216922</v>
      </c>
      <c r="AO16" s="64"/>
      <c r="AP16" s="64">
        <v>248.5309994172494</v>
      </c>
      <c r="AQ16" s="64">
        <v>458.44974871502001</v>
      </c>
      <c r="AR16" s="64">
        <v>717.08314146840621</v>
      </c>
      <c r="AS16" s="64">
        <v>570.33109978375035</v>
      </c>
      <c r="AT16" s="64">
        <v>681.79392933364954</v>
      </c>
      <c r="AU16" s="64">
        <v>359.65911175337192</v>
      </c>
      <c r="AV16" s="64">
        <v>635.33517448856799</v>
      </c>
      <c r="AW16" s="64"/>
      <c r="AX16" s="64">
        <v>562.34845735027227</v>
      </c>
      <c r="AY16" s="64"/>
      <c r="AZ16" s="65">
        <f t="shared" si="0"/>
        <v>663.51749693092586</v>
      </c>
      <c r="BA16" s="10">
        <f t="shared" si="1"/>
        <v>-216.33957814919995</v>
      </c>
      <c r="BB16" s="49">
        <f t="shared" si="2"/>
        <v>30</v>
      </c>
      <c r="BC16" s="49">
        <f t="shared" si="3"/>
        <v>34</v>
      </c>
    </row>
    <row r="17" spans="1:55" x14ac:dyDescent="0.2">
      <c r="A17" s="62" t="s">
        <v>355</v>
      </c>
      <c r="B17" s="31" t="s">
        <v>82</v>
      </c>
      <c r="C17" s="62">
        <v>34</v>
      </c>
      <c r="D17" s="63">
        <v>708.67055529631352</v>
      </c>
      <c r="E17" s="64">
        <v>545.79166029074213</v>
      </c>
      <c r="F17" s="64"/>
      <c r="G17" s="64">
        <v>794.15559960356791</v>
      </c>
      <c r="H17" s="64"/>
      <c r="I17" s="64">
        <v>810.60090588827381</v>
      </c>
      <c r="J17" s="64">
        <v>46.532091097308488</v>
      </c>
      <c r="K17" s="64"/>
      <c r="L17" s="64">
        <v>490.08293153326912</v>
      </c>
      <c r="M17" s="64">
        <v>500.4411139674379</v>
      </c>
      <c r="N17" s="64">
        <v>605.55089567430025</v>
      </c>
      <c r="O17" s="64">
        <v>514.22523607176583</v>
      </c>
      <c r="P17" s="64">
        <v>998.13493253373315</v>
      </c>
      <c r="Q17" s="64">
        <v>605.82502740408574</v>
      </c>
      <c r="R17" s="64">
        <v>972.83598639455784</v>
      </c>
      <c r="S17" s="64">
        <v>858.23835999999994</v>
      </c>
      <c r="T17" s="64">
        <v>661.04573429541608</v>
      </c>
      <c r="U17" s="64">
        <v>649.22454545454548</v>
      </c>
      <c r="V17" s="64">
        <v>747.94189176688246</v>
      </c>
      <c r="W17" s="64">
        <v>538.40524663677127</v>
      </c>
      <c r="X17" s="64"/>
      <c r="Y17" s="64"/>
      <c r="Z17" s="64">
        <v>416.71523517382411</v>
      </c>
      <c r="AA17" s="64">
        <v>249.8054625</v>
      </c>
      <c r="AB17" s="64"/>
      <c r="AC17" s="64">
        <v>472.59067487948579</v>
      </c>
      <c r="AD17" s="64">
        <v>376.8895120916419</v>
      </c>
      <c r="AE17" s="64"/>
      <c r="AF17" s="64">
        <v>720.18395580110496</v>
      </c>
      <c r="AG17" s="64">
        <v>901.18255495847575</v>
      </c>
      <c r="AH17" s="64"/>
      <c r="AI17" s="64">
        <v>575.60966971746916</v>
      </c>
      <c r="AJ17" s="64">
        <v>409.49261930585692</v>
      </c>
      <c r="AK17" s="64">
        <v>233.9417107309487</v>
      </c>
      <c r="AL17" s="64">
        <v>812.16</v>
      </c>
      <c r="AM17" s="64"/>
      <c r="AN17" s="64"/>
      <c r="AO17" s="64">
        <v>522.34005658436206</v>
      </c>
      <c r="AP17" s="64">
        <v>386.66484124019428</v>
      </c>
      <c r="AQ17" s="64">
        <v>396.84544499999998</v>
      </c>
      <c r="AR17" s="64"/>
      <c r="AS17" s="64">
        <v>546.31809100998885</v>
      </c>
      <c r="AT17" s="64">
        <v>735.31063333333339</v>
      </c>
      <c r="AU17" s="64">
        <v>930.42140090090095</v>
      </c>
      <c r="AV17" s="64">
        <v>750.42766536964984</v>
      </c>
      <c r="AW17" s="64"/>
      <c r="AX17" s="64"/>
      <c r="AY17" s="64"/>
      <c r="AZ17" s="65">
        <f t="shared" si="0"/>
        <v>602.48830125018253</v>
      </c>
      <c r="BA17" s="10">
        <f t="shared" si="1"/>
        <v>106.18225404613099</v>
      </c>
      <c r="BB17" s="49">
        <f t="shared" si="2"/>
        <v>13</v>
      </c>
      <c r="BC17" s="49">
        <f t="shared" si="3"/>
        <v>34</v>
      </c>
    </row>
    <row r="18" spans="1:55" x14ac:dyDescent="0.2">
      <c r="A18" s="62" t="s">
        <v>200</v>
      </c>
      <c r="B18" s="31" t="s">
        <v>77</v>
      </c>
      <c r="C18" s="62">
        <v>33</v>
      </c>
      <c r="D18" s="63">
        <v>924.26619686292338</v>
      </c>
      <c r="E18" s="64">
        <v>326.18938330170778</v>
      </c>
      <c r="F18" s="64"/>
      <c r="G18" s="64">
        <v>873.62238442822388</v>
      </c>
      <c r="H18" s="64"/>
      <c r="I18" s="64">
        <v>675.75397526501763</v>
      </c>
      <c r="J18" s="64">
        <v>32.314410480349338</v>
      </c>
      <c r="K18" s="64"/>
      <c r="L18" s="64">
        <v>708.58672009158556</v>
      </c>
      <c r="M18" s="64"/>
      <c r="N18" s="64">
        <v>309.56649107142857</v>
      </c>
      <c r="O18" s="64">
        <v>193.21861973562869</v>
      </c>
      <c r="P18" s="64">
        <v>910.4111822947001</v>
      </c>
      <c r="Q18" s="64">
        <v>423.04865997381052</v>
      </c>
      <c r="R18" s="64">
        <v>479.90598520048189</v>
      </c>
      <c r="S18" s="64">
        <v>388.90546290322578</v>
      </c>
      <c r="T18" s="64">
        <v>269.55066285714292</v>
      </c>
      <c r="U18" s="64">
        <v>484.245545521113</v>
      </c>
      <c r="V18" s="64">
        <v>264.62371512255282</v>
      </c>
      <c r="W18" s="64">
        <v>307.77606181818192</v>
      </c>
      <c r="X18" s="64"/>
      <c r="Y18" s="64"/>
      <c r="Z18" s="64">
        <v>280.54876099120702</v>
      </c>
      <c r="AA18" s="64"/>
      <c r="AB18" s="64">
        <v>424.50796874999997</v>
      </c>
      <c r="AC18" s="64">
        <v>516.58206444444443</v>
      </c>
      <c r="AD18" s="64">
        <v>648.40681954887214</v>
      </c>
      <c r="AE18" s="64"/>
      <c r="AF18" s="64"/>
      <c r="AG18" s="64">
        <v>521.56991432068548</v>
      </c>
      <c r="AH18" s="64"/>
      <c r="AI18" s="64"/>
      <c r="AJ18" s="64">
        <v>381.57426010040638</v>
      </c>
      <c r="AK18" s="64">
        <v>300.23999715221407</v>
      </c>
      <c r="AL18" s="64">
        <v>457.5339517625232</v>
      </c>
      <c r="AM18" s="64"/>
      <c r="AN18" s="64">
        <v>285.2646433404214</v>
      </c>
      <c r="AO18" s="64">
        <v>285.84526474733241</v>
      </c>
      <c r="AP18" s="64"/>
      <c r="AQ18" s="64"/>
      <c r="AR18" s="64"/>
      <c r="AS18" s="64">
        <v>362.04079175257732</v>
      </c>
      <c r="AT18" s="64">
        <v>469.29367857681291</v>
      </c>
      <c r="AU18" s="64">
        <v>419.08848193208638</v>
      </c>
      <c r="AV18" s="64">
        <v>571.06542230517971</v>
      </c>
      <c r="AW18" s="64">
        <v>300.2883128336041</v>
      </c>
      <c r="AX18" s="64">
        <v>811.45306526971547</v>
      </c>
      <c r="AY18" s="64">
        <v>272.53289949385402</v>
      </c>
      <c r="AZ18" s="65">
        <f t="shared" si="0"/>
        <v>450.90368952272763</v>
      </c>
      <c r="BA18" s="10">
        <f t="shared" si="1"/>
        <v>473.36250734019575</v>
      </c>
      <c r="BB18" s="49">
        <f t="shared" si="2"/>
        <v>1</v>
      </c>
      <c r="BC18" s="49">
        <f t="shared" si="3"/>
        <v>33</v>
      </c>
    </row>
    <row r="19" spans="1:55" x14ac:dyDescent="0.2">
      <c r="A19" s="62" t="s">
        <v>140</v>
      </c>
      <c r="B19" s="31" t="s">
        <v>83</v>
      </c>
      <c r="C19" s="62">
        <v>33</v>
      </c>
      <c r="D19" s="63">
        <v>616.98800159978668</v>
      </c>
      <c r="E19" s="64">
        <v>232.8871883254094</v>
      </c>
      <c r="F19" s="64"/>
      <c r="G19" s="64">
        <v>546.60078811761139</v>
      </c>
      <c r="H19" s="64"/>
      <c r="I19" s="64">
        <v>409.16482961399282</v>
      </c>
      <c r="J19" s="64"/>
      <c r="K19" s="64"/>
      <c r="L19" s="64">
        <v>523.85745741105575</v>
      </c>
      <c r="M19" s="64">
        <v>463.84464152947419</v>
      </c>
      <c r="N19" s="64">
        <v>399.08564184636111</v>
      </c>
      <c r="O19" s="64">
        <v>763.57916825177244</v>
      </c>
      <c r="P19" s="64">
        <v>769.16516054604881</v>
      </c>
      <c r="Q19" s="64"/>
      <c r="R19" s="64">
        <v>545.59361893648941</v>
      </c>
      <c r="S19" s="64">
        <v>404.83058409785929</v>
      </c>
      <c r="T19" s="64">
        <v>552.68464130749214</v>
      </c>
      <c r="U19" s="64">
        <v>436.42345859768989</v>
      </c>
      <c r="V19" s="64">
        <v>492.27229795377588</v>
      </c>
      <c r="W19" s="64">
        <v>554.64916536167664</v>
      </c>
      <c r="X19" s="64"/>
      <c r="Y19" s="64"/>
      <c r="Z19" s="64">
        <v>538.2953488372093</v>
      </c>
      <c r="AA19" s="64">
        <v>472.12992142482977</v>
      </c>
      <c r="AB19" s="64"/>
      <c r="AC19" s="64">
        <v>468.87035892909682</v>
      </c>
      <c r="AD19" s="64">
        <v>372.68420769230761</v>
      </c>
      <c r="AE19" s="64"/>
      <c r="AF19" s="64"/>
      <c r="AG19" s="64">
        <v>598.65033920704855</v>
      </c>
      <c r="AH19" s="64"/>
      <c r="AI19" s="64">
        <v>371.98339311334291</v>
      </c>
      <c r="AJ19" s="64">
        <v>611.69888200589969</v>
      </c>
      <c r="AK19" s="64">
        <v>229.96461835887149</v>
      </c>
      <c r="AL19" s="64">
        <v>457.84563945388692</v>
      </c>
      <c r="AM19" s="64"/>
      <c r="AN19" s="64">
        <v>527.19280000000003</v>
      </c>
      <c r="AO19" s="64">
        <v>564.67378396072013</v>
      </c>
      <c r="AP19" s="64">
        <v>334.85091157858727</v>
      </c>
      <c r="AQ19" s="64">
        <v>489.04710811602689</v>
      </c>
      <c r="AR19" s="64"/>
      <c r="AS19" s="64"/>
      <c r="AT19" s="64">
        <v>1252.9359051885031</v>
      </c>
      <c r="AU19" s="64">
        <v>620.64863000000003</v>
      </c>
      <c r="AV19" s="64">
        <v>756.17707349081365</v>
      </c>
      <c r="AW19" s="64"/>
      <c r="AX19" s="64">
        <v>517.2113333333333</v>
      </c>
      <c r="AY19" s="64">
        <v>495.85199999999998</v>
      </c>
      <c r="AZ19" s="65">
        <f t="shared" si="0"/>
        <v>527.04057267233236</v>
      </c>
      <c r="BA19" s="10">
        <f t="shared" si="1"/>
        <v>89.947428927454325</v>
      </c>
      <c r="BB19" s="49">
        <f t="shared" si="2"/>
        <v>6</v>
      </c>
      <c r="BC19" s="49">
        <f t="shared" si="3"/>
        <v>33</v>
      </c>
    </row>
    <row r="20" spans="1:55" x14ac:dyDescent="0.2">
      <c r="A20" s="62" t="s">
        <v>343</v>
      </c>
      <c r="B20" s="31" t="s">
        <v>79</v>
      </c>
      <c r="C20" s="62">
        <v>32</v>
      </c>
      <c r="D20" s="63">
        <v>1631.489140698772</v>
      </c>
      <c r="E20" s="64">
        <v>963.4581239833725</v>
      </c>
      <c r="F20" s="64">
        <v>703.79791009463725</v>
      </c>
      <c r="G20" s="64">
        <v>2177.5794138929091</v>
      </c>
      <c r="H20" s="64">
        <v>214.10924025457439</v>
      </c>
      <c r="I20" s="64">
        <v>1105.2424812030081</v>
      </c>
      <c r="J20" s="64">
        <v>89.867077634367178</v>
      </c>
      <c r="K20" s="64">
        <v>1463.4488571428569</v>
      </c>
      <c r="L20" s="64">
        <v>1241.727735815914</v>
      </c>
      <c r="M20" s="64"/>
      <c r="N20" s="64"/>
      <c r="O20" s="64">
        <v>2129.4773546585429</v>
      </c>
      <c r="P20" s="64">
        <v>2120.2380767739428</v>
      </c>
      <c r="Q20" s="64"/>
      <c r="R20" s="64"/>
      <c r="S20" s="64"/>
      <c r="T20" s="64">
        <v>1202.3742351498161</v>
      </c>
      <c r="U20" s="64">
        <v>1392.3503636363639</v>
      </c>
      <c r="V20" s="64">
        <v>1480.6142141527</v>
      </c>
      <c r="W20" s="64">
        <v>843.20349018822583</v>
      </c>
      <c r="X20" s="64">
        <v>2034.046381365114</v>
      </c>
      <c r="Y20" s="64">
        <v>2674.5417118093169</v>
      </c>
      <c r="Z20" s="64"/>
      <c r="AA20" s="64">
        <v>1256.187508604206</v>
      </c>
      <c r="AB20" s="64"/>
      <c r="AC20" s="64"/>
      <c r="AD20" s="64"/>
      <c r="AE20" s="64"/>
      <c r="AF20" s="64"/>
      <c r="AG20" s="64">
        <v>1565.869623259623</v>
      </c>
      <c r="AH20" s="64"/>
      <c r="AI20" s="64"/>
      <c r="AJ20" s="64">
        <v>1419.862017217765</v>
      </c>
      <c r="AK20" s="64"/>
      <c r="AL20" s="64">
        <v>1627.6035441994641</v>
      </c>
      <c r="AM20" s="64">
        <v>2377.5167814814822</v>
      </c>
      <c r="AN20" s="64">
        <v>1899.9875790424569</v>
      </c>
      <c r="AO20" s="64"/>
      <c r="AP20" s="64"/>
      <c r="AQ20" s="64">
        <v>1431.327676272226</v>
      </c>
      <c r="AR20" s="64">
        <v>1345.1787072243351</v>
      </c>
      <c r="AS20" s="64">
        <v>1468.965131034483</v>
      </c>
      <c r="AT20" s="64">
        <v>3103.2737485891639</v>
      </c>
      <c r="AU20" s="64">
        <v>1565.762071929825</v>
      </c>
      <c r="AV20" s="64">
        <v>2265.6208056729752</v>
      </c>
      <c r="AW20" s="64">
        <v>1268.7698480243159</v>
      </c>
      <c r="AX20" s="64">
        <v>1503.8408351874041</v>
      </c>
      <c r="AY20" s="64">
        <v>1287.255204594401</v>
      </c>
      <c r="AZ20" s="65">
        <f t="shared" si="0"/>
        <v>1526.7058403371425</v>
      </c>
      <c r="BA20" s="10">
        <f t="shared" si="1"/>
        <v>104.78330036162947</v>
      </c>
      <c r="BB20" s="49">
        <f t="shared" si="2"/>
        <v>10</v>
      </c>
      <c r="BC20" s="49">
        <f t="shared" si="3"/>
        <v>32</v>
      </c>
    </row>
    <row r="21" spans="1:55" x14ac:dyDescent="0.2">
      <c r="A21" s="62" t="s">
        <v>396</v>
      </c>
      <c r="B21" s="31" t="s">
        <v>78</v>
      </c>
      <c r="C21" s="62">
        <v>31</v>
      </c>
      <c r="D21" s="63">
        <v>813.4074468085106</v>
      </c>
      <c r="E21" s="64">
        <v>621.69668951612903</v>
      </c>
      <c r="F21" s="64"/>
      <c r="G21" s="64">
        <v>1720.93875</v>
      </c>
      <c r="H21" s="64"/>
      <c r="I21" s="64">
        <v>1722.0037037037041</v>
      </c>
      <c r="J21" s="64">
        <v>34.022681787858573</v>
      </c>
      <c r="K21" s="64"/>
      <c r="L21" s="64">
        <v>1281.3585034013611</v>
      </c>
      <c r="M21" s="64">
        <v>1355.9553753993609</v>
      </c>
      <c r="N21" s="64">
        <v>1323.8973012692049</v>
      </c>
      <c r="O21" s="64">
        <v>948.0448733333335</v>
      </c>
      <c r="P21" s="64">
        <v>1057.743539736714</v>
      </c>
      <c r="Q21" s="64">
        <v>803.01154402895054</v>
      </c>
      <c r="R21" s="64"/>
      <c r="S21" s="64">
        <v>691.0648903002309</v>
      </c>
      <c r="T21" s="64">
        <v>863.35567092651763</v>
      </c>
      <c r="U21" s="64">
        <v>1070.9906614785989</v>
      </c>
      <c r="V21" s="64">
        <v>2049.4377985377741</v>
      </c>
      <c r="W21" s="64">
        <v>1027.922109533469</v>
      </c>
      <c r="X21" s="64"/>
      <c r="Y21" s="64"/>
      <c r="Z21" s="64">
        <v>1028.590804597701</v>
      </c>
      <c r="AA21" s="64">
        <v>1113.374380108992</v>
      </c>
      <c r="AB21" s="64"/>
      <c r="AC21" s="64">
        <v>844.72875417130149</v>
      </c>
      <c r="AD21" s="64">
        <v>2242.9176020738819</v>
      </c>
      <c r="AE21" s="64"/>
      <c r="AF21" s="64">
        <v>1086.2155276381909</v>
      </c>
      <c r="AG21" s="64">
        <v>1597.900150884496</v>
      </c>
      <c r="AH21" s="64"/>
      <c r="AI21" s="64">
        <v>1340.5414114513981</v>
      </c>
      <c r="AJ21" s="64">
        <v>1347.691514648978</v>
      </c>
      <c r="AK21" s="64">
        <v>727.90135688684086</v>
      </c>
      <c r="AL21" s="64">
        <v>710.81823860087445</v>
      </c>
      <c r="AM21" s="64"/>
      <c r="AN21" s="64"/>
      <c r="AO21" s="64">
        <v>766.11323333333337</v>
      </c>
      <c r="AP21" s="64"/>
      <c r="AQ21" s="64">
        <v>390.66527989252131</v>
      </c>
      <c r="AR21" s="64"/>
      <c r="AS21" s="64">
        <v>903.48935389133624</v>
      </c>
      <c r="AT21" s="64"/>
      <c r="AU21" s="64"/>
      <c r="AV21" s="64"/>
      <c r="AW21" s="64"/>
      <c r="AX21" s="64">
        <v>1475.3069230769231</v>
      </c>
      <c r="AY21" s="64">
        <v>821.39590614078884</v>
      </c>
      <c r="AZ21" s="65">
        <f t="shared" si="0"/>
        <v>1089.7581282954604</v>
      </c>
      <c r="BA21" s="10">
        <f t="shared" si="1"/>
        <v>-276.35068148694984</v>
      </c>
      <c r="BB21" s="49">
        <f t="shared" si="2"/>
        <v>23</v>
      </c>
      <c r="BC21" s="49">
        <f t="shared" si="3"/>
        <v>31</v>
      </c>
    </row>
    <row r="22" spans="1:55" x14ac:dyDescent="0.2">
      <c r="A22" s="62" t="s">
        <v>191</v>
      </c>
      <c r="B22" s="31" t="s">
        <v>76</v>
      </c>
      <c r="C22" s="62">
        <v>30</v>
      </c>
      <c r="D22" s="63">
        <v>509.11288525807652</v>
      </c>
      <c r="E22" s="64">
        <v>495.82208695652167</v>
      </c>
      <c r="F22" s="64"/>
      <c r="G22" s="64">
        <v>719.61267794789148</v>
      </c>
      <c r="H22" s="64"/>
      <c r="I22" s="64">
        <v>535.27595044852626</v>
      </c>
      <c r="J22" s="64">
        <v>25.333055786844302</v>
      </c>
      <c r="K22" s="64">
        <v>350.92913385826768</v>
      </c>
      <c r="L22" s="64"/>
      <c r="M22" s="64">
        <v>344.20816307046022</v>
      </c>
      <c r="N22" s="64">
        <v>385.78702470059881</v>
      </c>
      <c r="O22" s="64">
        <v>529.03234188988097</v>
      </c>
      <c r="P22" s="64">
        <v>475.77811550151978</v>
      </c>
      <c r="Q22" s="64">
        <v>381.64078730668803</v>
      </c>
      <c r="R22" s="64">
        <v>318.025748489595</v>
      </c>
      <c r="S22" s="64">
        <v>472.11598894348901</v>
      </c>
      <c r="T22" s="64">
        <v>496.95241730769237</v>
      </c>
      <c r="U22" s="64"/>
      <c r="V22" s="64">
        <v>536.045379491674</v>
      </c>
      <c r="W22" s="64">
        <v>474.84859184143812</v>
      </c>
      <c r="X22" s="64">
        <v>274.51523541666671</v>
      </c>
      <c r="Y22" s="64"/>
      <c r="Z22" s="64">
        <v>333.2347966169956</v>
      </c>
      <c r="AA22" s="64">
        <v>251.93800892981719</v>
      </c>
      <c r="AB22" s="64"/>
      <c r="AC22" s="64"/>
      <c r="AD22" s="64">
        <v>426.30205986903638</v>
      </c>
      <c r="AE22" s="64">
        <v>336.04306371080492</v>
      </c>
      <c r="AF22" s="64">
        <v>628.87648361381753</v>
      </c>
      <c r="AG22" s="64">
        <v>657.94051290322579</v>
      </c>
      <c r="AH22" s="64"/>
      <c r="AI22" s="64">
        <v>606.78533158637379</v>
      </c>
      <c r="AJ22" s="64"/>
      <c r="AK22" s="64">
        <v>358.52409364951768</v>
      </c>
      <c r="AL22" s="64"/>
      <c r="AM22" s="64"/>
      <c r="AN22" s="64"/>
      <c r="AO22" s="64">
        <v>338.56768638662862</v>
      </c>
      <c r="AP22" s="64">
        <v>449.47020642613529</v>
      </c>
      <c r="AQ22" s="64"/>
      <c r="AR22" s="64"/>
      <c r="AS22" s="64"/>
      <c r="AT22" s="64"/>
      <c r="AU22" s="64">
        <v>335.090532936871</v>
      </c>
      <c r="AV22" s="64">
        <v>508.11584676689012</v>
      </c>
      <c r="AW22" s="64">
        <v>399.30396276128579</v>
      </c>
      <c r="AX22" s="64"/>
      <c r="AY22" s="64"/>
      <c r="AZ22" s="65">
        <f t="shared" si="0"/>
        <v>431.84093901244103</v>
      </c>
      <c r="BA22" s="10">
        <f t="shared" si="1"/>
        <v>77.27194624563549</v>
      </c>
      <c r="BB22" s="49">
        <f t="shared" si="2"/>
        <v>8</v>
      </c>
      <c r="BC22" s="49">
        <f t="shared" si="3"/>
        <v>30</v>
      </c>
    </row>
    <row r="23" spans="1:55" x14ac:dyDescent="0.2">
      <c r="A23" s="62" t="s">
        <v>202</v>
      </c>
      <c r="B23" s="31" t="s">
        <v>81</v>
      </c>
      <c r="C23" s="62">
        <v>29</v>
      </c>
      <c r="D23" s="63">
        <v>1587.974770642202</v>
      </c>
      <c r="E23" s="64">
        <v>2530.4625935162089</v>
      </c>
      <c r="F23" s="64"/>
      <c r="G23" s="64">
        <v>1414.402756508423</v>
      </c>
      <c r="H23" s="64"/>
      <c r="I23" s="64">
        <v>2236.666666666667</v>
      </c>
      <c r="J23" s="64"/>
      <c r="K23" s="64"/>
      <c r="L23" s="64">
        <v>1512.5736994219651</v>
      </c>
      <c r="M23" s="64">
        <v>522.22829166666668</v>
      </c>
      <c r="N23" s="64">
        <v>1934.560013175231</v>
      </c>
      <c r="O23" s="64">
        <v>1493.6424677002581</v>
      </c>
      <c r="P23" s="64"/>
      <c r="Q23" s="64"/>
      <c r="R23" s="64">
        <v>1326.506807866868</v>
      </c>
      <c r="S23" s="64">
        <v>1845.594576271186</v>
      </c>
      <c r="T23" s="64">
        <v>1139.98234065934</v>
      </c>
      <c r="U23" s="64">
        <v>1764.633187772926</v>
      </c>
      <c r="V23" s="64">
        <v>2386.6737065052948</v>
      </c>
      <c r="W23" s="64">
        <v>1313.070807926829</v>
      </c>
      <c r="X23" s="64"/>
      <c r="Y23" s="64"/>
      <c r="Z23" s="64">
        <v>398.32638888888891</v>
      </c>
      <c r="AA23" s="64"/>
      <c r="AB23" s="64">
        <v>3683.915279878971</v>
      </c>
      <c r="AC23" s="64">
        <v>1420.332568940494</v>
      </c>
      <c r="AD23" s="64">
        <v>1573.579981515712</v>
      </c>
      <c r="AE23" s="64"/>
      <c r="AF23" s="64">
        <v>601.40152027027034</v>
      </c>
      <c r="AG23" s="64">
        <v>960.80406119610575</v>
      </c>
      <c r="AH23" s="64"/>
      <c r="AI23" s="64">
        <v>2377.8034535104362</v>
      </c>
      <c r="AJ23" s="64">
        <v>1682.5402691790041</v>
      </c>
      <c r="AK23" s="64"/>
      <c r="AL23" s="64">
        <v>2206.5153061224491</v>
      </c>
      <c r="AM23" s="64"/>
      <c r="AN23" s="64"/>
      <c r="AO23" s="64">
        <v>2050.6469219653181</v>
      </c>
      <c r="AP23" s="64"/>
      <c r="AQ23" s="64">
        <v>1640.432044293015</v>
      </c>
      <c r="AR23" s="64"/>
      <c r="AS23" s="64">
        <v>1856.697198748044</v>
      </c>
      <c r="AT23" s="64">
        <v>3882.786811881188</v>
      </c>
      <c r="AU23" s="64">
        <v>1395.095409836066</v>
      </c>
      <c r="AV23" s="64">
        <v>3863.5454782608699</v>
      </c>
      <c r="AW23" s="64"/>
      <c r="AX23" s="64"/>
      <c r="AY23" s="64"/>
      <c r="AZ23" s="65">
        <f t="shared" si="0"/>
        <v>1813.910185544376</v>
      </c>
      <c r="BA23" s="10">
        <f t="shared" si="1"/>
        <v>-225.93541490217399</v>
      </c>
      <c r="BB23" s="49">
        <f t="shared" si="2"/>
        <v>16</v>
      </c>
      <c r="BC23" s="49">
        <f t="shared" si="3"/>
        <v>29</v>
      </c>
    </row>
    <row r="24" spans="1:55" x14ac:dyDescent="0.2">
      <c r="A24" s="62" t="s">
        <v>166</v>
      </c>
      <c r="B24" s="31" t="s">
        <v>76</v>
      </c>
      <c r="C24" s="62">
        <v>28</v>
      </c>
      <c r="D24" s="63">
        <v>416.311209439528</v>
      </c>
      <c r="E24" s="64"/>
      <c r="F24" s="64"/>
      <c r="G24" s="64">
        <v>535.76107429368676</v>
      </c>
      <c r="H24" s="64"/>
      <c r="I24" s="64">
        <v>670.68094774423889</v>
      </c>
      <c r="J24" s="64">
        <v>21.912442396313359</v>
      </c>
      <c r="K24" s="64"/>
      <c r="L24" s="64">
        <v>535.35591240875908</v>
      </c>
      <c r="M24" s="64">
        <v>429.28988898140437</v>
      </c>
      <c r="N24" s="64"/>
      <c r="O24" s="64">
        <v>313.93724839400431</v>
      </c>
      <c r="P24" s="64">
        <v>613.66600957476771</v>
      </c>
      <c r="Q24" s="64">
        <v>386.26182648401817</v>
      </c>
      <c r="R24" s="64">
        <v>383.02841604867842</v>
      </c>
      <c r="S24" s="64">
        <v>339.00878511966698</v>
      </c>
      <c r="T24" s="64">
        <v>428.6825014277556</v>
      </c>
      <c r="U24" s="64">
        <v>320.78636497208339</v>
      </c>
      <c r="V24" s="64">
        <v>422.31832835077228</v>
      </c>
      <c r="W24" s="64">
        <v>413.53291771832409</v>
      </c>
      <c r="X24" s="64"/>
      <c r="Y24" s="64"/>
      <c r="Z24" s="64"/>
      <c r="AA24" s="64"/>
      <c r="AB24" s="64"/>
      <c r="AC24" s="64">
        <v>605.61570481507329</v>
      </c>
      <c r="AD24" s="64">
        <v>393.4002120141343</v>
      </c>
      <c r="AE24" s="64"/>
      <c r="AF24" s="64"/>
      <c r="AG24" s="64">
        <v>651.10446199701948</v>
      </c>
      <c r="AH24" s="64"/>
      <c r="AI24" s="64">
        <v>474.8168</v>
      </c>
      <c r="AJ24" s="64">
        <v>429.12346610019472</v>
      </c>
      <c r="AK24" s="64">
        <v>325.03308586525759</v>
      </c>
      <c r="AL24" s="64">
        <v>458.53980582524269</v>
      </c>
      <c r="AM24" s="64"/>
      <c r="AN24" s="64"/>
      <c r="AO24" s="64">
        <v>455.6711756126021</v>
      </c>
      <c r="AP24" s="64"/>
      <c r="AQ24" s="64">
        <v>385.56001611170791</v>
      </c>
      <c r="AR24" s="64"/>
      <c r="AS24" s="64">
        <v>211.77869333333331</v>
      </c>
      <c r="AT24" s="64"/>
      <c r="AU24" s="64">
        <v>437.75218529411762</v>
      </c>
      <c r="AV24" s="64"/>
      <c r="AW24" s="64"/>
      <c r="AX24" s="64">
        <v>579.69749999999999</v>
      </c>
      <c r="AY24" s="64">
        <v>369.75903314228759</v>
      </c>
      <c r="AZ24" s="65">
        <f t="shared" si="0"/>
        <v>428.87092905232038</v>
      </c>
      <c r="BA24" s="10">
        <f t="shared" si="1"/>
        <v>-12.559719612792378</v>
      </c>
      <c r="BB24" s="49">
        <f t="shared" si="2"/>
        <v>16</v>
      </c>
      <c r="BC24" s="49">
        <f t="shared" si="3"/>
        <v>28</v>
      </c>
    </row>
    <row r="25" spans="1:55" x14ac:dyDescent="0.2">
      <c r="A25" s="62" t="s">
        <v>283</v>
      </c>
      <c r="B25" s="31" t="s">
        <v>78</v>
      </c>
      <c r="C25" s="62">
        <v>28</v>
      </c>
      <c r="D25" s="63">
        <v>517.00679245283015</v>
      </c>
      <c r="E25" s="64">
        <v>317.84262931034482</v>
      </c>
      <c r="F25" s="64"/>
      <c r="G25" s="64"/>
      <c r="H25" s="64"/>
      <c r="I25" s="64"/>
      <c r="J25" s="64">
        <v>21.284185493460171</v>
      </c>
      <c r="K25" s="64"/>
      <c r="L25" s="64">
        <v>830.40074441687341</v>
      </c>
      <c r="M25" s="64">
        <v>598.30355000000009</v>
      </c>
      <c r="N25" s="64">
        <v>249.8308223350254</v>
      </c>
      <c r="O25" s="64">
        <v>781.51413629160072</v>
      </c>
      <c r="P25" s="64">
        <v>648.22176591375774</v>
      </c>
      <c r="Q25" s="64">
        <v>447.50861842105257</v>
      </c>
      <c r="R25" s="64">
        <v>463.83975609756101</v>
      </c>
      <c r="S25" s="64">
        <v>371.51120115774239</v>
      </c>
      <c r="T25" s="64">
        <v>914.33704809286894</v>
      </c>
      <c r="U25" s="64">
        <v>934.94585987261144</v>
      </c>
      <c r="V25" s="64">
        <v>788.21240478781283</v>
      </c>
      <c r="W25" s="64"/>
      <c r="X25" s="64"/>
      <c r="Y25" s="64"/>
      <c r="Z25" s="64"/>
      <c r="AA25" s="64">
        <v>341.08081100651702</v>
      </c>
      <c r="AB25" s="64"/>
      <c r="AC25" s="64">
        <v>419.35181696726789</v>
      </c>
      <c r="AD25" s="64"/>
      <c r="AE25" s="64"/>
      <c r="AF25" s="64"/>
      <c r="AG25" s="64">
        <v>842.28191406250005</v>
      </c>
      <c r="AH25" s="64"/>
      <c r="AI25" s="64"/>
      <c r="AJ25" s="64">
        <v>467.76156250000003</v>
      </c>
      <c r="AK25" s="64"/>
      <c r="AL25" s="64">
        <v>519.6</v>
      </c>
      <c r="AM25" s="64"/>
      <c r="AN25" s="64">
        <v>465.73669849931792</v>
      </c>
      <c r="AO25" s="64">
        <v>606.39334401709402</v>
      </c>
      <c r="AP25" s="64"/>
      <c r="AQ25" s="64">
        <v>507.52088095238088</v>
      </c>
      <c r="AR25" s="64"/>
      <c r="AS25" s="64">
        <v>523.69713084112152</v>
      </c>
      <c r="AT25" s="64">
        <v>437.98482109227871</v>
      </c>
      <c r="AU25" s="64">
        <v>358.06068276436298</v>
      </c>
      <c r="AV25" s="64">
        <v>477.6845060790273</v>
      </c>
      <c r="AW25" s="64">
        <v>781.69972181551987</v>
      </c>
      <c r="AX25" s="64"/>
      <c r="AY25" s="64">
        <v>731.10975609756099</v>
      </c>
      <c r="AZ25" s="65">
        <f t="shared" si="0"/>
        <v>548.74011290494605</v>
      </c>
      <c r="BA25" s="10">
        <f t="shared" si="1"/>
        <v>-31.73332045211589</v>
      </c>
      <c r="BB25" s="49">
        <f t="shared" si="2"/>
        <v>14</v>
      </c>
      <c r="BC25" s="49">
        <f t="shared" si="3"/>
        <v>28</v>
      </c>
    </row>
    <row r="26" spans="1:55" x14ac:dyDescent="0.2">
      <c r="A26" s="62" t="s">
        <v>317</v>
      </c>
      <c r="B26" s="31" t="s">
        <v>76</v>
      </c>
      <c r="C26" s="62">
        <v>28</v>
      </c>
      <c r="D26" s="63">
        <v>334.22611327280589</v>
      </c>
      <c r="E26" s="64"/>
      <c r="F26" s="64"/>
      <c r="G26" s="64">
        <v>422.43116258741259</v>
      </c>
      <c r="H26" s="64"/>
      <c r="I26" s="64">
        <v>457.03876326718972</v>
      </c>
      <c r="J26" s="64">
        <v>27.582477014602489</v>
      </c>
      <c r="K26" s="64"/>
      <c r="L26" s="64">
        <v>732.50672389127328</v>
      </c>
      <c r="M26" s="64"/>
      <c r="N26" s="64">
        <v>563.07116571428571</v>
      </c>
      <c r="O26" s="64">
        <v>654.54209869540557</v>
      </c>
      <c r="P26" s="64">
        <v>744.43200000000002</v>
      </c>
      <c r="Q26" s="64">
        <v>318.2740338379341</v>
      </c>
      <c r="R26" s="64">
        <v>659.87615470228161</v>
      </c>
      <c r="S26" s="64">
        <v>450.44174750000002</v>
      </c>
      <c r="T26" s="64">
        <v>478.9600399543379</v>
      </c>
      <c r="U26" s="64">
        <v>342.93510877719427</v>
      </c>
      <c r="V26" s="64"/>
      <c r="W26" s="64">
        <v>306.10308937528498</v>
      </c>
      <c r="X26" s="64"/>
      <c r="Y26" s="64"/>
      <c r="Z26" s="64">
        <v>279.49201127819549</v>
      </c>
      <c r="AA26" s="64"/>
      <c r="AB26" s="64"/>
      <c r="AC26" s="64">
        <v>407.82374966568602</v>
      </c>
      <c r="AD26" s="64"/>
      <c r="AE26" s="64"/>
      <c r="AF26" s="64">
        <v>416.37514499999997</v>
      </c>
      <c r="AG26" s="64">
        <v>756.42365339996434</v>
      </c>
      <c r="AH26" s="64"/>
      <c r="AI26" s="64"/>
      <c r="AJ26" s="64">
        <v>516.37968000000001</v>
      </c>
      <c r="AK26" s="64"/>
      <c r="AL26" s="64">
        <v>577.64996568291008</v>
      </c>
      <c r="AM26" s="64"/>
      <c r="AN26" s="64">
        <v>337.09774709302332</v>
      </c>
      <c r="AO26" s="64">
        <v>420.63979924157928</v>
      </c>
      <c r="AP26" s="64"/>
      <c r="AQ26" s="64"/>
      <c r="AR26" s="64"/>
      <c r="AS26" s="64">
        <v>351.37592492492502</v>
      </c>
      <c r="AT26" s="64">
        <v>910.93677211934153</v>
      </c>
      <c r="AU26" s="64">
        <v>724.48210141394441</v>
      </c>
      <c r="AV26" s="64">
        <v>766.37941999999998</v>
      </c>
      <c r="AW26" s="64"/>
      <c r="AX26" s="64">
        <v>815.65482233502541</v>
      </c>
      <c r="AY26" s="64">
        <v>390.19444444444451</v>
      </c>
      <c r="AZ26" s="65">
        <f t="shared" si="0"/>
        <v>505.83306839960881</v>
      </c>
      <c r="BA26" s="10">
        <f t="shared" si="1"/>
        <v>-171.60695512680292</v>
      </c>
      <c r="BB26" s="49">
        <f t="shared" si="2"/>
        <v>24</v>
      </c>
      <c r="BC26" s="49">
        <f t="shared" si="3"/>
        <v>28</v>
      </c>
    </row>
    <row r="27" spans="1:55" x14ac:dyDescent="0.2">
      <c r="A27" s="62" t="s">
        <v>371</v>
      </c>
      <c r="B27" s="31" t="s">
        <v>76</v>
      </c>
      <c r="C27" s="62">
        <v>28</v>
      </c>
      <c r="D27" s="63">
        <v>275.82948583420779</v>
      </c>
      <c r="E27" s="64">
        <v>218.5185903265812</v>
      </c>
      <c r="F27" s="64"/>
      <c r="G27" s="64">
        <v>382.80213495996952</v>
      </c>
      <c r="H27" s="64"/>
      <c r="I27" s="64">
        <v>550.47763750000001</v>
      </c>
      <c r="J27" s="64">
        <v>12.52459016393443</v>
      </c>
      <c r="K27" s="64"/>
      <c r="L27" s="64">
        <v>241.5927203065134</v>
      </c>
      <c r="M27" s="64">
        <v>169.35642799999999</v>
      </c>
      <c r="N27" s="64"/>
      <c r="O27" s="64">
        <v>159.60402260638301</v>
      </c>
      <c r="P27" s="64"/>
      <c r="Q27" s="64">
        <v>249.53805199999999</v>
      </c>
      <c r="R27" s="64"/>
      <c r="S27" s="64">
        <v>236.08378542510121</v>
      </c>
      <c r="T27" s="64">
        <v>144.254125430008</v>
      </c>
      <c r="U27" s="64">
        <v>397.54649122807018</v>
      </c>
      <c r="V27" s="64"/>
      <c r="W27" s="64">
        <v>179.84774779319039</v>
      </c>
      <c r="X27" s="64"/>
      <c r="Y27" s="64"/>
      <c r="Z27" s="64">
        <v>292.43560000000002</v>
      </c>
      <c r="AA27" s="64"/>
      <c r="AB27" s="64"/>
      <c r="AC27" s="64">
        <v>107.9795803782506</v>
      </c>
      <c r="AD27" s="64"/>
      <c r="AE27" s="64">
        <v>126.109270410048</v>
      </c>
      <c r="AF27" s="64">
        <v>129.74988344988341</v>
      </c>
      <c r="AG27" s="64">
        <v>294.16495049504948</v>
      </c>
      <c r="AH27" s="64"/>
      <c r="AI27" s="64">
        <v>160.18555263157899</v>
      </c>
      <c r="AJ27" s="64"/>
      <c r="AK27" s="64">
        <v>154.22389436619719</v>
      </c>
      <c r="AL27" s="64"/>
      <c r="AM27" s="64"/>
      <c r="AN27" s="64"/>
      <c r="AO27" s="64">
        <v>273.6100451671183</v>
      </c>
      <c r="AP27" s="64">
        <v>181.96011434171839</v>
      </c>
      <c r="AQ27" s="64">
        <v>233.55847916666659</v>
      </c>
      <c r="AR27" s="64"/>
      <c r="AS27" s="64">
        <v>154.87180180180181</v>
      </c>
      <c r="AT27" s="64"/>
      <c r="AU27" s="64">
        <v>328.41122213375797</v>
      </c>
      <c r="AV27" s="64">
        <v>260.33885380622843</v>
      </c>
      <c r="AW27" s="64">
        <v>121.57992819843339</v>
      </c>
      <c r="AX27" s="64"/>
      <c r="AY27" s="64">
        <v>190.82075157964749</v>
      </c>
      <c r="AZ27" s="65">
        <f t="shared" si="0"/>
        <v>222.42770498215501</v>
      </c>
      <c r="BA27" s="10">
        <f t="shared" si="1"/>
        <v>53.401780852052781</v>
      </c>
      <c r="BB27" s="49">
        <f t="shared" si="2"/>
        <v>7</v>
      </c>
      <c r="BC27" s="49">
        <f t="shared" si="3"/>
        <v>28</v>
      </c>
    </row>
    <row r="28" spans="1:55" x14ac:dyDescent="0.2">
      <c r="A28" s="62" t="s">
        <v>384</v>
      </c>
      <c r="B28" s="31" t="s">
        <v>77</v>
      </c>
      <c r="C28" s="62">
        <v>27</v>
      </c>
      <c r="D28" s="63">
        <v>453.30766666666659</v>
      </c>
      <c r="E28" s="64">
        <v>487.95569090909089</v>
      </c>
      <c r="F28" s="64"/>
      <c r="G28" s="64">
        <v>767.4131973945058</v>
      </c>
      <c r="H28" s="64"/>
      <c r="I28" s="64">
        <v>794.39549483013298</v>
      </c>
      <c r="J28" s="64">
        <v>30.533333333333331</v>
      </c>
      <c r="K28" s="64"/>
      <c r="L28" s="64">
        <v>524.26268656716422</v>
      </c>
      <c r="M28" s="64"/>
      <c r="N28" s="64"/>
      <c r="O28" s="64"/>
      <c r="P28" s="64">
        <v>593.74052966811939</v>
      </c>
      <c r="Q28" s="64">
        <v>316.59571562500003</v>
      </c>
      <c r="R28" s="64">
        <v>366.07023666666657</v>
      </c>
      <c r="S28" s="64">
        <v>309.73385964912279</v>
      </c>
      <c r="T28" s="64">
        <v>219.77880358111781</v>
      </c>
      <c r="U28" s="64">
        <v>1075.9120753639741</v>
      </c>
      <c r="V28" s="64">
        <v>246.0275917360469</v>
      </c>
      <c r="W28" s="64">
        <v>267.98583423035518</v>
      </c>
      <c r="X28" s="64"/>
      <c r="Y28" s="64"/>
      <c r="Z28" s="64"/>
      <c r="AA28" s="64"/>
      <c r="AB28" s="64"/>
      <c r="AC28" s="64">
        <v>190.6715833333333</v>
      </c>
      <c r="AD28" s="64">
        <v>252.8610939311944</v>
      </c>
      <c r="AE28" s="64"/>
      <c r="AF28" s="64"/>
      <c r="AG28" s="64">
        <v>324.428408808933</v>
      </c>
      <c r="AH28" s="64"/>
      <c r="AI28" s="64"/>
      <c r="AJ28" s="64"/>
      <c r="AK28" s="64">
        <v>202.78323564356441</v>
      </c>
      <c r="AL28" s="64"/>
      <c r="AM28" s="64">
        <v>393.96217643051767</v>
      </c>
      <c r="AN28" s="64"/>
      <c r="AO28" s="64">
        <v>178.30171017893809</v>
      </c>
      <c r="AP28" s="64"/>
      <c r="AQ28" s="64">
        <v>310.75802543006728</v>
      </c>
      <c r="AR28" s="64"/>
      <c r="AS28" s="64">
        <v>299.73863716814162</v>
      </c>
      <c r="AT28" s="64">
        <v>456.98179582210241</v>
      </c>
      <c r="AU28" s="64">
        <v>239.41446327683619</v>
      </c>
      <c r="AV28" s="64">
        <v>307.56945783132528</v>
      </c>
      <c r="AW28" s="64">
        <v>165.17605057194459</v>
      </c>
      <c r="AX28" s="64">
        <v>646.00428571428574</v>
      </c>
      <c r="AY28" s="64"/>
      <c r="AZ28" s="65">
        <f t="shared" si="0"/>
        <v>386.01346816157348</v>
      </c>
      <c r="BA28" s="10">
        <f t="shared" si="1"/>
        <v>67.294198505093107</v>
      </c>
      <c r="BB28" s="49">
        <f t="shared" si="2"/>
        <v>9</v>
      </c>
      <c r="BC28" s="49">
        <f t="shared" si="3"/>
        <v>27</v>
      </c>
    </row>
    <row r="29" spans="1:55" x14ac:dyDescent="0.2">
      <c r="A29" s="62" t="s">
        <v>175</v>
      </c>
      <c r="B29" s="31" t="s">
        <v>78</v>
      </c>
      <c r="C29" s="62">
        <v>26</v>
      </c>
      <c r="D29" s="63">
        <v>3920.3187499999999</v>
      </c>
      <c r="E29" s="64">
        <v>2712.451042944786</v>
      </c>
      <c r="F29" s="64"/>
      <c r="G29" s="64">
        <v>1873.6812500000001</v>
      </c>
      <c r="H29" s="64"/>
      <c r="I29" s="64">
        <v>10703.662857142859</v>
      </c>
      <c r="J29" s="64">
        <v>167.85714285714289</v>
      </c>
      <c r="K29" s="64"/>
      <c r="L29" s="64"/>
      <c r="M29" s="64">
        <v>4350.8152083333334</v>
      </c>
      <c r="N29" s="64">
        <v>4114.4295333333339</v>
      </c>
      <c r="O29" s="64">
        <v>1848.2697000000001</v>
      </c>
      <c r="P29" s="64">
        <v>5931.2</v>
      </c>
      <c r="Q29" s="64">
        <v>2851.6871354166669</v>
      </c>
      <c r="R29" s="64">
        <v>5768.094550898204</v>
      </c>
      <c r="S29" s="64">
        <v>4690.4546468401486</v>
      </c>
      <c r="T29" s="64"/>
      <c r="U29" s="64"/>
      <c r="V29" s="64">
        <v>2023.104</v>
      </c>
      <c r="W29" s="64">
        <v>5231.7054666666672</v>
      </c>
      <c r="X29" s="64"/>
      <c r="Y29" s="64"/>
      <c r="Z29" s="64"/>
      <c r="AA29" s="64"/>
      <c r="AB29" s="64"/>
      <c r="AC29" s="64">
        <v>5686.0736666666671</v>
      </c>
      <c r="AD29" s="64">
        <v>3291.5725000000002</v>
      </c>
      <c r="AE29" s="64"/>
      <c r="AF29" s="64">
        <v>1686.5044499999999</v>
      </c>
      <c r="AG29" s="64">
        <v>3977.5332857142848</v>
      </c>
      <c r="AH29" s="64"/>
      <c r="AI29" s="64">
        <v>9945.5398125000011</v>
      </c>
      <c r="AJ29" s="64">
        <v>4660.5028645833336</v>
      </c>
      <c r="AK29" s="64"/>
      <c r="AL29" s="64">
        <v>8558.3250000000007</v>
      </c>
      <c r="AM29" s="64"/>
      <c r="AN29" s="64"/>
      <c r="AO29" s="64">
        <v>4242.586888888889</v>
      </c>
      <c r="AP29" s="64"/>
      <c r="AQ29" s="64">
        <v>5196.8123214285724</v>
      </c>
      <c r="AR29" s="64"/>
      <c r="AS29" s="64"/>
      <c r="AT29" s="64">
        <v>2949.4110000000001</v>
      </c>
      <c r="AU29" s="64">
        <v>5416.2972222222224</v>
      </c>
      <c r="AV29" s="64"/>
      <c r="AW29" s="64"/>
      <c r="AX29" s="64">
        <v>949.925748502994</v>
      </c>
      <c r="AY29" s="64"/>
      <c r="AZ29" s="65">
        <f t="shared" si="0"/>
        <v>4336.4929248053877</v>
      </c>
      <c r="BA29" s="10">
        <f t="shared" si="1"/>
        <v>-416.17417480538779</v>
      </c>
      <c r="BB29" s="49">
        <f t="shared" si="2"/>
        <v>16</v>
      </c>
      <c r="BC29" s="49">
        <f t="shared" si="3"/>
        <v>26</v>
      </c>
    </row>
    <row r="30" spans="1:55" x14ac:dyDescent="0.2">
      <c r="A30" s="62" t="s">
        <v>193</v>
      </c>
      <c r="B30" s="31" t="s">
        <v>82</v>
      </c>
      <c r="C30" s="62">
        <v>26</v>
      </c>
      <c r="D30" s="63">
        <v>435.05581395348838</v>
      </c>
      <c r="E30" s="64">
        <v>381.81596086956517</v>
      </c>
      <c r="F30" s="64"/>
      <c r="G30" s="64"/>
      <c r="H30" s="64"/>
      <c r="I30" s="64">
        <v>533.91246580695588</v>
      </c>
      <c r="J30" s="64"/>
      <c r="K30" s="64"/>
      <c r="L30" s="64">
        <v>317.07877744296172</v>
      </c>
      <c r="M30" s="64">
        <v>447.78556153846148</v>
      </c>
      <c r="N30" s="64"/>
      <c r="O30" s="64">
        <v>516.0670337620578</v>
      </c>
      <c r="P30" s="64">
        <v>615.15154807170018</v>
      </c>
      <c r="Q30" s="64">
        <v>406.94768333333332</v>
      </c>
      <c r="R30" s="64">
        <v>519.48920881971469</v>
      </c>
      <c r="S30" s="64">
        <v>669.40219150370865</v>
      </c>
      <c r="T30" s="64">
        <v>588.8311187677341</v>
      </c>
      <c r="U30" s="64">
        <v>404.2766143106457</v>
      </c>
      <c r="V30" s="64">
        <v>582.15840954274347</v>
      </c>
      <c r="W30" s="64">
        <v>325.40514379868182</v>
      </c>
      <c r="X30" s="64"/>
      <c r="Y30" s="64"/>
      <c r="Z30" s="64"/>
      <c r="AA30" s="64"/>
      <c r="AB30" s="64"/>
      <c r="AC30" s="64"/>
      <c r="AD30" s="64">
        <v>244.37636800000001</v>
      </c>
      <c r="AE30" s="64"/>
      <c r="AF30" s="64"/>
      <c r="AG30" s="64">
        <v>619.00213553719004</v>
      </c>
      <c r="AH30" s="64"/>
      <c r="AI30" s="64"/>
      <c r="AJ30" s="64">
        <v>329.42644103873988</v>
      </c>
      <c r="AK30" s="64"/>
      <c r="AL30" s="64">
        <v>653.34579439252332</v>
      </c>
      <c r="AM30" s="64"/>
      <c r="AN30" s="64"/>
      <c r="AO30" s="64">
        <v>512.21895999999992</v>
      </c>
      <c r="AP30" s="64"/>
      <c r="AQ30" s="64">
        <v>284.38676180408743</v>
      </c>
      <c r="AR30" s="64"/>
      <c r="AS30" s="64">
        <v>283.94352366641618</v>
      </c>
      <c r="AT30" s="64"/>
      <c r="AU30" s="64">
        <v>629.87123214285714</v>
      </c>
      <c r="AV30" s="64">
        <v>671.69729411764706</v>
      </c>
      <c r="AW30" s="64">
        <v>2165.3433500000001</v>
      </c>
      <c r="AX30" s="64">
        <v>523.0616</v>
      </c>
      <c r="AY30" s="64">
        <v>387.36346795109301</v>
      </c>
      <c r="AZ30" s="65">
        <f t="shared" si="0"/>
        <v>540.28517154508859</v>
      </c>
      <c r="BA30" s="10">
        <f t="shared" si="1"/>
        <v>-105.22935759160021</v>
      </c>
      <c r="BB30" s="49">
        <f t="shared" si="2"/>
        <v>16</v>
      </c>
      <c r="BC30" s="49">
        <f t="shared" si="3"/>
        <v>26</v>
      </c>
    </row>
    <row r="31" spans="1:55" x14ac:dyDescent="0.2">
      <c r="A31" s="62" t="s">
        <v>243</v>
      </c>
      <c r="B31" s="31" t="s">
        <v>82</v>
      </c>
      <c r="C31" s="62">
        <v>26</v>
      </c>
      <c r="D31" s="63">
        <v>522.68385650224218</v>
      </c>
      <c r="E31" s="64">
        <v>870.33356016597509</v>
      </c>
      <c r="F31" s="64"/>
      <c r="G31" s="64">
        <v>1400.5427230046951</v>
      </c>
      <c r="H31" s="64"/>
      <c r="I31" s="64">
        <v>623.9</v>
      </c>
      <c r="J31" s="64"/>
      <c r="K31" s="64"/>
      <c r="L31" s="64"/>
      <c r="M31" s="64">
        <v>701.69894428152497</v>
      </c>
      <c r="N31" s="64">
        <v>794.37981116584569</v>
      </c>
      <c r="O31" s="64">
        <v>671.9652756653993</v>
      </c>
      <c r="P31" s="64">
        <v>1280.805429864253</v>
      </c>
      <c r="Q31" s="64"/>
      <c r="R31" s="64">
        <v>1033.066097222222</v>
      </c>
      <c r="S31" s="64">
        <v>981.62269767441865</v>
      </c>
      <c r="T31" s="64"/>
      <c r="U31" s="64"/>
      <c r="V31" s="64">
        <v>766.38462666666658</v>
      </c>
      <c r="W31" s="64">
        <v>612.55686400937861</v>
      </c>
      <c r="X31" s="64"/>
      <c r="Y31" s="64"/>
      <c r="Z31" s="64"/>
      <c r="AA31" s="64"/>
      <c r="AB31" s="64">
        <v>890.02955326460483</v>
      </c>
      <c r="AC31" s="64">
        <v>816.35485664639441</v>
      </c>
      <c r="AD31" s="64">
        <v>619.90217884130982</v>
      </c>
      <c r="AE31" s="64">
        <v>451.59730655640868</v>
      </c>
      <c r="AF31" s="64"/>
      <c r="AG31" s="64"/>
      <c r="AH31" s="64"/>
      <c r="AI31" s="64">
        <v>758.31436703483428</v>
      </c>
      <c r="AJ31" s="64">
        <v>889.44278181818186</v>
      </c>
      <c r="AK31" s="64">
        <v>484.67756138392849</v>
      </c>
      <c r="AL31" s="64">
        <v>443.73543928923988</v>
      </c>
      <c r="AM31" s="64"/>
      <c r="AN31" s="64">
        <v>277.79826086956518</v>
      </c>
      <c r="AO31" s="64"/>
      <c r="AP31" s="64">
        <v>598.97933865450409</v>
      </c>
      <c r="AQ31" s="64">
        <v>925.98273504273504</v>
      </c>
      <c r="AR31" s="64"/>
      <c r="AS31" s="64"/>
      <c r="AT31" s="64">
        <v>1197.7939179404671</v>
      </c>
      <c r="AU31" s="64">
        <v>832.51577727529673</v>
      </c>
      <c r="AV31" s="64"/>
      <c r="AW31" s="64"/>
      <c r="AX31" s="64"/>
      <c r="AY31" s="64">
        <v>407.71986754966889</v>
      </c>
      <c r="AZ31" s="65">
        <f t="shared" si="0"/>
        <v>763.64553186114483</v>
      </c>
      <c r="BA31" s="10">
        <f t="shared" si="1"/>
        <v>-240.96167535890265</v>
      </c>
      <c r="BB31" s="49">
        <f t="shared" si="2"/>
        <v>21</v>
      </c>
      <c r="BC31" s="49">
        <f t="shared" si="3"/>
        <v>26</v>
      </c>
    </row>
    <row r="32" spans="1:55" x14ac:dyDescent="0.2">
      <c r="A32" s="62" t="s">
        <v>301</v>
      </c>
      <c r="B32" s="31" t="s">
        <v>82</v>
      </c>
      <c r="C32" s="62">
        <v>26</v>
      </c>
      <c r="D32" s="63">
        <v>505.40291120815141</v>
      </c>
      <c r="E32" s="64"/>
      <c r="F32" s="64"/>
      <c r="G32" s="64">
        <v>381.89698996655522</v>
      </c>
      <c r="H32" s="64"/>
      <c r="I32" s="64"/>
      <c r="J32" s="64"/>
      <c r="K32" s="64"/>
      <c r="L32" s="64"/>
      <c r="M32" s="64">
        <v>222.1901863658656</v>
      </c>
      <c r="N32" s="64">
        <v>172.0501057173679</v>
      </c>
      <c r="O32" s="64">
        <v>346.08359644396552</v>
      </c>
      <c r="P32" s="64">
        <v>27.706582077716099</v>
      </c>
      <c r="Q32" s="64"/>
      <c r="R32" s="64"/>
      <c r="S32" s="64"/>
      <c r="T32" s="64">
        <v>243.04218691148779</v>
      </c>
      <c r="U32" s="64">
        <v>532.0244444444445</v>
      </c>
      <c r="V32" s="64">
        <v>391.65741387024599</v>
      </c>
      <c r="W32" s="64">
        <v>338.15291297340849</v>
      </c>
      <c r="X32" s="64"/>
      <c r="Y32" s="64"/>
      <c r="Z32" s="64"/>
      <c r="AA32" s="64"/>
      <c r="AB32" s="64"/>
      <c r="AC32" s="64">
        <v>265.30253714285709</v>
      </c>
      <c r="AD32" s="64">
        <v>260.50382952815829</v>
      </c>
      <c r="AE32" s="64"/>
      <c r="AF32" s="64">
        <v>160.0139614035088</v>
      </c>
      <c r="AG32" s="64">
        <v>490.1661682242991</v>
      </c>
      <c r="AH32" s="64"/>
      <c r="AI32" s="64">
        <v>186.30104771784229</v>
      </c>
      <c r="AJ32" s="64">
        <v>115.5743755535872</v>
      </c>
      <c r="AK32" s="64">
        <v>234.16913750000001</v>
      </c>
      <c r="AL32" s="64">
        <v>314.28112449799198</v>
      </c>
      <c r="AM32" s="64"/>
      <c r="AN32" s="64">
        <v>165.79519145146929</v>
      </c>
      <c r="AO32" s="64">
        <v>290.61356831395352</v>
      </c>
      <c r="AP32" s="64">
        <v>155.957552742616</v>
      </c>
      <c r="AQ32" s="64"/>
      <c r="AR32" s="64"/>
      <c r="AS32" s="64">
        <v>197.51815611938741</v>
      </c>
      <c r="AT32" s="64">
        <v>525.39549305095966</v>
      </c>
      <c r="AU32" s="64"/>
      <c r="AV32" s="64">
        <v>437.0488110831235</v>
      </c>
      <c r="AW32" s="64">
        <v>210.7656602209945</v>
      </c>
      <c r="AX32" s="64"/>
      <c r="AY32" s="64">
        <v>293.41247113163968</v>
      </c>
      <c r="AZ32" s="65">
        <f t="shared" si="0"/>
        <v>287.03947752544605</v>
      </c>
      <c r="BA32" s="10">
        <f t="shared" si="1"/>
        <v>218.36343368270536</v>
      </c>
      <c r="BB32" s="49">
        <f t="shared" si="2"/>
        <v>3</v>
      </c>
      <c r="BC32" s="49">
        <f t="shared" si="3"/>
        <v>26</v>
      </c>
    </row>
    <row r="33" spans="1:55" x14ac:dyDescent="0.2">
      <c r="A33" s="62" t="s">
        <v>187</v>
      </c>
      <c r="B33" s="31" t="s">
        <v>76</v>
      </c>
      <c r="C33" s="62">
        <v>25</v>
      </c>
      <c r="D33" s="63">
        <v>546.0471105527638</v>
      </c>
      <c r="E33" s="64">
        <v>500.36375141242928</v>
      </c>
      <c r="F33" s="64"/>
      <c r="G33" s="64">
        <v>606.27403080191186</v>
      </c>
      <c r="H33" s="64"/>
      <c r="I33" s="64">
        <v>982.59109042553189</v>
      </c>
      <c r="J33" s="64"/>
      <c r="K33" s="64"/>
      <c r="L33" s="64"/>
      <c r="M33" s="64">
        <v>261.19508053691271</v>
      </c>
      <c r="N33" s="64">
        <v>224.1395870535714</v>
      </c>
      <c r="O33" s="64">
        <v>406.04578084997439</v>
      </c>
      <c r="P33" s="64"/>
      <c r="Q33" s="64">
        <v>464.41065083135391</v>
      </c>
      <c r="R33" s="64"/>
      <c r="S33" s="64">
        <v>382.47718847006661</v>
      </c>
      <c r="T33" s="64">
        <v>445.20533225936362</v>
      </c>
      <c r="U33" s="64">
        <v>741.031158714703</v>
      </c>
      <c r="V33" s="64">
        <v>412.38373493975911</v>
      </c>
      <c r="W33" s="64">
        <v>378.2038207806487</v>
      </c>
      <c r="X33" s="64"/>
      <c r="Y33" s="64"/>
      <c r="Z33" s="64">
        <v>251.18670160497871</v>
      </c>
      <c r="AA33" s="64">
        <v>247.2714608529599</v>
      </c>
      <c r="AB33" s="64"/>
      <c r="AC33" s="64">
        <v>288.61194690265489</v>
      </c>
      <c r="AD33" s="64">
        <v>309.8163402061856</v>
      </c>
      <c r="AE33" s="64"/>
      <c r="AF33" s="64">
        <v>232.81380325329201</v>
      </c>
      <c r="AG33" s="64">
        <v>644.98770967741939</v>
      </c>
      <c r="AH33" s="64"/>
      <c r="AI33" s="64"/>
      <c r="AJ33" s="64">
        <v>272.45588418430879</v>
      </c>
      <c r="AK33" s="64"/>
      <c r="AL33" s="64"/>
      <c r="AM33" s="64"/>
      <c r="AN33" s="64"/>
      <c r="AO33" s="64">
        <v>333.86469416785212</v>
      </c>
      <c r="AP33" s="64"/>
      <c r="AQ33" s="64">
        <v>372.05613440197288</v>
      </c>
      <c r="AR33" s="64"/>
      <c r="AS33" s="64"/>
      <c r="AT33" s="64"/>
      <c r="AU33" s="64">
        <v>434.87971111111108</v>
      </c>
      <c r="AV33" s="64"/>
      <c r="AW33" s="64">
        <v>252.02294736842109</v>
      </c>
      <c r="AX33" s="64"/>
      <c r="AY33" s="64">
        <v>181.84710632570659</v>
      </c>
      <c r="AZ33" s="65">
        <f t="shared" si="0"/>
        <v>406.88731030743423</v>
      </c>
      <c r="BA33" s="10">
        <f t="shared" si="1"/>
        <v>139.15980024532956</v>
      </c>
      <c r="BB33" s="49">
        <f t="shared" si="2"/>
        <v>5</v>
      </c>
      <c r="BC33" s="49">
        <f t="shared" si="3"/>
        <v>25</v>
      </c>
    </row>
    <row r="34" spans="1:55" x14ac:dyDescent="0.2">
      <c r="A34" s="62" t="s">
        <v>206</v>
      </c>
      <c r="B34" s="31" t="s">
        <v>80</v>
      </c>
      <c r="C34" s="62">
        <v>25</v>
      </c>
      <c r="D34" s="63">
        <v>1808.673222390318</v>
      </c>
      <c r="E34" s="64">
        <v>1652.671388101983</v>
      </c>
      <c r="F34" s="64"/>
      <c r="G34" s="64">
        <v>1920.227631578947</v>
      </c>
      <c r="H34" s="64"/>
      <c r="I34" s="64">
        <v>2162.853333333333</v>
      </c>
      <c r="J34" s="64">
        <v>57.335329341317369</v>
      </c>
      <c r="K34" s="64"/>
      <c r="L34" s="64"/>
      <c r="M34" s="64">
        <v>1387.6348</v>
      </c>
      <c r="N34" s="64">
        <v>1660.1558441558441</v>
      </c>
      <c r="O34" s="64"/>
      <c r="P34" s="64">
        <v>6243.4974874371856</v>
      </c>
      <c r="Q34" s="64">
        <v>584.29644305772229</v>
      </c>
      <c r="R34" s="64">
        <v>773.31704964539006</v>
      </c>
      <c r="S34" s="64">
        <v>629.12578475336318</v>
      </c>
      <c r="T34" s="64">
        <v>365.54538842975211</v>
      </c>
      <c r="U34" s="64">
        <v>1435.6157826649419</v>
      </c>
      <c r="V34" s="64"/>
      <c r="W34" s="64">
        <v>738.75385677308009</v>
      </c>
      <c r="X34" s="64"/>
      <c r="Y34" s="64"/>
      <c r="Z34" s="64">
        <v>353.35759999999999</v>
      </c>
      <c r="AA34" s="64"/>
      <c r="AB34" s="64">
        <v>1292.7429111531189</v>
      </c>
      <c r="AC34" s="64">
        <v>1190.497800687285</v>
      </c>
      <c r="AD34" s="64"/>
      <c r="AE34" s="64"/>
      <c r="AF34" s="64">
        <v>368.36852272727282</v>
      </c>
      <c r="AG34" s="64"/>
      <c r="AH34" s="64"/>
      <c r="AI34" s="64"/>
      <c r="AJ34" s="64">
        <v>1203.343333333333</v>
      </c>
      <c r="AK34" s="64"/>
      <c r="AL34" s="64"/>
      <c r="AM34" s="64"/>
      <c r="AN34" s="64"/>
      <c r="AO34" s="64">
        <v>1757.536690909091</v>
      </c>
      <c r="AP34" s="64"/>
      <c r="AQ34" s="64">
        <v>1975.961643356643</v>
      </c>
      <c r="AR34" s="64"/>
      <c r="AS34" s="64">
        <v>395.68525166191841</v>
      </c>
      <c r="AT34" s="64">
        <v>2455.5468858131489</v>
      </c>
      <c r="AU34" s="64">
        <v>565.91931921331309</v>
      </c>
      <c r="AV34" s="64"/>
      <c r="AW34" s="64"/>
      <c r="AX34" s="64">
        <v>1124.09819121447</v>
      </c>
      <c r="AY34" s="64"/>
      <c r="AZ34" s="65">
        <f t="shared" si="0"/>
        <v>1364.1104596693112</v>
      </c>
      <c r="BA34" s="10">
        <f t="shared" si="1"/>
        <v>444.56276272100672</v>
      </c>
      <c r="BB34" s="49">
        <f t="shared" si="2"/>
        <v>6</v>
      </c>
      <c r="BC34" s="49">
        <f t="shared" si="3"/>
        <v>25</v>
      </c>
    </row>
    <row r="35" spans="1:55" x14ac:dyDescent="0.2">
      <c r="A35" s="62" t="s">
        <v>235</v>
      </c>
      <c r="B35" s="31" t="s">
        <v>77</v>
      </c>
      <c r="C35" s="62">
        <v>23</v>
      </c>
      <c r="D35" s="63">
        <v>975.4372783687943</v>
      </c>
      <c r="E35" s="64">
        <v>614.58500452161331</v>
      </c>
      <c r="F35" s="64"/>
      <c r="G35" s="64">
        <v>776.14645541336586</v>
      </c>
      <c r="H35" s="64">
        <v>621.26077646239548</v>
      </c>
      <c r="I35" s="64">
        <v>1088.145006344027</v>
      </c>
      <c r="J35" s="64">
        <v>57.460035523978682</v>
      </c>
      <c r="K35" s="64"/>
      <c r="L35" s="64"/>
      <c r="M35" s="64">
        <v>587.33893753648567</v>
      </c>
      <c r="N35" s="64">
        <v>371.59982904034649</v>
      </c>
      <c r="O35" s="64">
        <v>368.71012508451662</v>
      </c>
      <c r="P35" s="64"/>
      <c r="Q35" s="64">
        <v>873.93966178332437</v>
      </c>
      <c r="R35" s="64">
        <v>950.94571447578505</v>
      </c>
      <c r="S35" s="64">
        <v>851.37063048933499</v>
      </c>
      <c r="T35" s="64"/>
      <c r="U35" s="64"/>
      <c r="V35" s="64">
        <v>402.41808807339447</v>
      </c>
      <c r="W35" s="64"/>
      <c r="X35" s="64"/>
      <c r="Y35" s="64"/>
      <c r="Z35" s="64">
        <v>359.17354244800538</v>
      </c>
      <c r="AA35" s="64"/>
      <c r="AB35" s="64">
        <v>674.16324999999995</v>
      </c>
      <c r="AC35" s="64">
        <v>610.04396459524253</v>
      </c>
      <c r="AD35" s="64"/>
      <c r="AE35" s="64"/>
      <c r="AF35" s="64">
        <v>409.85706089309872</v>
      </c>
      <c r="AG35" s="64">
        <v>688.99471428571428</v>
      </c>
      <c r="AH35" s="64"/>
      <c r="AI35" s="64">
        <v>531.55584477802608</v>
      </c>
      <c r="AJ35" s="64">
        <v>924.29029431363836</v>
      </c>
      <c r="AK35" s="64"/>
      <c r="AL35" s="64"/>
      <c r="AM35" s="64"/>
      <c r="AN35" s="64"/>
      <c r="AO35" s="64"/>
      <c r="AP35" s="64"/>
      <c r="AQ35" s="64">
        <v>791.21579926964307</v>
      </c>
      <c r="AR35" s="64"/>
      <c r="AS35" s="64"/>
      <c r="AT35" s="64"/>
      <c r="AU35" s="64"/>
      <c r="AV35" s="64">
        <v>819.98344398340248</v>
      </c>
      <c r="AW35" s="64"/>
      <c r="AX35" s="64"/>
      <c r="AY35" s="64">
        <v>919.78794979079498</v>
      </c>
      <c r="AZ35" s="65">
        <f t="shared" si="0"/>
        <v>663.84449597717071</v>
      </c>
      <c r="BA35" s="10">
        <f t="shared" si="1"/>
        <v>311.59278239162359</v>
      </c>
      <c r="BB35" s="49">
        <f t="shared" si="2"/>
        <v>2</v>
      </c>
      <c r="BC35" s="49">
        <f t="shared" si="3"/>
        <v>23</v>
      </c>
    </row>
    <row r="36" spans="1:55" x14ac:dyDescent="0.2">
      <c r="A36" s="62" t="s">
        <v>287</v>
      </c>
      <c r="B36" s="31" t="s">
        <v>79</v>
      </c>
      <c r="C36" s="62">
        <v>23</v>
      </c>
      <c r="D36" s="63">
        <v>1208.0858725761771</v>
      </c>
      <c r="E36" s="64">
        <v>1471.967355021216</v>
      </c>
      <c r="F36" s="64"/>
      <c r="G36" s="64">
        <v>980.13333333333333</v>
      </c>
      <c r="H36" s="64"/>
      <c r="I36" s="64">
        <v>1570.968807495741</v>
      </c>
      <c r="J36" s="64">
        <v>129.80392156862749</v>
      </c>
      <c r="K36" s="64">
        <v>722.83919270833337</v>
      </c>
      <c r="L36" s="64">
        <v>699.72257053291537</v>
      </c>
      <c r="M36" s="64"/>
      <c r="N36" s="64"/>
      <c r="O36" s="64"/>
      <c r="P36" s="64">
        <v>1728.64</v>
      </c>
      <c r="Q36" s="64"/>
      <c r="R36" s="64">
        <v>799.43256021409456</v>
      </c>
      <c r="S36" s="64">
        <v>567.64581016949148</v>
      </c>
      <c r="T36" s="64"/>
      <c r="U36" s="64"/>
      <c r="V36" s="64"/>
      <c r="W36" s="64"/>
      <c r="X36" s="64"/>
      <c r="Y36" s="64"/>
      <c r="Z36" s="64">
        <v>1040.946731234867</v>
      </c>
      <c r="AA36" s="64">
        <v>1185.8898799999999</v>
      </c>
      <c r="AB36" s="64"/>
      <c r="AC36" s="64">
        <v>614.64447342995174</v>
      </c>
      <c r="AD36" s="64"/>
      <c r="AE36" s="64"/>
      <c r="AF36" s="64"/>
      <c r="AG36" s="64">
        <v>839.50350981287079</v>
      </c>
      <c r="AH36" s="64"/>
      <c r="AI36" s="64"/>
      <c r="AJ36" s="64"/>
      <c r="AK36" s="64"/>
      <c r="AL36" s="64">
        <v>444.18461538461543</v>
      </c>
      <c r="AM36" s="64"/>
      <c r="AN36" s="64">
        <v>381.1794749403341</v>
      </c>
      <c r="AO36" s="64"/>
      <c r="AP36" s="64"/>
      <c r="AQ36" s="64">
        <v>462.85736810551549</v>
      </c>
      <c r="AR36" s="64"/>
      <c r="AS36" s="64">
        <v>962.30875968992245</v>
      </c>
      <c r="AT36" s="64">
        <v>807.5213671875</v>
      </c>
      <c r="AU36" s="64">
        <v>561.81565668662677</v>
      </c>
      <c r="AV36" s="64">
        <v>1261.251643109541</v>
      </c>
      <c r="AW36" s="64"/>
      <c r="AX36" s="64">
        <v>1416.163064833006</v>
      </c>
      <c r="AY36" s="64">
        <v>373.84112974404229</v>
      </c>
      <c r="AZ36" s="65">
        <f t="shared" ref="AZ36:AZ67" si="4">IFERROR(AVERAGEIFS(D36:AY36,$D$3:$AY$3,"Y",D36:AY36,"&lt;&gt;"),"")</f>
        <v>879.6237868599444</v>
      </c>
      <c r="BA36" s="10">
        <f t="shared" ref="BA36:BA67" si="5">IFERROR(D36-AZ36,"")</f>
        <v>328.46208571623265</v>
      </c>
      <c r="BB36" s="49">
        <f t="shared" ref="BB36:BB67" si="6">IFERROR(COUNTIFS(D36:AY36,"&gt;"&amp;D36,$D$3:$AY$3,"Y",D36:AY36,"&lt;&gt;")+1,"")</f>
        <v>6</v>
      </c>
      <c r="BC36" s="49">
        <f t="shared" ref="BC36:BC67" si="7">COUNTIFS($D$3:$AY$3,"Y",D36:AY36,"&lt;&gt;")</f>
        <v>23</v>
      </c>
    </row>
    <row r="37" spans="1:55" x14ac:dyDescent="0.2">
      <c r="A37" s="62" t="s">
        <v>231</v>
      </c>
      <c r="B37" s="31" t="s">
        <v>76</v>
      </c>
      <c r="C37" s="62">
        <v>21</v>
      </c>
      <c r="D37" s="63">
        <v>289.75418994413411</v>
      </c>
      <c r="E37" s="64">
        <v>263.7050211280544</v>
      </c>
      <c r="F37" s="64"/>
      <c r="G37" s="64"/>
      <c r="H37" s="64"/>
      <c r="I37" s="64">
        <v>333.29058618012419</v>
      </c>
      <c r="J37" s="64">
        <v>1.5414525760311071</v>
      </c>
      <c r="K37" s="64"/>
      <c r="L37" s="64"/>
      <c r="M37" s="64">
        <v>149.49641742195371</v>
      </c>
      <c r="N37" s="64">
        <v>210.66697875</v>
      </c>
      <c r="O37" s="64"/>
      <c r="P37" s="64"/>
      <c r="Q37" s="64">
        <v>163.39588249845389</v>
      </c>
      <c r="R37" s="64">
        <v>163.14376459598321</v>
      </c>
      <c r="S37" s="64"/>
      <c r="T37" s="64"/>
      <c r="U37" s="64">
        <v>174.63671264040951</v>
      </c>
      <c r="V37" s="64">
        <v>121.94585542464409</v>
      </c>
      <c r="W37" s="64"/>
      <c r="X37" s="64"/>
      <c r="Y37" s="64"/>
      <c r="Z37" s="64">
        <v>103.170190398318</v>
      </c>
      <c r="AA37" s="64">
        <v>204.59585625</v>
      </c>
      <c r="AB37" s="64"/>
      <c r="AC37" s="64">
        <v>175.00929720808691</v>
      </c>
      <c r="AD37" s="64">
        <v>175.68386480686701</v>
      </c>
      <c r="AE37" s="64"/>
      <c r="AF37" s="64"/>
      <c r="AG37" s="64"/>
      <c r="AH37" s="64"/>
      <c r="AI37" s="64"/>
      <c r="AJ37" s="64">
        <v>202.5855777058762</v>
      </c>
      <c r="AK37" s="64">
        <v>198.92848977272729</v>
      </c>
      <c r="AL37" s="64">
        <v>248.68331071913161</v>
      </c>
      <c r="AM37" s="64"/>
      <c r="AN37" s="64"/>
      <c r="AO37" s="64">
        <v>166.22811999999999</v>
      </c>
      <c r="AP37" s="64"/>
      <c r="AQ37" s="64"/>
      <c r="AR37" s="64"/>
      <c r="AS37" s="64"/>
      <c r="AT37" s="64"/>
      <c r="AU37" s="64">
        <v>175.03809647058819</v>
      </c>
      <c r="AV37" s="64"/>
      <c r="AW37" s="64">
        <v>109.50730043235259</v>
      </c>
      <c r="AX37" s="64">
        <v>441.21836960531169</v>
      </c>
      <c r="AY37" s="64"/>
      <c r="AZ37" s="65">
        <f t="shared" si="4"/>
        <v>193.91549212043086</v>
      </c>
      <c r="BA37" s="10">
        <f t="shared" si="5"/>
        <v>95.838697823703257</v>
      </c>
      <c r="BB37" s="49">
        <f t="shared" si="6"/>
        <v>3</v>
      </c>
      <c r="BC37" s="49">
        <f t="shared" si="7"/>
        <v>21</v>
      </c>
    </row>
    <row r="38" spans="1:55" x14ac:dyDescent="0.2">
      <c r="A38" s="62" t="s">
        <v>339</v>
      </c>
      <c r="B38" s="31" t="s">
        <v>80</v>
      </c>
      <c r="C38" s="62">
        <v>21</v>
      </c>
      <c r="D38" s="63">
        <v>1662.3150912106139</v>
      </c>
      <c r="E38" s="64">
        <v>453.80667838312831</v>
      </c>
      <c r="F38" s="64"/>
      <c r="G38" s="64">
        <v>1031.920739762219</v>
      </c>
      <c r="H38" s="64"/>
      <c r="I38" s="64"/>
      <c r="J38" s="64"/>
      <c r="K38" s="64"/>
      <c r="L38" s="64">
        <v>764.46428571428567</v>
      </c>
      <c r="M38" s="64">
        <v>709.90475862068968</v>
      </c>
      <c r="N38" s="64">
        <v>874.47376811594211</v>
      </c>
      <c r="O38" s="64">
        <v>1317.5313341204251</v>
      </c>
      <c r="P38" s="64"/>
      <c r="Q38" s="64"/>
      <c r="R38" s="64">
        <v>1125.9757928388749</v>
      </c>
      <c r="S38" s="64">
        <v>1185.3534161490679</v>
      </c>
      <c r="T38" s="64">
        <v>913.86103021978022</v>
      </c>
      <c r="U38" s="64">
        <v>1621.551546391752</v>
      </c>
      <c r="V38" s="64">
        <v>965.50792738275334</v>
      </c>
      <c r="W38" s="64">
        <v>791.24066332916152</v>
      </c>
      <c r="X38" s="64"/>
      <c r="Y38" s="64"/>
      <c r="Z38" s="64">
        <v>529.4948453608248</v>
      </c>
      <c r="AA38" s="64"/>
      <c r="AB38" s="64">
        <v>1135.7236467236471</v>
      </c>
      <c r="AC38" s="64">
        <v>1208.8796587926511</v>
      </c>
      <c r="AD38" s="64">
        <v>991.44116057233703</v>
      </c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>
        <v>701.58158484065461</v>
      </c>
      <c r="AP38" s="64"/>
      <c r="AQ38" s="64"/>
      <c r="AR38" s="64"/>
      <c r="AS38" s="64"/>
      <c r="AT38" s="64"/>
      <c r="AU38" s="64">
        <v>1631.4896798029561</v>
      </c>
      <c r="AV38" s="64"/>
      <c r="AW38" s="64">
        <v>842.39967971530245</v>
      </c>
      <c r="AX38" s="64">
        <v>492.46375545851532</v>
      </c>
      <c r="AY38" s="64"/>
      <c r="AZ38" s="65">
        <f t="shared" si="4"/>
        <v>997.68481159550413</v>
      </c>
      <c r="BA38" s="10">
        <f t="shared" si="5"/>
        <v>664.63027961510977</v>
      </c>
      <c r="BB38" s="49">
        <f t="shared" si="6"/>
        <v>1</v>
      </c>
      <c r="BC38" s="49">
        <f t="shared" si="7"/>
        <v>21</v>
      </c>
    </row>
    <row r="39" spans="1:55" x14ac:dyDescent="0.2">
      <c r="A39" s="62" t="s">
        <v>388</v>
      </c>
      <c r="B39" s="31" t="s">
        <v>76</v>
      </c>
      <c r="C39" s="62">
        <v>21</v>
      </c>
      <c r="D39" s="63">
        <v>667.60615272373536</v>
      </c>
      <c r="E39" s="64"/>
      <c r="F39" s="64"/>
      <c r="G39" s="64">
        <v>693.43659086252819</v>
      </c>
      <c r="H39" s="64"/>
      <c r="I39" s="64"/>
      <c r="J39" s="64"/>
      <c r="K39" s="64">
        <v>455.64265588631628</v>
      </c>
      <c r="L39" s="64">
        <v>437.53072983354667</v>
      </c>
      <c r="M39" s="64">
        <v>376.22635219425263</v>
      </c>
      <c r="N39" s="64">
        <v>505.51664787351399</v>
      </c>
      <c r="O39" s="64"/>
      <c r="P39" s="64"/>
      <c r="Q39" s="64">
        <v>333.34838686505901</v>
      </c>
      <c r="R39" s="64">
        <v>353.66042968750003</v>
      </c>
      <c r="S39" s="64"/>
      <c r="T39" s="64"/>
      <c r="U39" s="64"/>
      <c r="V39" s="64">
        <v>554.72286539643517</v>
      </c>
      <c r="W39" s="64">
        <v>433.95690607182161</v>
      </c>
      <c r="X39" s="64"/>
      <c r="Y39" s="64"/>
      <c r="Z39" s="64"/>
      <c r="AA39" s="64"/>
      <c r="AB39" s="64">
        <v>638.38055555555559</v>
      </c>
      <c r="AC39" s="64"/>
      <c r="AD39" s="64"/>
      <c r="AE39" s="64">
        <v>421.83620174346203</v>
      </c>
      <c r="AF39" s="64">
        <v>497.43277694098322</v>
      </c>
      <c r="AG39" s="64"/>
      <c r="AH39" s="64"/>
      <c r="AI39" s="64">
        <v>459.13986444444453</v>
      </c>
      <c r="AJ39" s="64"/>
      <c r="AK39" s="64">
        <v>374.56895846852689</v>
      </c>
      <c r="AL39" s="64">
        <v>569.9733502538071</v>
      </c>
      <c r="AM39" s="64"/>
      <c r="AN39" s="64">
        <v>439.41047162270178</v>
      </c>
      <c r="AO39" s="64"/>
      <c r="AP39" s="64">
        <v>423.89321621961972</v>
      </c>
      <c r="AQ39" s="64"/>
      <c r="AR39" s="64"/>
      <c r="AS39" s="64"/>
      <c r="AT39" s="64"/>
      <c r="AU39" s="64"/>
      <c r="AV39" s="64"/>
      <c r="AW39" s="64">
        <v>503.00466063893907</v>
      </c>
      <c r="AX39" s="64">
        <v>668.71105444062539</v>
      </c>
      <c r="AY39" s="64">
        <v>422.28356095093568</v>
      </c>
      <c r="AZ39" s="65">
        <f t="shared" si="4"/>
        <v>487.15630422258619</v>
      </c>
      <c r="BA39" s="10">
        <f t="shared" si="5"/>
        <v>180.44984850114918</v>
      </c>
      <c r="BB39" s="49">
        <f t="shared" si="6"/>
        <v>3</v>
      </c>
      <c r="BC39" s="49">
        <f t="shared" si="7"/>
        <v>21</v>
      </c>
    </row>
    <row r="40" spans="1:55" x14ac:dyDescent="0.2">
      <c r="A40" s="62" t="s">
        <v>285</v>
      </c>
      <c r="B40" s="31" t="s">
        <v>76</v>
      </c>
      <c r="C40" s="62">
        <v>20</v>
      </c>
      <c r="D40" s="63">
        <v>948.87789001122337</v>
      </c>
      <c r="E40" s="64">
        <v>3404.1463362952841</v>
      </c>
      <c r="F40" s="64"/>
      <c r="G40" s="64">
        <v>2058.007333333333</v>
      </c>
      <c r="H40" s="64"/>
      <c r="I40" s="64"/>
      <c r="J40" s="64"/>
      <c r="K40" s="64">
        <v>1284.077439747135</v>
      </c>
      <c r="L40" s="64">
        <v>1695.381426202322</v>
      </c>
      <c r="M40" s="64"/>
      <c r="N40" s="64"/>
      <c r="O40" s="64"/>
      <c r="P40" s="64">
        <v>1858.3114285714289</v>
      </c>
      <c r="Q40" s="64"/>
      <c r="R40" s="64">
        <v>1915.137327394209</v>
      </c>
      <c r="S40" s="64">
        <v>1939.016121875</v>
      </c>
      <c r="T40" s="64"/>
      <c r="U40" s="64"/>
      <c r="V40" s="64"/>
      <c r="W40" s="64"/>
      <c r="X40" s="64">
        <v>1986.4159048917161</v>
      </c>
      <c r="Y40" s="64">
        <v>1761.292487235595</v>
      </c>
      <c r="Z40" s="64"/>
      <c r="AA40" s="64">
        <v>1352.893852734494</v>
      </c>
      <c r="AB40" s="64"/>
      <c r="AC40" s="64"/>
      <c r="AD40" s="64"/>
      <c r="AE40" s="64">
        <v>1278.0316482047369</v>
      </c>
      <c r="AF40" s="64"/>
      <c r="AG40" s="64"/>
      <c r="AH40" s="64">
        <v>1805.3673210584079</v>
      </c>
      <c r="AI40" s="64"/>
      <c r="AJ40" s="64"/>
      <c r="AK40" s="64"/>
      <c r="AL40" s="64"/>
      <c r="AM40" s="64">
        <v>1625.2327468382521</v>
      </c>
      <c r="AN40" s="64"/>
      <c r="AO40" s="64"/>
      <c r="AP40" s="64">
        <v>800.60264607864917</v>
      </c>
      <c r="AQ40" s="64"/>
      <c r="AR40" s="64"/>
      <c r="AS40" s="64">
        <v>2065.050546799614</v>
      </c>
      <c r="AT40" s="64">
        <v>2233.205389341334</v>
      </c>
      <c r="AU40" s="64">
        <v>1751.05879693766</v>
      </c>
      <c r="AV40" s="64">
        <v>1945.6051559633031</v>
      </c>
      <c r="AW40" s="64"/>
      <c r="AX40" s="64">
        <v>2489.8206249999998</v>
      </c>
      <c r="AY40" s="64"/>
      <c r="AZ40" s="65">
        <f t="shared" si="4"/>
        <v>1809.8766212256851</v>
      </c>
      <c r="BA40" s="10">
        <f t="shared" si="5"/>
        <v>-860.99873121446171</v>
      </c>
      <c r="BB40" s="49">
        <f t="shared" si="6"/>
        <v>19</v>
      </c>
      <c r="BC40" s="49">
        <f t="shared" si="7"/>
        <v>20</v>
      </c>
    </row>
    <row r="41" spans="1:55" x14ac:dyDescent="0.2">
      <c r="A41" s="62" t="s">
        <v>245</v>
      </c>
      <c r="B41" s="31" t="s">
        <v>79</v>
      </c>
      <c r="C41" s="62">
        <v>19</v>
      </c>
      <c r="D41" s="63">
        <v>444.25491803278692</v>
      </c>
      <c r="E41" s="64"/>
      <c r="F41" s="64"/>
      <c r="G41" s="64"/>
      <c r="H41" s="64"/>
      <c r="I41" s="64"/>
      <c r="J41" s="64"/>
      <c r="K41" s="64"/>
      <c r="L41" s="64"/>
      <c r="M41" s="64">
        <v>781.38606854838713</v>
      </c>
      <c r="N41" s="64">
        <v>318.95188694929351</v>
      </c>
      <c r="O41" s="64"/>
      <c r="P41" s="64"/>
      <c r="Q41" s="64"/>
      <c r="R41" s="64">
        <v>222.37853999999999</v>
      </c>
      <c r="S41" s="64">
        <v>380.21042765502489</v>
      </c>
      <c r="T41" s="64">
        <v>270.58620333598088</v>
      </c>
      <c r="U41" s="64">
        <v>299.2246987951807</v>
      </c>
      <c r="V41" s="64">
        <v>373.62445564516128</v>
      </c>
      <c r="W41" s="64"/>
      <c r="X41" s="64"/>
      <c r="Y41" s="64"/>
      <c r="Z41" s="64"/>
      <c r="AA41" s="64"/>
      <c r="AB41" s="64">
        <v>453.82130584192441</v>
      </c>
      <c r="AC41" s="64"/>
      <c r="AD41" s="64">
        <v>438.36038121546972</v>
      </c>
      <c r="AE41" s="64"/>
      <c r="AF41" s="64">
        <v>348.14971452560877</v>
      </c>
      <c r="AG41" s="64"/>
      <c r="AH41" s="64"/>
      <c r="AI41" s="64">
        <v>325.74839632277838</v>
      </c>
      <c r="AJ41" s="64">
        <v>230.0017179670723</v>
      </c>
      <c r="AK41" s="64">
        <v>373.27066604995377</v>
      </c>
      <c r="AL41" s="64"/>
      <c r="AM41" s="64"/>
      <c r="AN41" s="64"/>
      <c r="AO41" s="64">
        <v>296.66341463414642</v>
      </c>
      <c r="AP41" s="64"/>
      <c r="AQ41" s="64"/>
      <c r="AR41" s="64"/>
      <c r="AS41" s="64"/>
      <c r="AT41" s="64">
        <v>776.72625000000005</v>
      </c>
      <c r="AU41" s="64">
        <v>279.57880198019802</v>
      </c>
      <c r="AV41" s="64"/>
      <c r="AW41" s="64">
        <v>372.33619649122812</v>
      </c>
      <c r="AX41" s="64">
        <v>388.53265306122449</v>
      </c>
      <c r="AY41" s="64"/>
      <c r="AZ41" s="65">
        <f t="shared" si="4"/>
        <v>388.09508931849575</v>
      </c>
      <c r="BA41" s="10">
        <f t="shared" si="5"/>
        <v>56.159828714291166</v>
      </c>
      <c r="BB41" s="49">
        <f t="shared" si="6"/>
        <v>4</v>
      </c>
      <c r="BC41" s="49">
        <f t="shared" si="7"/>
        <v>19</v>
      </c>
    </row>
    <row r="42" spans="1:55" x14ac:dyDescent="0.2">
      <c r="A42" s="62" t="s">
        <v>260</v>
      </c>
      <c r="B42" s="31" t="s">
        <v>76</v>
      </c>
      <c r="C42" s="62">
        <v>18</v>
      </c>
      <c r="D42" s="63">
        <v>200.98659673659671</v>
      </c>
      <c r="E42" s="64"/>
      <c r="F42" s="64">
        <v>489.36380200425151</v>
      </c>
      <c r="G42" s="64"/>
      <c r="H42" s="64"/>
      <c r="I42" s="64"/>
      <c r="J42" s="64"/>
      <c r="K42" s="64">
        <v>422.05080763582959</v>
      </c>
      <c r="L42" s="64"/>
      <c r="M42" s="64"/>
      <c r="N42" s="64"/>
      <c r="O42" s="64">
        <v>425.38643557659782</v>
      </c>
      <c r="P42" s="64">
        <v>478.47593582887703</v>
      </c>
      <c r="Q42" s="64"/>
      <c r="R42" s="64">
        <v>259.64419354838708</v>
      </c>
      <c r="S42" s="64"/>
      <c r="T42" s="64">
        <v>407.5407331460674</v>
      </c>
      <c r="U42" s="64"/>
      <c r="V42" s="64"/>
      <c r="W42" s="64">
        <v>260.85949029126209</v>
      </c>
      <c r="X42" s="64">
        <v>616.63849148936163</v>
      </c>
      <c r="Y42" s="64">
        <v>381.04848484848492</v>
      </c>
      <c r="Z42" s="64"/>
      <c r="AA42" s="64"/>
      <c r="AB42" s="64"/>
      <c r="AC42" s="64"/>
      <c r="AD42" s="64"/>
      <c r="AE42" s="64">
        <v>500.27538438256659</v>
      </c>
      <c r="AF42" s="64"/>
      <c r="AG42" s="64"/>
      <c r="AH42" s="64"/>
      <c r="AI42" s="64"/>
      <c r="AJ42" s="64"/>
      <c r="AK42" s="64"/>
      <c r="AL42" s="64"/>
      <c r="AM42" s="64"/>
      <c r="AN42" s="64">
        <v>179.84142857142859</v>
      </c>
      <c r="AO42" s="64">
        <v>324.80059473684207</v>
      </c>
      <c r="AP42" s="64"/>
      <c r="AQ42" s="64"/>
      <c r="AR42" s="64">
        <v>263.07663945219912</v>
      </c>
      <c r="AS42" s="64"/>
      <c r="AT42" s="64">
        <v>497.98357983623339</v>
      </c>
      <c r="AU42" s="64">
        <v>266.06506746626678</v>
      </c>
      <c r="AV42" s="64">
        <v>426.721572554869</v>
      </c>
      <c r="AW42" s="64"/>
      <c r="AX42" s="64">
        <v>291.64644444444451</v>
      </c>
      <c r="AY42" s="64"/>
      <c r="AZ42" s="65">
        <f t="shared" si="4"/>
        <v>371.80031569725372</v>
      </c>
      <c r="BA42" s="10">
        <f t="shared" si="5"/>
        <v>-170.81371896065701</v>
      </c>
      <c r="BB42" s="49">
        <f t="shared" si="6"/>
        <v>17</v>
      </c>
      <c r="BC42" s="49">
        <f t="shared" si="7"/>
        <v>18</v>
      </c>
    </row>
    <row r="43" spans="1:55" x14ac:dyDescent="0.2">
      <c r="A43" s="62" t="s">
        <v>353</v>
      </c>
      <c r="B43" s="31" t="s">
        <v>76</v>
      </c>
      <c r="C43" s="62">
        <v>18</v>
      </c>
      <c r="D43" s="63">
        <v>207.5796</v>
      </c>
      <c r="E43" s="64"/>
      <c r="F43" s="64"/>
      <c r="G43" s="64"/>
      <c r="H43" s="64"/>
      <c r="I43" s="64"/>
      <c r="J43" s="64"/>
      <c r="K43" s="64">
        <v>364.27620466964731</v>
      </c>
      <c r="L43" s="64">
        <v>275.72874639769452</v>
      </c>
      <c r="M43" s="64"/>
      <c r="N43" s="64"/>
      <c r="O43" s="64">
        <v>511.31827375352782</v>
      </c>
      <c r="P43" s="64">
        <v>413.79161676646709</v>
      </c>
      <c r="Q43" s="64"/>
      <c r="R43" s="64"/>
      <c r="S43" s="64">
        <v>202.26657354149549</v>
      </c>
      <c r="T43" s="64">
        <v>386.23414765100682</v>
      </c>
      <c r="U43" s="64"/>
      <c r="V43" s="64"/>
      <c r="W43" s="64"/>
      <c r="X43" s="64">
        <v>497.84425452276992</v>
      </c>
      <c r="Y43" s="64">
        <v>441.79711191335741</v>
      </c>
      <c r="Z43" s="64">
        <v>252.93886276186399</v>
      </c>
      <c r="AA43" s="64">
        <v>287.36319354838707</v>
      </c>
      <c r="AB43" s="64"/>
      <c r="AC43" s="64"/>
      <c r="AD43" s="64"/>
      <c r="AE43" s="64">
        <v>370.81761599999999</v>
      </c>
      <c r="AF43" s="64"/>
      <c r="AG43" s="64"/>
      <c r="AH43" s="64"/>
      <c r="AI43" s="64"/>
      <c r="AJ43" s="64"/>
      <c r="AK43" s="64"/>
      <c r="AL43" s="64"/>
      <c r="AM43" s="64"/>
      <c r="AN43" s="64">
        <v>283.74530271398748</v>
      </c>
      <c r="AO43" s="64"/>
      <c r="AP43" s="64"/>
      <c r="AQ43" s="64"/>
      <c r="AR43" s="64">
        <v>362.51348960636892</v>
      </c>
      <c r="AS43" s="64"/>
      <c r="AT43" s="64">
        <v>451.7267918552036</v>
      </c>
      <c r="AU43" s="64">
        <v>201.84813106796119</v>
      </c>
      <c r="AV43" s="64">
        <v>481.21065555555549</v>
      </c>
      <c r="AW43" s="64">
        <v>241.26385129819039</v>
      </c>
      <c r="AX43" s="64"/>
      <c r="AY43" s="64"/>
      <c r="AZ43" s="65">
        <f t="shared" si="4"/>
        <v>346.348023534638</v>
      </c>
      <c r="BA43" s="10">
        <f t="shared" si="5"/>
        <v>-138.768423534638</v>
      </c>
      <c r="BB43" s="49">
        <f t="shared" si="6"/>
        <v>16</v>
      </c>
      <c r="BC43" s="49">
        <f t="shared" si="7"/>
        <v>18</v>
      </c>
    </row>
    <row r="44" spans="1:55" x14ac:dyDescent="0.2">
      <c r="A44" s="62" t="s">
        <v>164</v>
      </c>
      <c r="B44" s="31" t="s">
        <v>76</v>
      </c>
      <c r="C44" s="62">
        <v>17</v>
      </c>
      <c r="D44" s="63">
        <v>477.40858149215501</v>
      </c>
      <c r="E44" s="64"/>
      <c r="F44" s="64"/>
      <c r="G44" s="64">
        <v>346.96336151678202</v>
      </c>
      <c r="H44" s="64"/>
      <c r="I44" s="64">
        <v>530.65230928905032</v>
      </c>
      <c r="J44" s="64"/>
      <c r="K44" s="64"/>
      <c r="L44" s="64">
        <v>721.28482972136226</v>
      </c>
      <c r="M44" s="64">
        <v>559.70766944444449</v>
      </c>
      <c r="N44" s="64"/>
      <c r="O44" s="64">
        <v>842.8723556194584</v>
      </c>
      <c r="P44" s="64">
        <v>848.41240392260795</v>
      </c>
      <c r="Q44" s="64"/>
      <c r="R44" s="64"/>
      <c r="S44" s="64">
        <v>607.80285042333026</v>
      </c>
      <c r="T44" s="64">
        <v>1102.016508019984</v>
      </c>
      <c r="U44" s="64"/>
      <c r="V44" s="64">
        <v>735.14293309303901</v>
      </c>
      <c r="W44" s="64"/>
      <c r="X44" s="64"/>
      <c r="Y44" s="64"/>
      <c r="Z44" s="64"/>
      <c r="AA44" s="64"/>
      <c r="AB44" s="64"/>
      <c r="AC44" s="64"/>
      <c r="AD44" s="64"/>
      <c r="AE44" s="64">
        <v>827.86562482983936</v>
      </c>
      <c r="AF44" s="64"/>
      <c r="AG44" s="64">
        <v>859.89447972456003</v>
      </c>
      <c r="AH44" s="64"/>
      <c r="AI44" s="64"/>
      <c r="AJ44" s="64">
        <v>323.90995608685051</v>
      </c>
      <c r="AK44" s="64"/>
      <c r="AL44" s="64">
        <v>609.66</v>
      </c>
      <c r="AM44" s="64"/>
      <c r="AN44" s="64">
        <v>534.74980714836715</v>
      </c>
      <c r="AO44" s="64">
        <v>475.2739900764937</v>
      </c>
      <c r="AP44" s="64"/>
      <c r="AQ44" s="64"/>
      <c r="AR44" s="64"/>
      <c r="AS44" s="64"/>
      <c r="AT44" s="64"/>
      <c r="AU44" s="64"/>
      <c r="AV44" s="64"/>
      <c r="AW44" s="64">
        <v>515.76786184210516</v>
      </c>
      <c r="AX44" s="64"/>
      <c r="AY44" s="64"/>
      <c r="AZ44" s="65">
        <f t="shared" si="4"/>
        <v>642.3167954264959</v>
      </c>
      <c r="BA44" s="10">
        <f t="shared" si="5"/>
        <v>-164.90821393434089</v>
      </c>
      <c r="BB44" s="49">
        <f t="shared" si="6"/>
        <v>14</v>
      </c>
      <c r="BC44" s="49">
        <f t="shared" si="7"/>
        <v>17</v>
      </c>
    </row>
    <row r="45" spans="1:55" x14ac:dyDescent="0.2">
      <c r="A45" s="62" t="s">
        <v>168</v>
      </c>
      <c r="B45" s="31" t="s">
        <v>77</v>
      </c>
      <c r="C45" s="62">
        <v>15</v>
      </c>
      <c r="D45" s="63">
        <v>133.08685833333331</v>
      </c>
      <c r="E45" s="64">
        <v>463.56912280701749</v>
      </c>
      <c r="F45" s="64"/>
      <c r="G45" s="64">
        <v>490.28010586678431</v>
      </c>
      <c r="H45" s="64"/>
      <c r="I45" s="64">
        <v>468.74686128182623</v>
      </c>
      <c r="J45" s="64"/>
      <c r="K45" s="64"/>
      <c r="L45" s="64"/>
      <c r="M45" s="64"/>
      <c r="N45" s="64"/>
      <c r="O45" s="64"/>
      <c r="P45" s="64">
        <v>867.8906832298137</v>
      </c>
      <c r="Q45" s="64">
        <v>321.41866150442479</v>
      </c>
      <c r="R45" s="64"/>
      <c r="S45" s="64"/>
      <c r="T45" s="64"/>
      <c r="U45" s="64">
        <v>451.36668818592642</v>
      </c>
      <c r="V45" s="64"/>
      <c r="W45" s="64"/>
      <c r="X45" s="64"/>
      <c r="Y45" s="64"/>
      <c r="Z45" s="64"/>
      <c r="AA45" s="64"/>
      <c r="AB45" s="64"/>
      <c r="AC45" s="64">
        <v>457.34493662864389</v>
      </c>
      <c r="AD45" s="64"/>
      <c r="AE45" s="64"/>
      <c r="AF45" s="64"/>
      <c r="AG45" s="64">
        <v>350.29153529411758</v>
      </c>
      <c r="AH45" s="64"/>
      <c r="AI45" s="64"/>
      <c r="AJ45" s="64">
        <v>377.60628298279158</v>
      </c>
      <c r="AK45" s="64"/>
      <c r="AL45" s="64">
        <v>385.69332654100867</v>
      </c>
      <c r="AM45" s="64"/>
      <c r="AN45" s="64"/>
      <c r="AO45" s="64"/>
      <c r="AP45" s="64"/>
      <c r="AQ45" s="64">
        <v>384.39772222222223</v>
      </c>
      <c r="AR45" s="64"/>
      <c r="AS45" s="64">
        <v>380.32685204081628</v>
      </c>
      <c r="AT45" s="64">
        <v>708.78611741682971</v>
      </c>
      <c r="AU45" s="64"/>
      <c r="AV45" s="64"/>
      <c r="AW45" s="64"/>
      <c r="AX45" s="64">
        <v>394.72793781435757</v>
      </c>
      <c r="AY45" s="64"/>
      <c r="AZ45" s="65">
        <f t="shared" si="4"/>
        <v>442.3689128099943</v>
      </c>
      <c r="BA45" s="10">
        <f t="shared" si="5"/>
        <v>-309.28205447666096</v>
      </c>
      <c r="BB45" s="49">
        <f t="shared" si="6"/>
        <v>15</v>
      </c>
      <c r="BC45" s="49">
        <f t="shared" si="7"/>
        <v>15</v>
      </c>
    </row>
    <row r="46" spans="1:55" x14ac:dyDescent="0.2">
      <c r="A46" s="62" t="s">
        <v>279</v>
      </c>
      <c r="B46" s="31" t="s">
        <v>76</v>
      </c>
      <c r="C46" s="62">
        <v>15</v>
      </c>
      <c r="D46" s="63">
        <v>73.485263157894735</v>
      </c>
      <c r="E46" s="64"/>
      <c r="F46" s="64"/>
      <c r="G46" s="64"/>
      <c r="H46" s="64">
        <v>100.9563496988501</v>
      </c>
      <c r="I46" s="64"/>
      <c r="J46" s="64">
        <v>12.705930807248761</v>
      </c>
      <c r="K46" s="64">
        <v>273.73733437256431</v>
      </c>
      <c r="L46" s="64"/>
      <c r="M46" s="64"/>
      <c r="N46" s="64">
        <v>115.0507437715948</v>
      </c>
      <c r="O46" s="64"/>
      <c r="P46" s="64"/>
      <c r="Q46" s="64"/>
      <c r="R46" s="64"/>
      <c r="S46" s="64">
        <v>159.5262236363636</v>
      </c>
      <c r="T46" s="64"/>
      <c r="U46" s="64"/>
      <c r="V46" s="64"/>
      <c r="W46" s="64"/>
      <c r="X46" s="64">
        <v>304.98212769230759</v>
      </c>
      <c r="Y46" s="64">
        <v>285.99160737091768</v>
      </c>
      <c r="Z46" s="64"/>
      <c r="AA46" s="64">
        <v>187.56073194098491</v>
      </c>
      <c r="AB46" s="64"/>
      <c r="AC46" s="64"/>
      <c r="AD46" s="64"/>
      <c r="AE46" s="64">
        <v>332.01924384949348</v>
      </c>
      <c r="AF46" s="64"/>
      <c r="AG46" s="64">
        <v>107.7182534482758</v>
      </c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>
        <v>279.06818181818181</v>
      </c>
      <c r="AS46" s="64"/>
      <c r="AT46" s="64"/>
      <c r="AU46" s="64">
        <v>204.45893306944939</v>
      </c>
      <c r="AV46" s="64">
        <v>392.32772770853308</v>
      </c>
      <c r="AW46" s="64"/>
      <c r="AX46" s="64"/>
      <c r="AY46" s="64">
        <v>192.86680851063829</v>
      </c>
      <c r="AZ46" s="65">
        <f t="shared" si="4"/>
        <v>201.49703072355322</v>
      </c>
      <c r="BA46" s="10">
        <f t="shared" si="5"/>
        <v>-128.01176756565849</v>
      </c>
      <c r="BB46" s="49">
        <f t="shared" si="6"/>
        <v>14</v>
      </c>
      <c r="BC46" s="49">
        <f t="shared" si="7"/>
        <v>15</v>
      </c>
    </row>
    <row r="47" spans="1:55" x14ac:dyDescent="0.2">
      <c r="A47" s="62" t="s">
        <v>351</v>
      </c>
      <c r="B47" s="31" t="s">
        <v>85</v>
      </c>
      <c r="C47" s="62">
        <v>15</v>
      </c>
      <c r="D47" s="63">
        <v>511.38991354466862</v>
      </c>
      <c r="E47" s="64">
        <v>838.63460625000005</v>
      </c>
      <c r="F47" s="64"/>
      <c r="G47" s="64"/>
      <c r="H47" s="64"/>
      <c r="I47" s="64">
        <v>1033.0872727272731</v>
      </c>
      <c r="J47" s="64"/>
      <c r="K47" s="64"/>
      <c r="L47" s="64">
        <v>1111.935919055649</v>
      </c>
      <c r="M47" s="64"/>
      <c r="N47" s="64">
        <v>1074.7352855302699</v>
      </c>
      <c r="O47" s="64"/>
      <c r="P47" s="64">
        <v>780.92682926829264</v>
      </c>
      <c r="Q47" s="64">
        <v>660.02168947368421</v>
      </c>
      <c r="R47" s="64"/>
      <c r="S47" s="64"/>
      <c r="T47" s="64">
        <v>851.34112028725326</v>
      </c>
      <c r="U47" s="64"/>
      <c r="V47" s="64">
        <v>950.69577672003459</v>
      </c>
      <c r="W47" s="64"/>
      <c r="X47" s="64"/>
      <c r="Y47" s="64"/>
      <c r="Z47" s="64"/>
      <c r="AA47" s="64"/>
      <c r="AB47" s="64"/>
      <c r="AC47" s="64"/>
      <c r="AD47" s="64"/>
      <c r="AE47" s="64">
        <v>804.71707600281502</v>
      </c>
      <c r="AF47" s="64"/>
      <c r="AG47" s="64"/>
      <c r="AH47" s="64">
        <v>432.88265499999989</v>
      </c>
      <c r="AI47" s="64"/>
      <c r="AJ47" s="64"/>
      <c r="AK47" s="64"/>
      <c r="AL47" s="64"/>
      <c r="AM47" s="64"/>
      <c r="AN47" s="64"/>
      <c r="AO47" s="64"/>
      <c r="AP47" s="64"/>
      <c r="AQ47" s="64">
        <v>425.15215000000001</v>
      </c>
      <c r="AR47" s="64">
        <v>650.45759444872783</v>
      </c>
      <c r="AS47" s="64"/>
      <c r="AT47" s="64">
        <v>1470.9471699078811</v>
      </c>
      <c r="AU47" s="64">
        <v>692.00208804051431</v>
      </c>
      <c r="AV47" s="64"/>
      <c r="AW47" s="64"/>
      <c r="AX47" s="64"/>
      <c r="AY47" s="64"/>
      <c r="AZ47" s="65">
        <f t="shared" si="4"/>
        <v>819.26180975047077</v>
      </c>
      <c r="BA47" s="10">
        <f t="shared" si="5"/>
        <v>-307.87189620580216</v>
      </c>
      <c r="BB47" s="49">
        <f t="shared" si="6"/>
        <v>13</v>
      </c>
      <c r="BC47" s="49">
        <f t="shared" si="7"/>
        <v>15</v>
      </c>
    </row>
    <row r="48" spans="1:55" x14ac:dyDescent="0.2">
      <c r="A48" s="62" t="s">
        <v>242</v>
      </c>
      <c r="B48" s="31" t="s">
        <v>82</v>
      </c>
      <c r="C48" s="62">
        <v>14</v>
      </c>
      <c r="D48" s="63">
        <v>150.28928666371289</v>
      </c>
      <c r="E48" s="64"/>
      <c r="F48" s="64"/>
      <c r="G48" s="64"/>
      <c r="H48" s="64"/>
      <c r="I48" s="64">
        <v>332.6154051885531</v>
      </c>
      <c r="J48" s="64"/>
      <c r="K48" s="64"/>
      <c r="L48" s="64"/>
      <c r="M48" s="64">
        <v>193.38313774104691</v>
      </c>
      <c r="N48" s="64"/>
      <c r="O48" s="64"/>
      <c r="P48" s="64"/>
      <c r="Q48" s="64"/>
      <c r="R48" s="64">
        <v>231.6021619176843</v>
      </c>
      <c r="S48" s="64">
        <v>156.39987783207459</v>
      </c>
      <c r="T48" s="64">
        <v>170.40390194552529</v>
      </c>
      <c r="U48" s="64">
        <v>194.23128598848371</v>
      </c>
      <c r="V48" s="64"/>
      <c r="W48" s="64">
        <v>115.4444943820225</v>
      </c>
      <c r="X48" s="64"/>
      <c r="Y48" s="64"/>
      <c r="Z48" s="64"/>
      <c r="AA48" s="64"/>
      <c r="AB48" s="64"/>
      <c r="AC48" s="64">
        <v>122.87108181818181</v>
      </c>
      <c r="AD48" s="64"/>
      <c r="AE48" s="64"/>
      <c r="AF48" s="64"/>
      <c r="AG48" s="64">
        <v>194.01224969097649</v>
      </c>
      <c r="AH48" s="64"/>
      <c r="AI48" s="64">
        <v>141.07792424883621</v>
      </c>
      <c r="AJ48" s="64">
        <v>83.691574570815447</v>
      </c>
      <c r="AK48" s="64"/>
      <c r="AL48" s="64"/>
      <c r="AM48" s="64"/>
      <c r="AN48" s="64"/>
      <c r="AO48" s="64">
        <v>127.0083811188811</v>
      </c>
      <c r="AP48" s="64"/>
      <c r="AQ48" s="64"/>
      <c r="AR48" s="64"/>
      <c r="AS48" s="64"/>
      <c r="AT48" s="64"/>
      <c r="AU48" s="64">
        <v>250.14662958280661</v>
      </c>
      <c r="AV48" s="64"/>
      <c r="AW48" s="64"/>
      <c r="AX48" s="64"/>
      <c r="AY48" s="64"/>
      <c r="AZ48" s="65">
        <f t="shared" si="4"/>
        <v>175.94124233497152</v>
      </c>
      <c r="BA48" s="10">
        <f t="shared" si="5"/>
        <v>-25.651955671258634</v>
      </c>
      <c r="BB48" s="49">
        <f t="shared" si="6"/>
        <v>9</v>
      </c>
      <c r="BC48" s="49">
        <f t="shared" si="7"/>
        <v>14</v>
      </c>
    </row>
    <row r="49" spans="1:55" x14ac:dyDescent="0.2">
      <c r="A49" s="62" t="s">
        <v>369</v>
      </c>
      <c r="B49" s="31" t="s">
        <v>84</v>
      </c>
      <c r="C49" s="62">
        <v>14</v>
      </c>
      <c r="D49" s="63">
        <v>513.13135802469139</v>
      </c>
      <c r="E49" s="64">
        <v>1803.778184931507</v>
      </c>
      <c r="F49" s="64"/>
      <c r="G49" s="64">
        <v>242.09244372990361</v>
      </c>
      <c r="H49" s="64"/>
      <c r="I49" s="64">
        <v>3013.4876296887469</v>
      </c>
      <c r="J49" s="64">
        <v>39.390476190476193</v>
      </c>
      <c r="K49" s="64"/>
      <c r="L49" s="64">
        <v>1214.388068181818</v>
      </c>
      <c r="M49" s="64"/>
      <c r="N49" s="64"/>
      <c r="O49" s="64"/>
      <c r="P49" s="64">
        <v>1356.8556990454799</v>
      </c>
      <c r="Q49" s="64">
        <v>994.56142412935344</v>
      </c>
      <c r="R49" s="64">
        <v>388.3392694063927</v>
      </c>
      <c r="S49" s="64"/>
      <c r="T49" s="64"/>
      <c r="U49" s="64">
        <v>1023.489733840304</v>
      </c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>
        <v>3974.2604856512139</v>
      </c>
      <c r="AM49" s="64"/>
      <c r="AN49" s="64"/>
      <c r="AO49" s="64"/>
      <c r="AP49" s="64">
        <v>248.6419361084221</v>
      </c>
      <c r="AQ49" s="64">
        <v>1484.280457933972</v>
      </c>
      <c r="AR49" s="64"/>
      <c r="AS49" s="64">
        <v>1614.9420073664819</v>
      </c>
      <c r="AT49" s="64"/>
      <c r="AU49" s="64"/>
      <c r="AV49" s="64"/>
      <c r="AW49" s="64"/>
      <c r="AX49" s="64"/>
      <c r="AY49" s="64"/>
      <c r="AZ49" s="65">
        <f t="shared" si="4"/>
        <v>1279.4027981591973</v>
      </c>
      <c r="BA49" s="10">
        <f t="shared" si="5"/>
        <v>-766.27144013450595</v>
      </c>
      <c r="BB49" s="49">
        <f t="shared" si="6"/>
        <v>10</v>
      </c>
      <c r="BC49" s="49">
        <f t="shared" si="7"/>
        <v>14</v>
      </c>
    </row>
    <row r="50" spans="1:55" x14ac:dyDescent="0.2">
      <c r="A50" s="62" t="s">
        <v>228</v>
      </c>
      <c r="B50" s="31" t="s">
        <v>76</v>
      </c>
      <c r="C50" s="62">
        <v>13</v>
      </c>
      <c r="D50" s="63">
        <v>193.40219550918579</v>
      </c>
      <c r="E50" s="64">
        <v>214.77463565581951</v>
      </c>
      <c r="F50" s="64"/>
      <c r="G50" s="64"/>
      <c r="H50" s="64"/>
      <c r="I50" s="64"/>
      <c r="J50" s="64">
        <v>23.126873126873129</v>
      </c>
      <c r="K50" s="64"/>
      <c r="L50" s="64">
        <v>364.92828562634662</v>
      </c>
      <c r="M50" s="64"/>
      <c r="N50" s="64"/>
      <c r="O50" s="64"/>
      <c r="P50" s="64"/>
      <c r="Q50" s="64"/>
      <c r="R50" s="64"/>
      <c r="S50" s="64">
        <v>325.33949235704853</v>
      </c>
      <c r="T50" s="64">
        <v>161.09294813027739</v>
      </c>
      <c r="U50" s="64"/>
      <c r="V50" s="64"/>
      <c r="W50" s="64">
        <v>194.58495747001089</v>
      </c>
      <c r="X50" s="64"/>
      <c r="Y50" s="64"/>
      <c r="Z50" s="64"/>
      <c r="AA50" s="64">
        <v>163.6480101959535</v>
      </c>
      <c r="AB50" s="64"/>
      <c r="AC50" s="64"/>
      <c r="AD50" s="64"/>
      <c r="AE50" s="64"/>
      <c r="AF50" s="64"/>
      <c r="AG50" s="64">
        <v>191.26627915194351</v>
      </c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>
        <v>136.31979999999999</v>
      </c>
      <c r="AS50" s="64"/>
      <c r="AT50" s="64">
        <v>322.99796052631581</v>
      </c>
      <c r="AU50" s="64">
        <v>188.27782462493531</v>
      </c>
      <c r="AV50" s="64"/>
      <c r="AW50" s="64">
        <v>226.68556663644611</v>
      </c>
      <c r="AX50" s="64"/>
      <c r="AY50" s="64"/>
      <c r="AZ50" s="65">
        <f t="shared" si="4"/>
        <v>208.18806377008895</v>
      </c>
      <c r="BA50" s="10">
        <f t="shared" si="5"/>
        <v>-14.785868260903158</v>
      </c>
      <c r="BB50" s="49">
        <f t="shared" si="6"/>
        <v>7</v>
      </c>
      <c r="BC50" s="49">
        <f t="shared" si="7"/>
        <v>13</v>
      </c>
    </row>
    <row r="51" spans="1:55" x14ac:dyDescent="0.2">
      <c r="A51" s="62" t="s">
        <v>331</v>
      </c>
      <c r="B51" s="31" t="s">
        <v>81</v>
      </c>
      <c r="C51" s="62">
        <v>13</v>
      </c>
      <c r="D51" s="63">
        <v>1299.625667976424</v>
      </c>
      <c r="E51" s="64">
        <v>1409.922888616891</v>
      </c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>
        <v>1028.752640218878</v>
      </c>
      <c r="R51" s="64">
        <v>2127.111100278551</v>
      </c>
      <c r="S51" s="64"/>
      <c r="T51" s="64">
        <v>1197.0589675870351</v>
      </c>
      <c r="U51" s="64"/>
      <c r="V51" s="64"/>
      <c r="W51" s="64"/>
      <c r="X51" s="64"/>
      <c r="Y51" s="64"/>
      <c r="Z51" s="64"/>
      <c r="AA51" s="64"/>
      <c r="AB51" s="64">
        <v>2363.711566617862</v>
      </c>
      <c r="AC51" s="64">
        <v>1579.895012919897</v>
      </c>
      <c r="AD51" s="64"/>
      <c r="AE51" s="64"/>
      <c r="AF51" s="64"/>
      <c r="AG51" s="64"/>
      <c r="AH51" s="64"/>
      <c r="AI51" s="64">
        <v>719.56100529100524</v>
      </c>
      <c r="AJ51" s="64">
        <v>1144.4549121093751</v>
      </c>
      <c r="AK51" s="64"/>
      <c r="AL51" s="64"/>
      <c r="AM51" s="64"/>
      <c r="AN51" s="64"/>
      <c r="AO51" s="64">
        <v>1814.4497003154579</v>
      </c>
      <c r="AP51" s="64"/>
      <c r="AQ51" s="64">
        <v>1649.9812334801759</v>
      </c>
      <c r="AR51" s="64"/>
      <c r="AS51" s="64">
        <v>1289.4394844253491</v>
      </c>
      <c r="AT51" s="64"/>
      <c r="AU51" s="64"/>
      <c r="AV51" s="64">
        <v>726.03374149659862</v>
      </c>
      <c r="AW51" s="64"/>
      <c r="AX51" s="64"/>
      <c r="AY51" s="64"/>
      <c r="AZ51" s="65">
        <f t="shared" si="4"/>
        <v>1411.5383016410381</v>
      </c>
      <c r="BA51" s="10">
        <f t="shared" si="5"/>
        <v>-111.91263366461408</v>
      </c>
      <c r="BB51" s="49">
        <f t="shared" si="6"/>
        <v>7</v>
      </c>
      <c r="BC51" s="49">
        <f t="shared" si="7"/>
        <v>13</v>
      </c>
    </row>
    <row r="52" spans="1:55" x14ac:dyDescent="0.2">
      <c r="A52" s="62" t="s">
        <v>212</v>
      </c>
      <c r="B52" s="31" t="s">
        <v>76</v>
      </c>
      <c r="C52" s="62">
        <v>11</v>
      </c>
      <c r="D52" s="63">
        <v>1018.958230958231</v>
      </c>
      <c r="E52" s="64"/>
      <c r="F52" s="64"/>
      <c r="G52" s="64">
        <v>543.14795509222131</v>
      </c>
      <c r="H52" s="64"/>
      <c r="I52" s="64"/>
      <c r="J52" s="64">
        <v>54.649890590809633</v>
      </c>
      <c r="K52" s="64"/>
      <c r="L52" s="64"/>
      <c r="M52" s="64"/>
      <c r="N52" s="64"/>
      <c r="O52" s="64"/>
      <c r="P52" s="64"/>
      <c r="Q52" s="64"/>
      <c r="R52" s="64"/>
      <c r="S52" s="64">
        <v>560.26969790066562</v>
      </c>
      <c r="T52" s="64">
        <v>852.5698460820895</v>
      </c>
      <c r="U52" s="64"/>
      <c r="V52" s="64"/>
      <c r="W52" s="64"/>
      <c r="X52" s="64"/>
      <c r="Y52" s="64"/>
      <c r="Z52" s="64"/>
      <c r="AA52" s="64">
        <v>618.27412744689707</v>
      </c>
      <c r="AB52" s="64"/>
      <c r="AC52" s="64"/>
      <c r="AD52" s="64"/>
      <c r="AE52" s="64"/>
      <c r="AF52" s="64"/>
      <c r="AG52" s="64">
        <v>1057.0124920000001</v>
      </c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>
        <v>583.78687112084697</v>
      </c>
      <c r="AT52" s="64">
        <v>987.82635294117654</v>
      </c>
      <c r="AU52" s="64">
        <v>749.98310000000004</v>
      </c>
      <c r="AV52" s="64"/>
      <c r="AW52" s="64"/>
      <c r="AX52" s="64">
        <v>867.32222222222219</v>
      </c>
      <c r="AY52" s="64"/>
      <c r="AZ52" s="65">
        <f t="shared" si="4"/>
        <v>717.61825330501449</v>
      </c>
      <c r="BA52" s="10">
        <f t="shared" si="5"/>
        <v>301.33997765321647</v>
      </c>
      <c r="BB52" s="49">
        <f t="shared" si="6"/>
        <v>2</v>
      </c>
      <c r="BC52" s="49">
        <f t="shared" si="7"/>
        <v>11</v>
      </c>
    </row>
    <row r="53" spans="1:55" x14ac:dyDescent="0.2">
      <c r="A53" s="62" t="s">
        <v>204</v>
      </c>
      <c r="B53" s="31" t="s">
        <v>81</v>
      </c>
      <c r="C53" s="62">
        <v>10</v>
      </c>
      <c r="D53" s="63">
        <v>1268.3081353491721</v>
      </c>
      <c r="E53" s="64">
        <v>2169.1723869984762</v>
      </c>
      <c r="F53" s="64"/>
      <c r="G53" s="64"/>
      <c r="H53" s="64"/>
      <c r="I53" s="64">
        <v>2996.325991189427</v>
      </c>
      <c r="J53" s="64"/>
      <c r="K53" s="64"/>
      <c r="L53" s="64">
        <v>1211.30623100304</v>
      </c>
      <c r="M53" s="64"/>
      <c r="N53" s="64"/>
      <c r="O53" s="64"/>
      <c r="P53" s="64"/>
      <c r="Q53" s="64"/>
      <c r="R53" s="64"/>
      <c r="S53" s="64"/>
      <c r="T53" s="64">
        <v>1256.895945454545</v>
      </c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>
        <v>2394.0376694915249</v>
      </c>
      <c r="AH53" s="64"/>
      <c r="AI53" s="64"/>
      <c r="AJ53" s="64">
        <v>1403.9056698895031</v>
      </c>
      <c r="AK53" s="64"/>
      <c r="AL53" s="64"/>
      <c r="AM53" s="64"/>
      <c r="AN53" s="64"/>
      <c r="AO53" s="64"/>
      <c r="AP53" s="64"/>
      <c r="AQ53" s="64">
        <v>1832.007462151395</v>
      </c>
      <c r="AR53" s="64"/>
      <c r="AS53" s="64"/>
      <c r="AT53" s="64">
        <v>1141.851252566735</v>
      </c>
      <c r="AU53" s="64"/>
      <c r="AV53" s="64">
        <v>1025.9701090909091</v>
      </c>
      <c r="AW53" s="64"/>
      <c r="AX53" s="64"/>
      <c r="AY53" s="64"/>
      <c r="AZ53" s="65">
        <f t="shared" si="4"/>
        <v>1669.9780853184725</v>
      </c>
      <c r="BA53" s="10">
        <f t="shared" si="5"/>
        <v>-401.66994996930043</v>
      </c>
      <c r="BB53" s="49">
        <f t="shared" si="6"/>
        <v>6</v>
      </c>
      <c r="BC53" s="49">
        <f t="shared" si="7"/>
        <v>10</v>
      </c>
    </row>
    <row r="54" spans="1:55" x14ac:dyDescent="0.2">
      <c r="A54" s="62" t="s">
        <v>262</v>
      </c>
      <c r="B54" s="31" t="s">
        <v>76</v>
      </c>
      <c r="C54" s="62">
        <v>10</v>
      </c>
      <c r="D54" s="63">
        <v>199.24316181818179</v>
      </c>
      <c r="E54" s="64"/>
      <c r="F54" s="64"/>
      <c r="G54" s="64"/>
      <c r="H54" s="64"/>
      <c r="I54" s="64"/>
      <c r="J54" s="64">
        <v>26.857668147694191</v>
      </c>
      <c r="K54" s="64"/>
      <c r="L54" s="64">
        <v>411.99718468468473</v>
      </c>
      <c r="M54" s="64"/>
      <c r="N54" s="64"/>
      <c r="O54" s="64"/>
      <c r="P54" s="64"/>
      <c r="Q54" s="64"/>
      <c r="R54" s="64"/>
      <c r="S54" s="64"/>
      <c r="T54" s="64">
        <v>252.79128065031981</v>
      </c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>
        <v>318.44329496131348</v>
      </c>
      <c r="AF54" s="64"/>
      <c r="AG54" s="64"/>
      <c r="AH54" s="64"/>
      <c r="AI54" s="64"/>
      <c r="AJ54" s="64"/>
      <c r="AK54" s="64"/>
      <c r="AL54" s="64">
        <v>267.30880000000002</v>
      </c>
      <c r="AM54" s="64"/>
      <c r="AN54" s="64"/>
      <c r="AO54" s="64"/>
      <c r="AP54" s="64">
        <v>188.1650349324639</v>
      </c>
      <c r="AQ54" s="64"/>
      <c r="AR54" s="64"/>
      <c r="AS54" s="64">
        <v>439.2650997830803</v>
      </c>
      <c r="AT54" s="64"/>
      <c r="AU54" s="64">
        <v>317.59444913267703</v>
      </c>
      <c r="AV54" s="64"/>
      <c r="AW54" s="64"/>
      <c r="AX54" s="64">
        <v>413.93437499999999</v>
      </c>
      <c r="AY54" s="64"/>
      <c r="AZ54" s="65">
        <f t="shared" si="4"/>
        <v>283.5600349110415</v>
      </c>
      <c r="BA54" s="10">
        <f t="shared" si="5"/>
        <v>-84.316873092859709</v>
      </c>
      <c r="BB54" s="49">
        <f t="shared" si="6"/>
        <v>8</v>
      </c>
      <c r="BC54" s="49">
        <f t="shared" si="7"/>
        <v>10</v>
      </c>
    </row>
    <row r="55" spans="1:55" x14ac:dyDescent="0.2">
      <c r="A55" s="62" t="s">
        <v>365</v>
      </c>
      <c r="B55" s="31" t="s">
        <v>81</v>
      </c>
      <c r="C55" s="62">
        <v>10</v>
      </c>
      <c r="D55" s="63">
        <v>974.32495571302036</v>
      </c>
      <c r="E55" s="64">
        <v>1448.2385156343601</v>
      </c>
      <c r="F55" s="64"/>
      <c r="G55" s="64"/>
      <c r="H55" s="64"/>
      <c r="I55" s="64"/>
      <c r="J55" s="64"/>
      <c r="K55" s="64">
        <v>1385.626063470628</v>
      </c>
      <c r="L55" s="64">
        <v>1105.4118823529409</v>
      </c>
      <c r="M55" s="64"/>
      <c r="N55" s="64"/>
      <c r="O55" s="64">
        <v>941.26252981651385</v>
      </c>
      <c r="P55" s="64"/>
      <c r="Q55" s="64"/>
      <c r="R55" s="64"/>
      <c r="S55" s="64"/>
      <c r="T55" s="64">
        <v>1053.465618892508</v>
      </c>
      <c r="U55" s="64"/>
      <c r="V55" s="64">
        <v>850.15830058417407</v>
      </c>
      <c r="W55" s="64"/>
      <c r="X55" s="64"/>
      <c r="Y55" s="64"/>
      <c r="Z55" s="64">
        <v>958.05795964125559</v>
      </c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>
        <v>1285.179749591726</v>
      </c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>
        <v>756.13515640766911</v>
      </c>
      <c r="AX55" s="64"/>
      <c r="AY55" s="64"/>
      <c r="AZ55" s="65">
        <f t="shared" si="4"/>
        <v>1075.7860732104796</v>
      </c>
      <c r="BA55" s="10">
        <f t="shared" si="5"/>
        <v>-101.46111749745921</v>
      </c>
      <c r="BB55" s="49">
        <f t="shared" si="6"/>
        <v>6</v>
      </c>
      <c r="BC55" s="49">
        <f t="shared" si="7"/>
        <v>10</v>
      </c>
    </row>
    <row r="56" spans="1:55" x14ac:dyDescent="0.2">
      <c r="A56" s="62" t="s">
        <v>197</v>
      </c>
      <c r="B56" s="31" t="s">
        <v>76</v>
      </c>
      <c r="C56" s="62">
        <v>9</v>
      </c>
      <c r="D56" s="63">
        <v>670.84787581699345</v>
      </c>
      <c r="E56" s="64"/>
      <c r="F56" s="64"/>
      <c r="G56" s="64"/>
      <c r="H56" s="64"/>
      <c r="I56" s="64">
        <v>359.37795902128511</v>
      </c>
      <c r="J56" s="64"/>
      <c r="K56" s="64"/>
      <c r="L56" s="64"/>
      <c r="M56" s="64"/>
      <c r="N56" s="64"/>
      <c r="O56" s="64"/>
      <c r="P56" s="64"/>
      <c r="Q56" s="64"/>
      <c r="R56" s="64"/>
      <c r="S56" s="64">
        <v>247.03101415094341</v>
      </c>
      <c r="T56" s="64"/>
      <c r="U56" s="64"/>
      <c r="V56" s="64"/>
      <c r="W56" s="64"/>
      <c r="X56" s="64"/>
      <c r="Y56" s="64"/>
      <c r="Z56" s="64"/>
      <c r="AA56" s="64"/>
      <c r="AB56" s="64"/>
      <c r="AC56" s="64">
        <v>219.32852071005919</v>
      </c>
      <c r="AD56" s="64"/>
      <c r="AE56" s="64"/>
      <c r="AF56" s="64"/>
      <c r="AG56" s="64"/>
      <c r="AH56" s="64"/>
      <c r="AI56" s="64"/>
      <c r="AJ56" s="64">
        <v>253.8813785714286</v>
      </c>
      <c r="AK56" s="64"/>
      <c r="AL56" s="64"/>
      <c r="AM56" s="64"/>
      <c r="AN56" s="64">
        <v>212.66565181289789</v>
      </c>
      <c r="AO56" s="64">
        <v>276.68754156171292</v>
      </c>
      <c r="AP56" s="64"/>
      <c r="AQ56" s="64">
        <v>242.70360199999999</v>
      </c>
      <c r="AR56" s="64">
        <v>287.67515617491591</v>
      </c>
      <c r="AS56" s="64"/>
      <c r="AT56" s="64"/>
      <c r="AU56" s="64"/>
      <c r="AV56" s="64"/>
      <c r="AW56" s="64"/>
      <c r="AX56" s="64"/>
      <c r="AY56" s="64"/>
      <c r="AZ56" s="65">
        <f t="shared" si="4"/>
        <v>307.79985553558186</v>
      </c>
      <c r="BA56" s="10">
        <f t="shared" si="5"/>
        <v>363.0480202814116</v>
      </c>
      <c r="BB56" s="49">
        <f t="shared" si="6"/>
        <v>1</v>
      </c>
      <c r="BC56" s="49">
        <f t="shared" si="7"/>
        <v>9</v>
      </c>
    </row>
    <row r="57" spans="1:55" x14ac:dyDescent="0.2">
      <c r="A57" s="62" t="s">
        <v>249</v>
      </c>
      <c r="B57" s="31" t="s">
        <v>82</v>
      </c>
      <c r="C57" s="62">
        <v>9</v>
      </c>
      <c r="D57" s="63">
        <v>264.9887060342046</v>
      </c>
      <c r="E57" s="64">
        <v>228.95594196115141</v>
      </c>
      <c r="F57" s="64"/>
      <c r="G57" s="64"/>
      <c r="H57" s="64"/>
      <c r="I57" s="64"/>
      <c r="J57" s="64"/>
      <c r="K57" s="64"/>
      <c r="L57" s="64"/>
      <c r="M57" s="64"/>
      <c r="N57" s="64"/>
      <c r="O57" s="64">
        <v>340.46420268256338</v>
      </c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>
        <v>258.91639645552999</v>
      </c>
      <c r="AD57" s="64"/>
      <c r="AE57" s="64"/>
      <c r="AF57" s="64"/>
      <c r="AG57" s="64">
        <v>208.17453499999999</v>
      </c>
      <c r="AH57" s="64"/>
      <c r="AI57" s="64"/>
      <c r="AJ57" s="64"/>
      <c r="AK57" s="64">
        <v>152.00900277777779</v>
      </c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>
        <v>231.17454589963279</v>
      </c>
      <c r="AW57" s="64">
        <v>216.77184152604551</v>
      </c>
      <c r="AX57" s="64">
        <v>324.74386653581939</v>
      </c>
      <c r="AY57" s="64"/>
      <c r="AZ57" s="65">
        <f t="shared" si="4"/>
        <v>247.35544876363616</v>
      </c>
      <c r="BA57" s="10">
        <f t="shared" si="5"/>
        <v>17.633257270568436</v>
      </c>
      <c r="BB57" s="49">
        <f t="shared" si="6"/>
        <v>3</v>
      </c>
      <c r="BC57" s="49">
        <f t="shared" si="7"/>
        <v>9</v>
      </c>
    </row>
    <row r="58" spans="1:55" x14ac:dyDescent="0.2">
      <c r="A58" s="62" t="s">
        <v>295</v>
      </c>
      <c r="B58" s="31" t="s">
        <v>76</v>
      </c>
      <c r="C58" s="62">
        <v>9</v>
      </c>
      <c r="D58" s="63">
        <v>105.84113584036839</v>
      </c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>
        <v>139.53434495564269</v>
      </c>
      <c r="W58" s="64">
        <v>102.8190607505702</v>
      </c>
      <c r="X58" s="64"/>
      <c r="Y58" s="64"/>
      <c r="Z58" s="64"/>
      <c r="AA58" s="64"/>
      <c r="AB58" s="64"/>
      <c r="AC58" s="64"/>
      <c r="AD58" s="64"/>
      <c r="AE58" s="64"/>
      <c r="AF58" s="64">
        <v>176.39712037914691</v>
      </c>
      <c r="AG58" s="64">
        <v>117.9332938939362</v>
      </c>
      <c r="AH58" s="64"/>
      <c r="AI58" s="64">
        <v>168.89370983769459</v>
      </c>
      <c r="AJ58" s="64"/>
      <c r="AK58" s="64"/>
      <c r="AL58" s="64"/>
      <c r="AM58" s="64"/>
      <c r="AN58" s="64"/>
      <c r="AO58" s="64"/>
      <c r="AP58" s="64">
        <v>178.91280707841781</v>
      </c>
      <c r="AQ58" s="64"/>
      <c r="AR58" s="64"/>
      <c r="AS58" s="64"/>
      <c r="AT58" s="64"/>
      <c r="AU58" s="64"/>
      <c r="AV58" s="64">
        <v>137.07963373589391</v>
      </c>
      <c r="AW58" s="64">
        <v>198.23956167176351</v>
      </c>
      <c r="AX58" s="64"/>
      <c r="AY58" s="64"/>
      <c r="AZ58" s="65">
        <f t="shared" si="4"/>
        <v>147.29451868260381</v>
      </c>
      <c r="BA58" s="10">
        <f t="shared" si="5"/>
        <v>-41.453382842235413</v>
      </c>
      <c r="BB58" s="49">
        <f t="shared" si="6"/>
        <v>8</v>
      </c>
      <c r="BC58" s="49">
        <f t="shared" si="7"/>
        <v>9</v>
      </c>
    </row>
    <row r="59" spans="1:55" x14ac:dyDescent="0.2">
      <c r="A59" s="62" t="s">
        <v>367</v>
      </c>
      <c r="B59" s="31" t="s">
        <v>76</v>
      </c>
      <c r="C59" s="62">
        <v>9</v>
      </c>
      <c r="D59" s="63">
        <v>264.86871469899432</v>
      </c>
      <c r="E59" s="64">
        <v>242.13071217166109</v>
      </c>
      <c r="F59" s="64"/>
      <c r="G59" s="64">
        <v>373.65361913637781</v>
      </c>
      <c r="H59" s="64"/>
      <c r="I59" s="64">
        <v>321.49656884216682</v>
      </c>
      <c r="J59" s="64"/>
      <c r="K59" s="64"/>
      <c r="L59" s="64"/>
      <c r="M59" s="64"/>
      <c r="N59" s="64"/>
      <c r="O59" s="64">
        <v>200.2539598482453</v>
      </c>
      <c r="P59" s="64"/>
      <c r="Q59" s="64">
        <v>242.15111526946109</v>
      </c>
      <c r="R59" s="64"/>
      <c r="S59" s="64"/>
      <c r="T59" s="64"/>
      <c r="U59" s="64">
        <v>450.07231040564369</v>
      </c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>
        <v>190.42779331664951</v>
      </c>
      <c r="AM59" s="64"/>
      <c r="AN59" s="64"/>
      <c r="AO59" s="64">
        <v>203.07270018311971</v>
      </c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5">
        <f t="shared" si="4"/>
        <v>276.45861043025775</v>
      </c>
      <c r="BA59" s="10">
        <f t="shared" si="5"/>
        <v>-11.589895731263425</v>
      </c>
      <c r="BB59" s="49">
        <f t="shared" si="6"/>
        <v>4</v>
      </c>
      <c r="BC59" s="49">
        <f t="shared" si="7"/>
        <v>9</v>
      </c>
    </row>
    <row r="60" spans="1:55" x14ac:dyDescent="0.2">
      <c r="A60" s="62" t="s">
        <v>390</v>
      </c>
      <c r="B60" s="31" t="s">
        <v>83</v>
      </c>
      <c r="C60" s="62">
        <v>9</v>
      </c>
      <c r="D60" s="63">
        <v>571.44000000000005</v>
      </c>
      <c r="E60" s="64"/>
      <c r="F60" s="64"/>
      <c r="G60" s="64"/>
      <c r="H60" s="64"/>
      <c r="I60" s="64">
        <v>594.20100671140938</v>
      </c>
      <c r="J60" s="64"/>
      <c r="K60" s="64"/>
      <c r="L60" s="64"/>
      <c r="M60" s="64"/>
      <c r="N60" s="64">
        <v>272.27092651757192</v>
      </c>
      <c r="O60" s="64">
        <v>219.0597508263412</v>
      </c>
      <c r="P60" s="64"/>
      <c r="Q60" s="64"/>
      <c r="R60" s="64"/>
      <c r="S60" s="64"/>
      <c r="T60" s="64"/>
      <c r="U60" s="64"/>
      <c r="V60" s="64">
        <v>420.5871515151515</v>
      </c>
      <c r="W60" s="64"/>
      <c r="X60" s="64"/>
      <c r="Y60" s="64"/>
      <c r="Z60" s="64"/>
      <c r="AA60" s="64"/>
      <c r="AB60" s="64"/>
      <c r="AC60" s="64"/>
      <c r="AD60" s="64">
        <v>285.41795665634669</v>
      </c>
      <c r="AE60" s="64"/>
      <c r="AF60" s="64">
        <v>531.8164335664336</v>
      </c>
      <c r="AG60" s="64">
        <v>211.2535768645358</v>
      </c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>
        <v>326.39931623931619</v>
      </c>
      <c r="AT60" s="64"/>
      <c r="AU60" s="64"/>
      <c r="AV60" s="64"/>
      <c r="AW60" s="64"/>
      <c r="AX60" s="64"/>
      <c r="AY60" s="64"/>
      <c r="AZ60" s="65">
        <f t="shared" si="4"/>
        <v>381.38290209967846</v>
      </c>
      <c r="BA60" s="10">
        <f t="shared" si="5"/>
        <v>190.05709790032159</v>
      </c>
      <c r="BB60" s="49">
        <f t="shared" si="6"/>
        <v>2</v>
      </c>
      <c r="BC60" s="49">
        <f t="shared" si="7"/>
        <v>9</v>
      </c>
    </row>
    <row r="61" spans="1:55" x14ac:dyDescent="0.2">
      <c r="A61" s="62" t="s">
        <v>323</v>
      </c>
      <c r="B61" s="31" t="s">
        <v>81</v>
      </c>
      <c r="C61" s="62">
        <v>8</v>
      </c>
      <c r="D61" s="63">
        <v>659.12175824175824</v>
      </c>
      <c r="E61" s="64"/>
      <c r="F61" s="64"/>
      <c r="G61" s="64"/>
      <c r="H61" s="64"/>
      <c r="I61" s="64">
        <v>519.87662459973626</v>
      </c>
      <c r="J61" s="64"/>
      <c r="K61" s="64">
        <v>740.84011557909946</v>
      </c>
      <c r="L61" s="64"/>
      <c r="M61" s="64"/>
      <c r="N61" s="64"/>
      <c r="O61" s="64"/>
      <c r="P61" s="64"/>
      <c r="Q61" s="64"/>
      <c r="R61" s="64"/>
      <c r="S61" s="64">
        <v>742.36885499999994</v>
      </c>
      <c r="T61" s="64"/>
      <c r="U61" s="64"/>
      <c r="V61" s="64"/>
      <c r="W61" s="64"/>
      <c r="X61" s="64">
        <v>513.0591832460733</v>
      </c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>
        <v>574.2497745716862</v>
      </c>
      <c r="AM61" s="64"/>
      <c r="AN61" s="64"/>
      <c r="AO61" s="64"/>
      <c r="AP61" s="64"/>
      <c r="AQ61" s="64">
        <v>445.79736679195219</v>
      </c>
      <c r="AR61" s="64">
        <v>741.0147950521465</v>
      </c>
      <c r="AS61" s="64"/>
      <c r="AT61" s="64"/>
      <c r="AU61" s="64"/>
      <c r="AV61" s="64"/>
      <c r="AW61" s="64"/>
      <c r="AX61" s="64"/>
      <c r="AY61" s="64"/>
      <c r="AZ61" s="65">
        <f t="shared" si="4"/>
        <v>617.04105913530657</v>
      </c>
      <c r="BA61" s="10">
        <f t="shared" si="5"/>
        <v>42.080699106451675</v>
      </c>
      <c r="BB61" s="49">
        <f t="shared" si="6"/>
        <v>4</v>
      </c>
      <c r="BC61" s="49">
        <f t="shared" si="7"/>
        <v>8</v>
      </c>
    </row>
    <row r="62" spans="1:55" x14ac:dyDescent="0.2">
      <c r="A62" s="62" t="s">
        <v>233</v>
      </c>
      <c r="B62" s="31" t="s">
        <v>77</v>
      </c>
      <c r="C62" s="62">
        <v>7</v>
      </c>
      <c r="D62" s="63">
        <v>362.99491998984001</v>
      </c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>
        <v>246.25748641577781</v>
      </c>
      <c r="S62" s="64">
        <v>310.54132312273993</v>
      </c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>
        <v>208.1813002973241</v>
      </c>
      <c r="AG62" s="64"/>
      <c r="AH62" s="64"/>
      <c r="AI62" s="64"/>
      <c r="AJ62" s="64">
        <v>287.90467070048868</v>
      </c>
      <c r="AK62" s="64"/>
      <c r="AL62" s="64"/>
      <c r="AM62" s="64"/>
      <c r="AN62" s="64"/>
      <c r="AO62" s="64"/>
      <c r="AP62" s="64">
        <v>249.72598136520151</v>
      </c>
      <c r="AQ62" s="64"/>
      <c r="AR62" s="64"/>
      <c r="AS62" s="64"/>
      <c r="AT62" s="64"/>
      <c r="AU62" s="64">
        <v>397.94451388888888</v>
      </c>
      <c r="AV62" s="64"/>
      <c r="AW62" s="64"/>
      <c r="AX62" s="64"/>
      <c r="AY62" s="64"/>
      <c r="AZ62" s="65">
        <f t="shared" si="4"/>
        <v>294.79288511146581</v>
      </c>
      <c r="BA62" s="10">
        <f t="shared" si="5"/>
        <v>68.202034878374207</v>
      </c>
      <c r="BB62" s="49">
        <f t="shared" si="6"/>
        <v>2</v>
      </c>
      <c r="BC62" s="49">
        <f t="shared" si="7"/>
        <v>7</v>
      </c>
    </row>
    <row r="63" spans="1:55" x14ac:dyDescent="0.2">
      <c r="A63" s="62" t="s">
        <v>281</v>
      </c>
      <c r="B63" s="31" t="s">
        <v>80</v>
      </c>
      <c r="C63" s="62">
        <v>7</v>
      </c>
      <c r="D63" s="63">
        <v>176.67854001759011</v>
      </c>
      <c r="E63" s="64">
        <v>383.10319894829098</v>
      </c>
      <c r="F63" s="64"/>
      <c r="G63" s="64">
        <v>342.84189459639759</v>
      </c>
      <c r="H63" s="64"/>
      <c r="I63" s="64"/>
      <c r="J63" s="64"/>
      <c r="K63" s="64"/>
      <c r="L63" s="64">
        <v>345.27571305099389</v>
      </c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>
        <v>389.53577367205543</v>
      </c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>
        <v>579.06765457332642</v>
      </c>
      <c r="AU63" s="64"/>
      <c r="AV63" s="64">
        <v>441.49928275044459</v>
      </c>
      <c r="AW63" s="64"/>
      <c r="AX63" s="64"/>
      <c r="AY63" s="64"/>
      <c r="AZ63" s="65">
        <f t="shared" si="4"/>
        <v>379.71457965844274</v>
      </c>
      <c r="BA63" s="10">
        <f t="shared" si="5"/>
        <v>-203.03603964085264</v>
      </c>
      <c r="BB63" s="49">
        <f t="shared" si="6"/>
        <v>7</v>
      </c>
      <c r="BC63" s="49">
        <f t="shared" si="7"/>
        <v>7</v>
      </c>
    </row>
    <row r="64" spans="1:55" x14ac:dyDescent="0.2">
      <c r="A64" s="62" t="s">
        <v>289</v>
      </c>
      <c r="B64" s="31" t="s">
        <v>79</v>
      </c>
      <c r="C64" s="62">
        <v>7</v>
      </c>
      <c r="D64" s="63">
        <v>302.85503355704702</v>
      </c>
      <c r="E64" s="64">
        <v>680.04917499999999</v>
      </c>
      <c r="F64" s="64"/>
      <c r="G64" s="64">
        <v>936.16545454545451</v>
      </c>
      <c r="H64" s="64"/>
      <c r="I64" s="64">
        <v>532.0625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>
        <v>1289.9034543844109</v>
      </c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>
        <v>401.60437638376379</v>
      </c>
      <c r="AT64" s="64"/>
      <c r="AU64" s="64"/>
      <c r="AV64" s="64"/>
      <c r="AW64" s="64"/>
      <c r="AX64" s="64">
        <v>583.83939038686992</v>
      </c>
      <c r="AY64" s="64"/>
      <c r="AZ64" s="65">
        <f t="shared" si="4"/>
        <v>675.21134060822089</v>
      </c>
      <c r="BA64" s="10">
        <f t="shared" si="5"/>
        <v>-372.35630705117387</v>
      </c>
      <c r="BB64" s="49">
        <f t="shared" si="6"/>
        <v>7</v>
      </c>
      <c r="BC64" s="49">
        <f t="shared" si="7"/>
        <v>7</v>
      </c>
    </row>
    <row r="65" spans="1:55" x14ac:dyDescent="0.2">
      <c r="A65" s="62" t="s">
        <v>319</v>
      </c>
      <c r="B65" s="31" t="s">
        <v>81</v>
      </c>
      <c r="C65" s="62">
        <v>7</v>
      </c>
      <c r="D65" s="63">
        <v>3231.188461538462</v>
      </c>
      <c r="E65" s="64"/>
      <c r="F65" s="64"/>
      <c r="G65" s="64">
        <v>1632.591958939264</v>
      </c>
      <c r="H65" s="64"/>
      <c r="I65" s="64"/>
      <c r="J65" s="64">
        <v>106.64263645726059</v>
      </c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>
        <v>1982.6495535714289</v>
      </c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>
        <v>1872.862912087912</v>
      </c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>
        <v>1216.1454549337891</v>
      </c>
      <c r="AU65" s="64"/>
      <c r="AV65" s="64">
        <v>1773.2575340909091</v>
      </c>
      <c r="AW65" s="64"/>
      <c r="AX65" s="64"/>
      <c r="AY65" s="64"/>
      <c r="AZ65" s="65">
        <f t="shared" si="4"/>
        <v>1687.9055016598609</v>
      </c>
      <c r="BA65" s="10">
        <f t="shared" si="5"/>
        <v>1543.2829598786011</v>
      </c>
      <c r="BB65" s="49">
        <f t="shared" si="6"/>
        <v>1</v>
      </c>
      <c r="BC65" s="49">
        <f t="shared" si="7"/>
        <v>7</v>
      </c>
    </row>
    <row r="66" spans="1:55" x14ac:dyDescent="0.2">
      <c r="A66" s="62" t="s">
        <v>258</v>
      </c>
      <c r="B66" s="31" t="s">
        <v>78</v>
      </c>
      <c r="C66" s="62">
        <v>6</v>
      </c>
      <c r="D66" s="63">
        <v>211.37867877269881</v>
      </c>
      <c r="E66" s="64"/>
      <c r="F66" s="64"/>
      <c r="G66" s="64">
        <v>227.94287680660699</v>
      </c>
      <c r="H66" s="64"/>
      <c r="I66" s="64">
        <v>530.44817374136233</v>
      </c>
      <c r="J66" s="64">
        <v>22.07692307692308</v>
      </c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>
        <v>273.10738766184312</v>
      </c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>
        <v>467.68867216804199</v>
      </c>
      <c r="AY66" s="64"/>
      <c r="AZ66" s="65">
        <f t="shared" si="4"/>
        <v>288.77378537124605</v>
      </c>
      <c r="BA66" s="10">
        <f t="shared" si="5"/>
        <v>-77.395106598547244</v>
      </c>
      <c r="BB66" s="49">
        <f t="shared" si="6"/>
        <v>5</v>
      </c>
      <c r="BC66" s="49">
        <f t="shared" si="7"/>
        <v>6</v>
      </c>
    </row>
    <row r="67" spans="1:55" x14ac:dyDescent="0.2">
      <c r="A67" s="62" t="s">
        <v>263</v>
      </c>
      <c r="B67" s="31" t="s">
        <v>80</v>
      </c>
      <c r="C67" s="62">
        <v>6</v>
      </c>
      <c r="D67" s="63">
        <v>2210.734724292101</v>
      </c>
      <c r="E67" s="64"/>
      <c r="F67" s="64"/>
      <c r="G67" s="64">
        <v>623.81428571428569</v>
      </c>
      <c r="H67" s="64">
        <v>314.90903502501789</v>
      </c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>
        <v>252.06629448709</v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>
        <v>3092.8949615384608</v>
      </c>
      <c r="AU67" s="64"/>
      <c r="AV67" s="64">
        <v>526.89756291390734</v>
      </c>
      <c r="AW67" s="64"/>
      <c r="AX67" s="64"/>
      <c r="AY67" s="64"/>
      <c r="AZ67" s="65">
        <f t="shared" si="4"/>
        <v>1170.2194773284773</v>
      </c>
      <c r="BA67" s="10">
        <f t="shared" si="5"/>
        <v>1040.5152469636237</v>
      </c>
      <c r="BB67" s="49">
        <f t="shared" si="6"/>
        <v>2</v>
      </c>
      <c r="BC67" s="49">
        <f t="shared" si="7"/>
        <v>6</v>
      </c>
    </row>
    <row r="68" spans="1:55" x14ac:dyDescent="0.2">
      <c r="A68" s="62" t="s">
        <v>335</v>
      </c>
      <c r="B68" s="31" t="s">
        <v>76</v>
      </c>
      <c r="C68" s="62">
        <v>6</v>
      </c>
      <c r="D68" s="63">
        <v>352.12131147540981</v>
      </c>
      <c r="E68" s="64"/>
      <c r="F68" s="64"/>
      <c r="G68" s="64">
        <v>510.32713754646841</v>
      </c>
      <c r="H68" s="64"/>
      <c r="I68" s="64"/>
      <c r="J68" s="64"/>
      <c r="K68" s="64"/>
      <c r="L68" s="64">
        <v>173.00495049504951</v>
      </c>
      <c r="M68" s="64"/>
      <c r="N68" s="64"/>
      <c r="O68" s="64"/>
      <c r="P68" s="64"/>
      <c r="Q68" s="64"/>
      <c r="R68" s="64">
        <v>424.72916666666669</v>
      </c>
      <c r="S68" s="64"/>
      <c r="T68" s="64"/>
      <c r="U68" s="64"/>
      <c r="V68" s="64">
        <v>480.45302013422821</v>
      </c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>
        <v>215.48856221792391</v>
      </c>
      <c r="AQ68" s="64"/>
      <c r="AR68" s="64"/>
      <c r="AS68" s="64"/>
      <c r="AT68" s="64"/>
      <c r="AU68" s="64"/>
      <c r="AV68" s="64"/>
      <c r="AW68" s="64"/>
      <c r="AX68" s="64"/>
      <c r="AY68" s="64"/>
      <c r="AZ68" s="65">
        <f t="shared" ref="AZ68:AZ75" si="8">IFERROR(AVERAGEIFS(D68:AY68,$D$3:$AY$3,"Y",D68:AY68,"&lt;&gt;"),"")</f>
        <v>359.35402475595771</v>
      </c>
      <c r="BA68" s="10">
        <f t="shared" ref="BA68:BA75" si="9">IFERROR(D68-AZ68,"")</f>
        <v>-7.2327132805478982</v>
      </c>
      <c r="BB68" s="49">
        <f t="shared" ref="BB68:BB75" si="10">IFERROR(COUNTIFS(D68:AY68,"&gt;"&amp;D68,$D$3:$AY$3,"Y",D68:AY68,"&lt;&gt;")+1,"")</f>
        <v>4</v>
      </c>
      <c r="BC68" s="49">
        <f t="shared" ref="BC68:BC75" si="11">COUNTIFS($D$3:$AY$3,"Y",D68:AY68,"&lt;&gt;")</f>
        <v>6</v>
      </c>
    </row>
    <row r="69" spans="1:55" x14ac:dyDescent="0.2">
      <c r="A69" s="62" t="s">
        <v>185</v>
      </c>
      <c r="B69" s="31" t="s">
        <v>81</v>
      </c>
      <c r="C69" s="62">
        <v>3</v>
      </c>
      <c r="D69" s="63">
        <v>816.62090764331208</v>
      </c>
      <c r="E69" s="64"/>
      <c r="F69" s="64"/>
      <c r="G69" s="64"/>
      <c r="H69" s="64"/>
      <c r="I69" s="64"/>
      <c r="J69" s="64"/>
      <c r="K69" s="64"/>
      <c r="L69" s="64"/>
      <c r="M69" s="64">
        <v>1114.214345047923</v>
      </c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>
        <v>427.1189422704378</v>
      </c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5">
        <f t="shared" si="8"/>
        <v>785.98473165389089</v>
      </c>
      <c r="BA69" s="10">
        <f t="shared" si="9"/>
        <v>30.63617598942119</v>
      </c>
      <c r="BB69" s="49">
        <f t="shared" si="10"/>
        <v>2</v>
      </c>
      <c r="BC69" s="49">
        <f t="shared" si="11"/>
        <v>3</v>
      </c>
    </row>
    <row r="70" spans="1:55" x14ac:dyDescent="0.2">
      <c r="A70" s="62" t="s">
        <v>273</v>
      </c>
      <c r="B70" s="31" t="s">
        <v>80</v>
      </c>
      <c r="C70" s="62">
        <v>3</v>
      </c>
      <c r="D70" s="63">
        <v>1489.2224080267561</v>
      </c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>
        <v>1528.5218617771509</v>
      </c>
      <c r="AC70" s="64">
        <v>954.79150920245388</v>
      </c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5">
        <f t="shared" si="8"/>
        <v>1324.1785930021204</v>
      </c>
      <c r="BA70" s="10">
        <f t="shared" si="9"/>
        <v>165.04381502463571</v>
      </c>
      <c r="BB70" s="49">
        <f t="shared" si="10"/>
        <v>2</v>
      </c>
      <c r="BC70" s="49">
        <f t="shared" si="11"/>
        <v>3</v>
      </c>
    </row>
    <row r="71" spans="1:55" x14ac:dyDescent="0.2">
      <c r="A71" s="62" t="s">
        <v>329</v>
      </c>
      <c r="B71" s="31" t="s">
        <v>82</v>
      </c>
      <c r="C71" s="62">
        <v>3</v>
      </c>
      <c r="D71" s="63">
        <v>3217.6377224199291</v>
      </c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>
        <v>64.017777777777781</v>
      </c>
      <c r="AM71" s="64"/>
      <c r="AN71" s="64">
        <v>1776.514511873351</v>
      </c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5">
        <f t="shared" si="8"/>
        <v>1686.0566706903526</v>
      </c>
      <c r="BA71" s="10">
        <f t="shared" si="9"/>
        <v>1531.5810517295765</v>
      </c>
      <c r="BB71" s="49">
        <f t="shared" si="10"/>
        <v>1</v>
      </c>
      <c r="BC71" s="49">
        <f t="shared" si="11"/>
        <v>3</v>
      </c>
    </row>
    <row r="72" spans="1:55" x14ac:dyDescent="0.2">
      <c r="A72" s="62" t="s">
        <v>341</v>
      </c>
      <c r="B72" s="31" t="s">
        <v>80</v>
      </c>
      <c r="C72" s="62">
        <v>3</v>
      </c>
      <c r="D72" s="63">
        <v>1537.1725118483409</v>
      </c>
      <c r="E72" s="64"/>
      <c r="F72" s="64"/>
      <c r="G72" s="64">
        <v>708.45043478260868</v>
      </c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>
        <v>1452.6280241935481</v>
      </c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5">
        <f t="shared" si="8"/>
        <v>1232.7503236081659</v>
      </c>
      <c r="BA72" s="10">
        <f t="shared" si="9"/>
        <v>304.42218824017505</v>
      </c>
      <c r="BB72" s="49">
        <f t="shared" si="10"/>
        <v>1</v>
      </c>
      <c r="BC72" s="49">
        <f t="shared" si="11"/>
        <v>3</v>
      </c>
    </row>
    <row r="73" spans="1:55" x14ac:dyDescent="0.2">
      <c r="A73" s="62" t="s">
        <v>181</v>
      </c>
      <c r="B73" s="31" t="s">
        <v>83</v>
      </c>
      <c r="C73" s="62">
        <v>2</v>
      </c>
      <c r="D73" s="63">
        <v>309.5045497630332</v>
      </c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>
        <v>96.420227920227916</v>
      </c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5">
        <f t="shared" si="8"/>
        <v>202.96238884163057</v>
      </c>
      <c r="BA73" s="10">
        <f t="shared" si="9"/>
        <v>106.54216092140263</v>
      </c>
      <c r="BB73" s="49">
        <f t="shared" si="10"/>
        <v>1</v>
      </c>
      <c r="BC73" s="49">
        <f t="shared" si="11"/>
        <v>2</v>
      </c>
    </row>
    <row r="74" spans="1:55" x14ac:dyDescent="0.2">
      <c r="A74" s="62" t="s">
        <v>305</v>
      </c>
      <c r="B74" s="31" t="s">
        <v>78</v>
      </c>
      <c r="C74" s="62">
        <v>2</v>
      </c>
      <c r="D74" s="63">
        <v>1161.924439197167</v>
      </c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>
        <v>863.30017467248899</v>
      </c>
      <c r="AQ74" s="64"/>
      <c r="AR74" s="64"/>
      <c r="AS74" s="64"/>
      <c r="AT74" s="64"/>
      <c r="AU74" s="64"/>
      <c r="AV74" s="64"/>
      <c r="AW74" s="64"/>
      <c r="AX74" s="64"/>
      <c r="AY74" s="64"/>
      <c r="AZ74" s="65">
        <f t="shared" si="8"/>
        <v>1012.612306934828</v>
      </c>
      <c r="BA74" s="10">
        <f t="shared" si="9"/>
        <v>149.31213226233899</v>
      </c>
      <c r="BB74" s="49">
        <f t="shared" si="10"/>
        <v>1</v>
      </c>
      <c r="BC74" s="49">
        <f t="shared" si="11"/>
        <v>2</v>
      </c>
    </row>
    <row r="75" spans="1:55" x14ac:dyDescent="0.2">
      <c r="A75" s="62" t="s">
        <v>309</v>
      </c>
      <c r="B75" s="31" t="s">
        <v>80</v>
      </c>
      <c r="C75" s="62">
        <v>2</v>
      </c>
      <c r="D75" s="63">
        <v>1570.352071005917</v>
      </c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>
        <v>1356.832119565217</v>
      </c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5">
        <f t="shared" si="8"/>
        <v>1463.592095285567</v>
      </c>
      <c r="BA75" s="10">
        <f t="shared" si="9"/>
        <v>106.75997572034998</v>
      </c>
      <c r="BB75" s="49">
        <f t="shared" si="10"/>
        <v>1</v>
      </c>
      <c r="BC75" s="49">
        <f t="shared" si="11"/>
        <v>2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A2D4A"/>
  </sheetPr>
  <dimension ref="A1:AY15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8" customWidth="1"/>
    <col min="2" max="2" width="8" customWidth="1"/>
    <col min="3" max="51" width="12" customWidth="1"/>
  </cols>
  <sheetData>
    <row r="1" spans="1:51" ht="19" x14ac:dyDescent="0.25">
      <c r="A1" s="84" t="s">
        <v>6346</v>
      </c>
      <c r="B1" s="83"/>
      <c r="C1" s="83"/>
      <c r="D1" s="83"/>
      <c r="E1" s="83"/>
      <c r="F1" s="83"/>
    </row>
    <row r="2" spans="1:51" ht="16" x14ac:dyDescent="0.2">
      <c r="A2" s="56" t="s">
        <v>71</v>
      </c>
      <c r="B2" s="56" t="s">
        <v>6304</v>
      </c>
      <c r="C2" s="57" t="s">
        <v>6305</v>
      </c>
      <c r="D2" s="58" t="s">
        <v>6306</v>
      </c>
      <c r="E2" s="58" t="s">
        <v>6307</v>
      </c>
      <c r="F2" s="58" t="s">
        <v>6308</v>
      </c>
      <c r="G2" s="58" t="s">
        <v>21</v>
      </c>
      <c r="H2" s="58" t="s">
        <v>32</v>
      </c>
      <c r="I2" s="58" t="s">
        <v>6309</v>
      </c>
      <c r="J2" s="58" t="s">
        <v>6310</v>
      </c>
      <c r="K2" s="58" t="s">
        <v>6311</v>
      </c>
      <c r="L2" s="58" t="s">
        <v>6312</v>
      </c>
      <c r="M2" s="58" t="s">
        <v>6313</v>
      </c>
      <c r="N2" s="58" t="s">
        <v>6314</v>
      </c>
      <c r="O2" s="58" t="s">
        <v>6315</v>
      </c>
      <c r="P2" s="58" t="s">
        <v>6316</v>
      </c>
      <c r="Q2" s="58" t="s">
        <v>6317</v>
      </c>
      <c r="R2" s="58" t="s">
        <v>52</v>
      </c>
      <c r="S2" s="58" t="s">
        <v>6318</v>
      </c>
      <c r="T2" s="58" t="s">
        <v>58</v>
      </c>
      <c r="U2" s="58" t="s">
        <v>6319</v>
      </c>
      <c r="V2" s="58" t="s">
        <v>6320</v>
      </c>
      <c r="W2" s="58" t="s">
        <v>6321</v>
      </c>
      <c r="X2" s="58" t="s">
        <v>6322</v>
      </c>
      <c r="Y2" s="58" t="s">
        <v>6323</v>
      </c>
      <c r="Z2" s="58" t="s">
        <v>6324</v>
      </c>
      <c r="AA2" s="58" t="s">
        <v>6325</v>
      </c>
      <c r="AB2" s="58" t="s">
        <v>6326</v>
      </c>
      <c r="AC2" s="58" t="s">
        <v>43</v>
      </c>
      <c r="AD2" s="58" t="s">
        <v>6327</v>
      </c>
      <c r="AE2" s="58" t="s">
        <v>6328</v>
      </c>
      <c r="AF2" s="58" t="s">
        <v>6329</v>
      </c>
      <c r="AG2" s="58" t="s">
        <v>6330</v>
      </c>
      <c r="AH2" s="58" t="s">
        <v>6331</v>
      </c>
      <c r="AI2" s="58" t="s">
        <v>6332</v>
      </c>
      <c r="AJ2" s="58" t="s">
        <v>6333</v>
      </c>
      <c r="AK2" s="58" t="s">
        <v>46</v>
      </c>
      <c r="AL2" s="58" t="s">
        <v>30</v>
      </c>
      <c r="AM2" s="58" t="s">
        <v>6334</v>
      </c>
      <c r="AN2" s="58" t="s">
        <v>6335</v>
      </c>
      <c r="AO2" s="58" t="s">
        <v>6336</v>
      </c>
      <c r="AP2" s="58" t="s">
        <v>6337</v>
      </c>
      <c r="AQ2" s="58" t="s">
        <v>6347</v>
      </c>
      <c r="AR2" s="58" t="s">
        <v>6339</v>
      </c>
      <c r="AS2" s="58" t="s">
        <v>67</v>
      </c>
      <c r="AT2" s="58" t="s">
        <v>57</v>
      </c>
      <c r="AU2" s="58" t="s">
        <v>6340</v>
      </c>
      <c r="AV2" s="58" t="s">
        <v>6341</v>
      </c>
      <c r="AW2" s="58" t="s">
        <v>6342</v>
      </c>
      <c r="AX2" s="58" t="s">
        <v>29</v>
      </c>
      <c r="AY2" s="66" t="s">
        <v>94</v>
      </c>
    </row>
    <row r="3" spans="1:51" x14ac:dyDescent="0.2">
      <c r="A3" s="60" t="s">
        <v>6345</v>
      </c>
      <c r="C3" s="61" t="str">
        <f>'Property Summary'!B2</f>
        <v>Y</v>
      </c>
      <c r="D3" s="61" t="str">
        <f>'Property Summary'!B3</f>
        <v>Y</v>
      </c>
      <c r="E3" s="61" t="str">
        <f>'Property Summary'!B4</f>
        <v>Y</v>
      </c>
      <c r="F3" s="61" t="str">
        <f>'Property Summary'!B5</f>
        <v>Y</v>
      </c>
      <c r="G3" s="61" t="str">
        <f>'Property Summary'!B6</f>
        <v>Y</v>
      </c>
      <c r="H3" s="61" t="str">
        <f>'Property Summary'!B7</f>
        <v>Y</v>
      </c>
      <c r="I3" s="61" t="str">
        <f>'Property Summary'!B8</f>
        <v>Y</v>
      </c>
      <c r="J3" s="61" t="str">
        <f>'Property Summary'!B9</f>
        <v>Y</v>
      </c>
      <c r="K3" s="61" t="str">
        <f>'Property Summary'!B10</f>
        <v>Y</v>
      </c>
      <c r="L3" s="61" t="str">
        <f>'Property Summary'!B11</f>
        <v>Y</v>
      </c>
      <c r="M3" s="61" t="str">
        <f>'Property Summary'!B12</f>
        <v>Y</v>
      </c>
      <c r="N3" s="61" t="str">
        <f>'Property Summary'!B13</f>
        <v>Y</v>
      </c>
      <c r="O3" s="61" t="str">
        <f>'Property Summary'!B14</f>
        <v>Y</v>
      </c>
      <c r="P3" s="61" t="str">
        <f>'Property Summary'!B15</f>
        <v>Y</v>
      </c>
      <c r="Q3" s="61" t="str">
        <f>'Property Summary'!B16</f>
        <v>Y</v>
      </c>
      <c r="R3" s="61" t="str">
        <f>'Property Summary'!B17</f>
        <v>Y</v>
      </c>
      <c r="S3" s="61" t="str">
        <f>'Property Summary'!B18</f>
        <v>Y</v>
      </c>
      <c r="T3" s="61" t="str">
        <f>'Property Summary'!B19</f>
        <v>Y</v>
      </c>
      <c r="U3" s="61" t="str">
        <f>'Property Summary'!B20</f>
        <v>Y</v>
      </c>
      <c r="V3" s="61" t="str">
        <f>'Property Summary'!B21</f>
        <v>Y</v>
      </c>
      <c r="W3" s="61" t="str">
        <f>'Property Summary'!B22</f>
        <v>Y</v>
      </c>
      <c r="X3" s="61" t="str">
        <f>'Property Summary'!B23</f>
        <v>Y</v>
      </c>
      <c r="Y3" s="61" t="str">
        <f>'Property Summary'!B24</f>
        <v>Y</v>
      </c>
      <c r="Z3" s="61" t="str">
        <f>'Property Summary'!B25</f>
        <v>Y</v>
      </c>
      <c r="AA3" s="61" t="str">
        <f>'Property Summary'!B26</f>
        <v>Y</v>
      </c>
      <c r="AB3" s="61" t="str">
        <f>'Property Summary'!B27</f>
        <v>Y</v>
      </c>
      <c r="AC3" s="61" t="str">
        <f>'Property Summary'!B28</f>
        <v>Y</v>
      </c>
      <c r="AD3" s="61" t="str">
        <f>'Property Summary'!B29</f>
        <v>Y</v>
      </c>
      <c r="AE3" s="61" t="str">
        <f>'Property Summary'!B30</f>
        <v>Y</v>
      </c>
      <c r="AF3" s="61" t="str">
        <f>'Property Summary'!B31</f>
        <v>Y</v>
      </c>
      <c r="AG3" s="61" t="str">
        <f>'Property Summary'!B32</f>
        <v>Y</v>
      </c>
      <c r="AH3" s="61" t="str">
        <f>'Property Summary'!B33</f>
        <v>Y</v>
      </c>
      <c r="AI3" s="61" t="str">
        <f>'Property Summary'!B34</f>
        <v>Y</v>
      </c>
      <c r="AJ3" s="61" t="str">
        <f>'Property Summary'!B35</f>
        <v>Y</v>
      </c>
      <c r="AK3" s="61" t="str">
        <f>'Property Summary'!B36</f>
        <v>Y</v>
      </c>
      <c r="AL3" s="61" t="str">
        <f>'Property Summary'!B37</f>
        <v>Y</v>
      </c>
      <c r="AM3" s="61" t="str">
        <f>'Property Summary'!B38</f>
        <v>Y</v>
      </c>
      <c r="AN3" s="61" t="str">
        <f>'Property Summary'!B39</f>
        <v>Y</v>
      </c>
      <c r="AO3" s="61" t="str">
        <f>'Property Summary'!B40</f>
        <v>Y</v>
      </c>
      <c r="AP3" s="61" t="str">
        <f>'Property Summary'!B41</f>
        <v>Y</v>
      </c>
      <c r="AQ3" s="61" t="str">
        <f>'Property Summary'!B42</f>
        <v>Y</v>
      </c>
      <c r="AR3" s="61" t="str">
        <f>'Property Summary'!B43</f>
        <v>Y</v>
      </c>
      <c r="AS3" s="61" t="str">
        <f>'Property Summary'!B44</f>
        <v>Y</v>
      </c>
      <c r="AT3" s="61" t="str">
        <f>'Property Summary'!B45</f>
        <v>Y</v>
      </c>
      <c r="AU3" s="61" t="str">
        <f>'Property Summary'!B46</f>
        <v>Y</v>
      </c>
      <c r="AV3" s="61" t="str">
        <f>'Property Summary'!B47</f>
        <v>Y</v>
      </c>
      <c r="AW3" s="61" t="str">
        <f>'Property Summary'!B48</f>
        <v>Y</v>
      </c>
      <c r="AX3" s="61" t="str">
        <f>'Property Summary'!B49</f>
        <v>Y</v>
      </c>
    </row>
    <row r="4" spans="1:51" x14ac:dyDescent="0.2">
      <c r="A4" s="24" t="s">
        <v>76</v>
      </c>
      <c r="B4" s="62">
        <v>48</v>
      </c>
      <c r="C4" s="63">
        <v>394.35609372264662</v>
      </c>
      <c r="D4" s="64">
        <v>326.7467009447908</v>
      </c>
      <c r="E4" s="64">
        <v>425.44732452200691</v>
      </c>
      <c r="F4" s="64">
        <v>521.38037630834947</v>
      </c>
      <c r="G4" s="64">
        <v>179.49132263906861</v>
      </c>
      <c r="H4" s="64">
        <v>409.25977210142958</v>
      </c>
      <c r="I4" s="64">
        <v>24.938699414351429</v>
      </c>
      <c r="J4" s="64">
        <v>424.38397736866273</v>
      </c>
      <c r="K4" s="64">
        <v>455.56222247874098</v>
      </c>
      <c r="L4" s="64">
        <v>347.9298748894638</v>
      </c>
      <c r="M4" s="64">
        <v>301.59057844260809</v>
      </c>
      <c r="N4" s="64">
        <v>385.39606461157479</v>
      </c>
      <c r="O4" s="64">
        <v>533.76428921168599</v>
      </c>
      <c r="P4" s="64">
        <v>327.14022630641853</v>
      </c>
      <c r="Q4" s="64">
        <v>414.91146684077239</v>
      </c>
      <c r="R4" s="64">
        <v>334.3836463883456</v>
      </c>
      <c r="S4" s="64">
        <v>405.16727523160432</v>
      </c>
      <c r="T4" s="64">
        <v>318.89234959389142</v>
      </c>
      <c r="U4" s="64">
        <v>362.99373047900258</v>
      </c>
      <c r="V4" s="64">
        <v>301.84479904176538</v>
      </c>
      <c r="W4" s="64">
        <v>513.80396096745301</v>
      </c>
      <c r="X4" s="64">
        <v>535.17378820763247</v>
      </c>
      <c r="Y4" s="64">
        <v>235.43554344758189</v>
      </c>
      <c r="Z4" s="64">
        <v>277.10826551832201</v>
      </c>
      <c r="AA4" s="64">
        <v>298.45757556819359</v>
      </c>
      <c r="AB4" s="64">
        <v>261.22757695181622</v>
      </c>
      <c r="AC4" s="64">
        <v>260.03734973986849</v>
      </c>
      <c r="AD4" s="64">
        <v>384.60051871612791</v>
      </c>
      <c r="AE4" s="64">
        <v>344.03691615788108</v>
      </c>
      <c r="AF4" s="64">
        <v>407.65462624392501</v>
      </c>
      <c r="AG4" s="64">
        <v>841.37708651701939</v>
      </c>
      <c r="AH4" s="64">
        <v>366.47859234379712</v>
      </c>
      <c r="AI4" s="64">
        <v>338.20688736092012</v>
      </c>
      <c r="AJ4" s="64">
        <v>257.02422811354529</v>
      </c>
      <c r="AK4" s="64">
        <v>343.84730192084908</v>
      </c>
      <c r="AL4" s="64">
        <v>846.39326859770802</v>
      </c>
      <c r="AM4" s="64">
        <v>305.74396360381132</v>
      </c>
      <c r="AN4" s="64">
        <v>320.64419885075108</v>
      </c>
      <c r="AO4" s="64">
        <v>358.77208667956643</v>
      </c>
      <c r="AP4" s="64">
        <v>314.46369508954359</v>
      </c>
      <c r="AQ4" s="64">
        <v>299.18777921026589</v>
      </c>
      <c r="AR4" s="64">
        <v>377.55432808428219</v>
      </c>
      <c r="AS4" s="64">
        <v>669.58306048827308</v>
      </c>
      <c r="AT4" s="64">
        <v>388.28100087796321</v>
      </c>
      <c r="AU4" s="64">
        <v>548.09239569426609</v>
      </c>
      <c r="AV4" s="64">
        <v>266.93394601931612</v>
      </c>
      <c r="AW4" s="64">
        <v>635.24549191453059</v>
      </c>
      <c r="AX4" s="64">
        <v>408.85200050169323</v>
      </c>
      <c r="AY4" s="65">
        <f t="shared" ref="AY4:AY15" si="0">IFERROR(AVERAGEIFS(C4:AX4,$C$3:$AX$3,"Y",C4:AX4,"&lt;&gt;"),"")</f>
        <v>387.49579633175176</v>
      </c>
    </row>
    <row r="5" spans="1:51" x14ac:dyDescent="0.2">
      <c r="A5" s="24" t="s">
        <v>77</v>
      </c>
      <c r="B5" s="62">
        <v>46</v>
      </c>
      <c r="C5" s="63">
        <v>636.78008378778566</v>
      </c>
      <c r="D5" s="64">
        <v>344.35096838415097</v>
      </c>
      <c r="E5" s="67"/>
      <c r="F5" s="64">
        <v>867.25244956772337</v>
      </c>
      <c r="G5" s="64">
        <v>621.26077646239548</v>
      </c>
      <c r="H5" s="64">
        <v>784.52577297143807</v>
      </c>
      <c r="I5" s="64">
        <v>36.379234491860977</v>
      </c>
      <c r="J5" s="67"/>
      <c r="K5" s="64">
        <v>544.04885085574574</v>
      </c>
      <c r="L5" s="64">
        <v>498.63426644906372</v>
      </c>
      <c r="M5" s="64">
        <v>367.36204514929233</v>
      </c>
      <c r="N5" s="64">
        <v>502.42189246389239</v>
      </c>
      <c r="O5" s="64">
        <v>757.84936100788548</v>
      </c>
      <c r="P5" s="64">
        <v>404.7174737023625</v>
      </c>
      <c r="Q5" s="64">
        <v>522.31914383561639</v>
      </c>
      <c r="R5" s="64">
        <v>539.56417055364022</v>
      </c>
      <c r="S5" s="64">
        <v>425.47345560200893</v>
      </c>
      <c r="T5" s="64">
        <v>639.25003306003703</v>
      </c>
      <c r="U5" s="64">
        <v>406.90473211298581</v>
      </c>
      <c r="V5" s="64">
        <v>360.19909570215839</v>
      </c>
      <c r="W5" s="64">
        <v>351.16127563329309</v>
      </c>
      <c r="X5" s="64">
        <v>1081.4460606060611</v>
      </c>
      <c r="Y5" s="64">
        <v>364.05134269148613</v>
      </c>
      <c r="Z5" s="64">
        <v>400.07242074074071</v>
      </c>
      <c r="AA5" s="64">
        <v>514.19832626888376</v>
      </c>
      <c r="AB5" s="64">
        <v>525.90824074974864</v>
      </c>
      <c r="AC5" s="64">
        <v>639.15979492767974</v>
      </c>
      <c r="AD5" s="64">
        <v>413.91993782641129</v>
      </c>
      <c r="AE5" s="64">
        <v>398.82627846138939</v>
      </c>
      <c r="AF5" s="64">
        <v>503.56823009947158</v>
      </c>
      <c r="AG5" s="64">
        <v>785.95299165935035</v>
      </c>
      <c r="AH5" s="64">
        <v>512.61578029642544</v>
      </c>
      <c r="AI5" s="64">
        <v>548.65864659375768</v>
      </c>
      <c r="AJ5" s="64">
        <v>413.83101297291108</v>
      </c>
      <c r="AK5" s="64">
        <v>545.32237382870289</v>
      </c>
      <c r="AL5" s="64">
        <v>468.91284003925409</v>
      </c>
      <c r="AM5" s="64">
        <v>417.08039188438022</v>
      </c>
      <c r="AN5" s="64">
        <v>289.13272537640728</v>
      </c>
      <c r="AO5" s="64">
        <v>329.74303426124192</v>
      </c>
      <c r="AP5" s="64">
        <v>521.58205991574346</v>
      </c>
      <c r="AQ5" s="64">
        <v>597.04740200546951</v>
      </c>
      <c r="AR5" s="64">
        <v>557.88118038583536</v>
      </c>
      <c r="AS5" s="64">
        <v>661.09449557452808</v>
      </c>
      <c r="AT5" s="64">
        <v>523.79282711234919</v>
      </c>
      <c r="AU5" s="64">
        <v>633.13903033772181</v>
      </c>
      <c r="AV5" s="64">
        <v>453.66723938328369</v>
      </c>
      <c r="AW5" s="64">
        <v>690.71591254835482</v>
      </c>
      <c r="AX5" s="64">
        <v>568.62815530008595</v>
      </c>
      <c r="AY5" s="65">
        <f t="shared" si="0"/>
        <v>521.09573507915263</v>
      </c>
    </row>
    <row r="6" spans="1:51" x14ac:dyDescent="0.2">
      <c r="A6" s="24" t="s">
        <v>78</v>
      </c>
      <c r="B6" s="62">
        <v>48</v>
      </c>
      <c r="C6" s="63">
        <v>1075.656589250756</v>
      </c>
      <c r="D6" s="64">
        <v>895.4985763927192</v>
      </c>
      <c r="E6" s="64">
        <v>610.81732825137124</v>
      </c>
      <c r="F6" s="64">
        <v>1284.584800190295</v>
      </c>
      <c r="G6" s="64">
        <v>343.92181682799702</v>
      </c>
      <c r="H6" s="64">
        <v>1252.7328324934269</v>
      </c>
      <c r="I6" s="64">
        <v>58.861142314006742</v>
      </c>
      <c r="J6" s="64">
        <v>1016.975337782842</v>
      </c>
      <c r="K6" s="64">
        <v>933.18868682809205</v>
      </c>
      <c r="L6" s="64">
        <v>1209.6678226857889</v>
      </c>
      <c r="M6" s="64">
        <v>1131.618614964749</v>
      </c>
      <c r="N6" s="64">
        <v>1075.8662240603689</v>
      </c>
      <c r="O6" s="64">
        <v>1866.8519459238021</v>
      </c>
      <c r="P6" s="64">
        <v>1111.098765872599</v>
      </c>
      <c r="Q6" s="64">
        <v>1023.215933940774</v>
      </c>
      <c r="R6" s="64">
        <v>666.75626768945904</v>
      </c>
      <c r="S6" s="64">
        <v>1314.8702657004831</v>
      </c>
      <c r="T6" s="64">
        <v>867.25690149343791</v>
      </c>
      <c r="U6" s="64">
        <v>1270.67925323741</v>
      </c>
      <c r="V6" s="64">
        <v>929.67640331803182</v>
      </c>
      <c r="W6" s="64">
        <v>824.17594369134508</v>
      </c>
      <c r="X6" s="64">
        <v>1073.739040624283</v>
      </c>
      <c r="Y6" s="64">
        <v>694.9915273384546</v>
      </c>
      <c r="Z6" s="64">
        <v>812.50482220835931</v>
      </c>
      <c r="AA6" s="64">
        <v>820.1516959798995</v>
      </c>
      <c r="AB6" s="64">
        <v>1253.8803386861309</v>
      </c>
      <c r="AC6" s="64">
        <v>1042.6309348468069</v>
      </c>
      <c r="AD6" s="64">
        <v>1269.220738059754</v>
      </c>
      <c r="AE6" s="64">
        <v>975.53769139966266</v>
      </c>
      <c r="AF6" s="64">
        <v>1600.448749595861</v>
      </c>
      <c r="AG6" s="64">
        <v>1072.768768371843</v>
      </c>
      <c r="AH6" s="64">
        <v>1354.348314153634</v>
      </c>
      <c r="AI6" s="64">
        <v>796.44594263519571</v>
      </c>
      <c r="AJ6" s="64">
        <v>1003.605795637783</v>
      </c>
      <c r="AK6" s="64">
        <v>1057.524637681159</v>
      </c>
      <c r="AL6" s="64">
        <v>1941.5609306132731</v>
      </c>
      <c r="AM6" s="64">
        <v>840.7676221804511</v>
      </c>
      <c r="AN6" s="64">
        <v>949.32731276638924</v>
      </c>
      <c r="AO6" s="64">
        <v>853.88396469654879</v>
      </c>
      <c r="AP6" s="64">
        <v>1354.7605399545739</v>
      </c>
      <c r="AQ6" s="64">
        <v>572.03800000000001</v>
      </c>
      <c r="AR6" s="64">
        <v>782.54859656357394</v>
      </c>
      <c r="AS6" s="64">
        <v>1853.801858485605</v>
      </c>
      <c r="AT6" s="64">
        <v>833.77725206611569</v>
      </c>
      <c r="AU6" s="64">
        <v>1076.50482505176</v>
      </c>
      <c r="AV6" s="64">
        <v>710.75553757905584</v>
      </c>
      <c r="AW6" s="64">
        <v>1358.025931098696</v>
      </c>
      <c r="AX6" s="64">
        <v>1009.811542525092</v>
      </c>
      <c r="AY6" s="65">
        <f t="shared" si="0"/>
        <v>1036.0277992439526</v>
      </c>
    </row>
    <row r="7" spans="1:51" x14ac:dyDescent="0.2">
      <c r="A7" s="24" t="s">
        <v>79</v>
      </c>
      <c r="B7" s="62">
        <v>48</v>
      </c>
      <c r="C7" s="63">
        <v>1096.761379205358</v>
      </c>
      <c r="D7" s="64">
        <v>929.82843533534356</v>
      </c>
      <c r="E7" s="64">
        <v>703.79791009463725</v>
      </c>
      <c r="F7" s="64">
        <v>1469.3953003448551</v>
      </c>
      <c r="G7" s="64">
        <v>244.19094617819991</v>
      </c>
      <c r="H7" s="64">
        <v>1201.942873572463</v>
      </c>
      <c r="I7" s="64">
        <v>80.143703272162341</v>
      </c>
      <c r="J7" s="64">
        <v>1187.29146232724</v>
      </c>
      <c r="K7" s="64">
        <v>968.10825506673257</v>
      </c>
      <c r="L7" s="64">
        <v>551.7905841293167</v>
      </c>
      <c r="M7" s="64">
        <v>640.1404231830727</v>
      </c>
      <c r="N7" s="64">
        <v>989.13543513003071</v>
      </c>
      <c r="O7" s="64">
        <v>1437.886975503274</v>
      </c>
      <c r="P7" s="64">
        <v>944.7579227126929</v>
      </c>
      <c r="Q7" s="64">
        <v>619.46859281817035</v>
      </c>
      <c r="R7" s="64">
        <v>593.34507963946169</v>
      </c>
      <c r="S7" s="64">
        <v>681.47386119654152</v>
      </c>
      <c r="T7" s="64">
        <v>829.67551444833623</v>
      </c>
      <c r="U7" s="64">
        <v>1022.927773448986</v>
      </c>
      <c r="V7" s="64">
        <v>577.02486808070353</v>
      </c>
      <c r="W7" s="64">
        <v>1011.327468588737</v>
      </c>
      <c r="X7" s="64">
        <v>1572.106367990983</v>
      </c>
      <c r="Y7" s="64">
        <v>600.08305084745757</v>
      </c>
      <c r="Z7" s="64">
        <v>817.82933256899526</v>
      </c>
      <c r="AA7" s="64">
        <v>535.15235962511406</v>
      </c>
      <c r="AB7" s="64">
        <v>762.46644642713613</v>
      </c>
      <c r="AC7" s="64">
        <v>544.98670766744476</v>
      </c>
      <c r="AD7" s="64">
        <v>566.83628987012992</v>
      </c>
      <c r="AE7" s="64">
        <v>456.40852702702699</v>
      </c>
      <c r="AF7" s="64">
        <v>697.28893428812125</v>
      </c>
      <c r="AG7" s="64">
        <v>481.2681736605964</v>
      </c>
      <c r="AH7" s="64">
        <v>588.77652256065301</v>
      </c>
      <c r="AI7" s="64">
        <v>645.45708756414456</v>
      </c>
      <c r="AJ7" s="64">
        <v>353.13903441747237</v>
      </c>
      <c r="AK7" s="64">
        <v>1113.902696365768</v>
      </c>
      <c r="AL7" s="64">
        <v>1601.984503203498</v>
      </c>
      <c r="AM7" s="64">
        <v>1182.9897879025921</v>
      </c>
      <c r="AN7" s="64">
        <v>492.1778161973005</v>
      </c>
      <c r="AO7" s="64">
        <v>651.54901291394958</v>
      </c>
      <c r="AP7" s="64">
        <v>988.06522014254313</v>
      </c>
      <c r="AQ7" s="64">
        <v>530.07338365008638</v>
      </c>
      <c r="AR7" s="64">
        <v>1115.195085938125</v>
      </c>
      <c r="AS7" s="64">
        <v>1748.370418079621</v>
      </c>
      <c r="AT7" s="64">
        <v>777.98529844564644</v>
      </c>
      <c r="AU7" s="64">
        <v>1146.4685991270851</v>
      </c>
      <c r="AV7" s="64">
        <v>827.02367476807478</v>
      </c>
      <c r="AW7" s="64">
        <v>1090.600932711526</v>
      </c>
      <c r="AX7" s="64">
        <v>917.95285880980168</v>
      </c>
      <c r="AY7" s="65">
        <f t="shared" si="0"/>
        <v>845.55318514681665</v>
      </c>
    </row>
    <row r="8" spans="1:51" x14ac:dyDescent="0.2">
      <c r="A8" s="24" t="s">
        <v>80</v>
      </c>
      <c r="B8" s="62">
        <v>47</v>
      </c>
      <c r="C8" s="63">
        <v>893.99749446694784</v>
      </c>
      <c r="D8" s="64">
        <v>743.65791249536528</v>
      </c>
      <c r="E8" s="64">
        <v>265.58240993212269</v>
      </c>
      <c r="F8" s="64">
        <v>829.74931388692858</v>
      </c>
      <c r="G8" s="64">
        <v>403.0654952897516</v>
      </c>
      <c r="H8" s="64">
        <v>1070.7666204986151</v>
      </c>
      <c r="I8" s="64">
        <v>64.995957962813264</v>
      </c>
      <c r="J8" s="64">
        <v>582.62150089338888</v>
      </c>
      <c r="K8" s="64">
        <v>1135.5649479714721</v>
      </c>
      <c r="L8" s="64">
        <v>738.34120268410186</v>
      </c>
      <c r="M8" s="64">
        <v>709.70259055019437</v>
      </c>
      <c r="N8" s="64">
        <v>944.93004396208266</v>
      </c>
      <c r="O8" s="64">
        <v>1581.6585365853659</v>
      </c>
      <c r="P8" s="64">
        <v>1223.0661453541859</v>
      </c>
      <c r="Q8" s="64">
        <v>672.7897019838864</v>
      </c>
      <c r="R8" s="64">
        <v>741.98633060109296</v>
      </c>
      <c r="S8" s="64">
        <v>991.46584188911697</v>
      </c>
      <c r="T8" s="64">
        <v>1022.49174351276</v>
      </c>
      <c r="U8" s="64">
        <v>1616.3820621931261</v>
      </c>
      <c r="V8" s="64">
        <v>1144.7080667759731</v>
      </c>
      <c r="W8" s="64">
        <v>543.4938090114324</v>
      </c>
      <c r="X8" s="64">
        <v>813.2045212451178</v>
      </c>
      <c r="Y8" s="64">
        <v>489.27760679551892</v>
      </c>
      <c r="Z8" s="64">
        <v>573.43421035169206</v>
      </c>
      <c r="AA8" s="64">
        <v>1138.9328529970981</v>
      </c>
      <c r="AB8" s="64">
        <v>769.52736920777284</v>
      </c>
      <c r="AC8" s="64">
        <v>1222.9330486008839</v>
      </c>
      <c r="AD8" s="64">
        <v>878.58873949579834</v>
      </c>
      <c r="AE8" s="64">
        <v>420.32775516693158</v>
      </c>
      <c r="AF8" s="64">
        <v>1081.604202729045</v>
      </c>
      <c r="AG8" s="64">
        <v>659.98502354244556</v>
      </c>
      <c r="AH8" s="64">
        <v>840.49721302998967</v>
      </c>
      <c r="AI8" s="64">
        <v>734.32543529097359</v>
      </c>
      <c r="AJ8" s="64">
        <v>406.22748877485571</v>
      </c>
      <c r="AK8" s="64">
        <v>1863.6</v>
      </c>
      <c r="AL8" s="64">
        <v>534.03856111230868</v>
      </c>
      <c r="AM8" s="67"/>
      <c r="AN8" s="64">
        <v>1172.9586630309041</v>
      </c>
      <c r="AO8" s="64">
        <v>367.391341127923</v>
      </c>
      <c r="AP8" s="64">
        <v>1089.4970555203331</v>
      </c>
      <c r="AQ8" s="64">
        <v>693.1014744145707</v>
      </c>
      <c r="AR8" s="64">
        <v>942.2490157618214</v>
      </c>
      <c r="AS8" s="64">
        <v>1398.5520236496729</v>
      </c>
      <c r="AT8" s="64">
        <v>687.24864386710306</v>
      </c>
      <c r="AU8" s="64">
        <v>1476.834611241218</v>
      </c>
      <c r="AV8" s="64">
        <v>1074.4088782562469</v>
      </c>
      <c r="AW8" s="64">
        <v>767.33229275060705</v>
      </c>
      <c r="AX8" s="64">
        <v>2913.5495327102799</v>
      </c>
      <c r="AY8" s="65">
        <f t="shared" si="0"/>
        <v>913.41798487599681</v>
      </c>
    </row>
    <row r="9" spans="1:51" x14ac:dyDescent="0.2">
      <c r="A9" s="24" t="s">
        <v>81</v>
      </c>
      <c r="B9" s="62">
        <v>47</v>
      </c>
      <c r="C9" s="63">
        <v>844.24470998773938</v>
      </c>
      <c r="D9" s="64">
        <v>979.22908285579103</v>
      </c>
      <c r="E9" s="64">
        <v>527.8442125091301</v>
      </c>
      <c r="F9" s="64">
        <v>574.81876780626783</v>
      </c>
      <c r="G9" s="64">
        <v>462.40484733811257</v>
      </c>
      <c r="H9" s="64">
        <v>891.73771244832335</v>
      </c>
      <c r="I9" s="64">
        <v>52.053193043986553</v>
      </c>
      <c r="J9" s="64">
        <v>719.96825419929553</v>
      </c>
      <c r="K9" s="64">
        <v>778.49916752556885</v>
      </c>
      <c r="L9" s="64">
        <v>322.75701170009552</v>
      </c>
      <c r="M9" s="64">
        <v>607.76945544554462</v>
      </c>
      <c r="N9" s="64">
        <v>806.28499374217779</v>
      </c>
      <c r="O9" s="64">
        <v>989.60739371534191</v>
      </c>
      <c r="P9" s="64">
        <v>721.61329237071175</v>
      </c>
      <c r="Q9" s="64">
        <v>1684.524671596346</v>
      </c>
      <c r="R9" s="64">
        <v>369.1870424947175</v>
      </c>
      <c r="S9" s="64">
        <v>747.62879472060138</v>
      </c>
      <c r="T9" s="64">
        <v>745.26248878580338</v>
      </c>
      <c r="U9" s="64">
        <v>763.08124903656756</v>
      </c>
      <c r="V9" s="64">
        <v>418.41546361301369</v>
      </c>
      <c r="W9" s="64">
        <v>857.40173279645296</v>
      </c>
      <c r="X9" s="64">
        <v>763.06909899358834</v>
      </c>
      <c r="Y9" s="64">
        <v>667.72367169452366</v>
      </c>
      <c r="Z9" s="64">
        <v>430.59089799111513</v>
      </c>
      <c r="AA9" s="64">
        <v>1200.6280250648231</v>
      </c>
      <c r="AB9" s="64">
        <v>1318.5199335754139</v>
      </c>
      <c r="AC9" s="64">
        <v>702.1110163934427</v>
      </c>
      <c r="AD9" s="64">
        <v>451.12136939680272</v>
      </c>
      <c r="AE9" s="64">
        <v>692.02499387004502</v>
      </c>
      <c r="AF9" s="64">
        <v>705.29094467656387</v>
      </c>
      <c r="AG9" s="64">
        <v>708.65564031078611</v>
      </c>
      <c r="AH9" s="64">
        <v>1632.0784797136041</v>
      </c>
      <c r="AI9" s="64">
        <v>517.5984289530594</v>
      </c>
      <c r="AJ9" s="64">
        <v>508.48339579886351</v>
      </c>
      <c r="AK9" s="64">
        <v>862.58845570523681</v>
      </c>
      <c r="AL9" s="64">
        <v>1343.1789950315131</v>
      </c>
      <c r="AM9" s="67"/>
      <c r="AN9" s="64">
        <v>574.94264566367804</v>
      </c>
      <c r="AO9" s="64">
        <v>409.35479798404032</v>
      </c>
      <c r="AP9" s="64">
        <v>929.83518002003018</v>
      </c>
      <c r="AQ9" s="64">
        <v>680.58823166784828</v>
      </c>
      <c r="AR9" s="64">
        <v>2235.744149740035</v>
      </c>
      <c r="AS9" s="64">
        <v>871.09820898916144</v>
      </c>
      <c r="AT9" s="64">
        <v>484.01909005860819</v>
      </c>
      <c r="AU9" s="64">
        <v>1034.9056721619829</v>
      </c>
      <c r="AV9" s="64">
        <v>661.42892060225313</v>
      </c>
      <c r="AW9" s="64">
        <v>455.25632829052518</v>
      </c>
      <c r="AX9" s="64">
        <v>775.27530220431379</v>
      </c>
      <c r="AY9" s="65">
        <f t="shared" si="0"/>
        <v>776.17968962305201</v>
      </c>
    </row>
    <row r="10" spans="1:51" x14ac:dyDescent="0.2">
      <c r="A10" s="24" t="s">
        <v>82</v>
      </c>
      <c r="B10" s="62">
        <v>48</v>
      </c>
      <c r="C10" s="63">
        <v>417.91598797477627</v>
      </c>
      <c r="D10" s="64">
        <v>537.20183351948742</v>
      </c>
      <c r="E10" s="64">
        <v>652.41709197928697</v>
      </c>
      <c r="F10" s="64">
        <v>635.17336152219877</v>
      </c>
      <c r="G10" s="64">
        <v>156.9685293085293</v>
      </c>
      <c r="H10" s="64">
        <v>586.80461841734723</v>
      </c>
      <c r="I10" s="64">
        <v>41.021939953810623</v>
      </c>
      <c r="J10" s="64">
        <v>119.7281114327062</v>
      </c>
      <c r="K10" s="64">
        <v>421.86481189553058</v>
      </c>
      <c r="L10" s="64">
        <v>371.31255906136039</v>
      </c>
      <c r="M10" s="64">
        <v>312.04255344536142</v>
      </c>
      <c r="N10" s="64">
        <v>624.74697142471575</v>
      </c>
      <c r="O10" s="64">
        <v>884.40368178829715</v>
      </c>
      <c r="P10" s="64">
        <v>423.45535749106273</v>
      </c>
      <c r="Q10" s="64">
        <v>576.70040155135939</v>
      </c>
      <c r="R10" s="64">
        <v>469.83522142043302</v>
      </c>
      <c r="S10" s="64">
        <v>309.04280565214998</v>
      </c>
      <c r="T10" s="64">
        <v>387.85870413739258</v>
      </c>
      <c r="U10" s="64">
        <v>313.40427556758129</v>
      </c>
      <c r="V10" s="64">
        <v>243.7515747081458</v>
      </c>
      <c r="W10" s="64">
        <v>480.29540286831809</v>
      </c>
      <c r="X10" s="64">
        <v>764.61322360953466</v>
      </c>
      <c r="Y10" s="64">
        <v>272.32872364543192</v>
      </c>
      <c r="Z10" s="64">
        <v>249.8054625</v>
      </c>
      <c r="AA10" s="64">
        <v>355.84181954324231</v>
      </c>
      <c r="AB10" s="64">
        <v>256.75003078966432</v>
      </c>
      <c r="AC10" s="64">
        <v>343.20958273381302</v>
      </c>
      <c r="AD10" s="64">
        <v>414.30366164837972</v>
      </c>
      <c r="AE10" s="64">
        <v>205.46046399902701</v>
      </c>
      <c r="AF10" s="64">
        <v>526.1728247874355</v>
      </c>
      <c r="AG10" s="64">
        <v>523.74956896551726</v>
      </c>
      <c r="AH10" s="64">
        <v>278.11650600835952</v>
      </c>
      <c r="AI10" s="64">
        <v>338.45281350379031</v>
      </c>
      <c r="AJ10" s="64">
        <v>278.18717616580312</v>
      </c>
      <c r="AK10" s="64">
        <v>635.54777224130419</v>
      </c>
      <c r="AL10" s="64">
        <v>882.43733536166451</v>
      </c>
      <c r="AM10" s="64">
        <v>454.95161528249002</v>
      </c>
      <c r="AN10" s="64">
        <v>285.83915850144092</v>
      </c>
      <c r="AO10" s="64">
        <v>237.2133894099849</v>
      </c>
      <c r="AP10" s="64">
        <v>454.23807813082118</v>
      </c>
      <c r="AQ10" s="64">
        <v>445.60573958858811</v>
      </c>
      <c r="AR10" s="64">
        <v>310.5827159625743</v>
      </c>
      <c r="AS10" s="64">
        <v>1191.8196533223279</v>
      </c>
      <c r="AT10" s="64">
        <v>665.07190491266954</v>
      </c>
      <c r="AU10" s="64">
        <v>550.38357109862193</v>
      </c>
      <c r="AV10" s="64">
        <v>263.29756227083072</v>
      </c>
      <c r="AW10" s="64">
        <v>701.4546763808878</v>
      </c>
      <c r="AX10" s="64">
        <v>286.23038887026479</v>
      </c>
      <c r="AY10" s="65">
        <f t="shared" si="0"/>
        <v>440.36690029904827</v>
      </c>
    </row>
    <row r="11" spans="1:51" x14ac:dyDescent="0.2">
      <c r="A11" s="24" t="s">
        <v>83</v>
      </c>
      <c r="B11" s="62">
        <v>47</v>
      </c>
      <c r="C11" s="63">
        <v>398.20700288292329</v>
      </c>
      <c r="D11" s="64">
        <v>306.60000871679591</v>
      </c>
      <c r="E11" s="64">
        <v>434.75699067909449</v>
      </c>
      <c r="F11" s="64">
        <v>590.28914648966997</v>
      </c>
      <c r="G11" s="64">
        <v>332.63556482253728</v>
      </c>
      <c r="H11" s="64">
        <v>571.24955690872582</v>
      </c>
      <c r="I11" s="64">
        <v>36.661537068887483</v>
      </c>
      <c r="J11" s="64">
        <v>257.09965102753011</v>
      </c>
      <c r="K11" s="64">
        <v>693.60947616244846</v>
      </c>
      <c r="L11" s="64">
        <v>350.62834057649673</v>
      </c>
      <c r="M11" s="64">
        <v>485.39814994279561</v>
      </c>
      <c r="N11" s="64">
        <v>557.44046128019852</v>
      </c>
      <c r="O11" s="64">
        <v>717.42263279445729</v>
      </c>
      <c r="P11" s="64">
        <v>714.0488145265889</v>
      </c>
      <c r="Q11" s="64">
        <v>631.92922882717471</v>
      </c>
      <c r="R11" s="64">
        <v>468.41710807154669</v>
      </c>
      <c r="S11" s="64">
        <v>552.68464130749214</v>
      </c>
      <c r="T11" s="64">
        <v>471.48141946634979</v>
      </c>
      <c r="U11" s="64">
        <v>425.28861306667858</v>
      </c>
      <c r="V11" s="64">
        <v>782.49978511035681</v>
      </c>
      <c r="W11" s="64">
        <v>401.84298532795242</v>
      </c>
      <c r="X11" s="64">
        <v>491.15068861269742</v>
      </c>
      <c r="Y11" s="64">
        <v>460.81776556776549</v>
      </c>
      <c r="Z11" s="64">
        <v>450.19516309412859</v>
      </c>
      <c r="AA11" s="64">
        <v>152.34574976122249</v>
      </c>
      <c r="AB11" s="64">
        <v>287.92866410037072</v>
      </c>
      <c r="AC11" s="64">
        <v>251.36407919878761</v>
      </c>
      <c r="AD11" s="64">
        <v>634.5098072146659</v>
      </c>
      <c r="AE11" s="64">
        <v>544.7116028827038</v>
      </c>
      <c r="AF11" s="64">
        <v>522.98448311593313</v>
      </c>
      <c r="AG11" s="64">
        <v>466.58099115605512</v>
      </c>
      <c r="AH11" s="64">
        <v>371.98339311334291</v>
      </c>
      <c r="AI11" s="64">
        <v>408.0332258392159</v>
      </c>
      <c r="AJ11" s="64">
        <v>288.24383383485491</v>
      </c>
      <c r="AK11" s="64">
        <v>357.74420190995909</v>
      </c>
      <c r="AL11" s="64">
        <v>865.37560042227494</v>
      </c>
      <c r="AM11" s="64">
        <v>388.75480505216922</v>
      </c>
      <c r="AN11" s="64">
        <v>589.79494393626442</v>
      </c>
      <c r="AO11" s="64">
        <v>179.5699571780323</v>
      </c>
      <c r="AP11" s="64">
        <v>481.66336418288239</v>
      </c>
      <c r="AQ11" s="64">
        <v>672.3870589766957</v>
      </c>
      <c r="AR11" s="64">
        <v>480.33846139359702</v>
      </c>
      <c r="AS11" s="64">
        <v>805.2821878039116</v>
      </c>
      <c r="AT11" s="64">
        <v>429.88876642645192</v>
      </c>
      <c r="AU11" s="64">
        <v>696.66650167020953</v>
      </c>
      <c r="AV11" s="64">
        <v>158.86124401913881</v>
      </c>
      <c r="AW11" s="64">
        <v>487.16629569174461</v>
      </c>
      <c r="AX11" s="67"/>
      <c r="AY11" s="65">
        <f t="shared" si="0"/>
        <v>470.30923300450587</v>
      </c>
    </row>
    <row r="12" spans="1:51" x14ac:dyDescent="0.2">
      <c r="A12" s="24" t="s">
        <v>84</v>
      </c>
      <c r="B12" s="62">
        <v>33</v>
      </c>
      <c r="C12" s="63">
        <v>513.13135802469139</v>
      </c>
      <c r="D12" s="64">
        <v>1115.1034610608481</v>
      </c>
      <c r="E12" s="67"/>
      <c r="F12" s="64">
        <v>242.09244372990361</v>
      </c>
      <c r="G12" s="64">
        <v>1079.3990024937659</v>
      </c>
      <c r="H12" s="64">
        <v>723.48437098569843</v>
      </c>
      <c r="I12" s="64">
        <v>41.436265709156203</v>
      </c>
      <c r="J12" s="67"/>
      <c r="K12" s="64">
        <v>729.84210526315792</v>
      </c>
      <c r="L12" s="64">
        <v>467.14026151930261</v>
      </c>
      <c r="M12" s="64">
        <v>630.31481481481478</v>
      </c>
      <c r="N12" s="64">
        <v>909.2171428571429</v>
      </c>
      <c r="O12" s="64">
        <v>1081.030174245644</v>
      </c>
      <c r="P12" s="64">
        <v>1023.04628998968</v>
      </c>
      <c r="Q12" s="64">
        <v>388.3392694063927</v>
      </c>
      <c r="R12" s="64">
        <v>1136.7798857142859</v>
      </c>
      <c r="S12" s="67"/>
      <c r="T12" s="64">
        <v>458.89214135021098</v>
      </c>
      <c r="U12" s="64">
        <v>520.37551779935268</v>
      </c>
      <c r="V12" s="67"/>
      <c r="W12" s="64">
        <v>158.01204292682931</v>
      </c>
      <c r="X12" s="67"/>
      <c r="Y12" s="64">
        <v>225.58183091195519</v>
      </c>
      <c r="Z12" s="64">
        <v>65.084306095979244</v>
      </c>
      <c r="AA12" s="64">
        <v>435.20792880258898</v>
      </c>
      <c r="AB12" s="64">
        <v>347.40798427849518</v>
      </c>
      <c r="AC12" s="67"/>
      <c r="AD12" s="67"/>
      <c r="AE12" s="64">
        <v>204.33168889947589</v>
      </c>
      <c r="AF12" s="67"/>
      <c r="AG12" s="67"/>
      <c r="AH12" s="64">
        <v>1189.8271666666669</v>
      </c>
      <c r="AI12" s="64">
        <v>808.76363636363635</v>
      </c>
      <c r="AJ12" s="67"/>
      <c r="AK12" s="64">
        <v>2981.088937093275</v>
      </c>
      <c r="AL12" s="67"/>
      <c r="AM12" s="67"/>
      <c r="AN12" s="67"/>
      <c r="AO12" s="64">
        <v>248.6419361084221</v>
      </c>
      <c r="AP12" s="64">
        <v>1077.6457040998221</v>
      </c>
      <c r="AQ12" s="67"/>
      <c r="AR12" s="64">
        <v>899.89779260157673</v>
      </c>
      <c r="AS12" s="64">
        <v>2350.1286270056421</v>
      </c>
      <c r="AT12" s="64">
        <v>898.72308823529409</v>
      </c>
      <c r="AU12" s="64">
        <v>226.037205770691</v>
      </c>
      <c r="AV12" s="64">
        <v>181.87041564792179</v>
      </c>
      <c r="AW12" s="64">
        <v>1791.3081947743469</v>
      </c>
      <c r="AX12" s="67"/>
      <c r="AY12" s="65">
        <f t="shared" si="0"/>
        <v>762.09645428020201</v>
      </c>
    </row>
    <row r="13" spans="1:51" x14ac:dyDescent="0.2">
      <c r="A13" s="24" t="s">
        <v>85</v>
      </c>
      <c r="B13" s="62">
        <v>28</v>
      </c>
      <c r="C13" s="63">
        <v>511.38991354466862</v>
      </c>
      <c r="D13" s="64">
        <v>775.9871526726447</v>
      </c>
      <c r="E13" s="67"/>
      <c r="F13" s="67"/>
      <c r="G13" s="67"/>
      <c r="H13" s="64">
        <v>1033.0872727272731</v>
      </c>
      <c r="I13" s="67"/>
      <c r="J13" s="67"/>
      <c r="K13" s="64">
        <v>793.08266860043511</v>
      </c>
      <c r="L13" s="67"/>
      <c r="M13" s="64">
        <v>1074.7352855302699</v>
      </c>
      <c r="N13" s="64">
        <v>377.59645983248788</v>
      </c>
      <c r="O13" s="64">
        <v>1715.1211267605629</v>
      </c>
      <c r="P13" s="64">
        <v>660.02168947368421</v>
      </c>
      <c r="Q13" s="64">
        <v>455.72836172290329</v>
      </c>
      <c r="R13" s="64">
        <v>311.45295183897139</v>
      </c>
      <c r="S13" s="64">
        <v>851.34112028725326</v>
      </c>
      <c r="T13" s="67"/>
      <c r="U13" s="64">
        <v>576.36456338028165</v>
      </c>
      <c r="V13" s="67"/>
      <c r="W13" s="64">
        <v>455.5832006970665</v>
      </c>
      <c r="X13" s="64">
        <v>930.56045454545449</v>
      </c>
      <c r="Y13" s="67"/>
      <c r="Z13" s="64">
        <v>864.34225714285708</v>
      </c>
      <c r="AA13" s="64">
        <v>360.12780112044823</v>
      </c>
      <c r="AB13" s="67"/>
      <c r="AC13" s="67"/>
      <c r="AD13" s="64">
        <v>804.71707600281502</v>
      </c>
      <c r="AE13" s="67"/>
      <c r="AF13" s="67"/>
      <c r="AG13" s="64">
        <v>937.27421523809505</v>
      </c>
      <c r="AH13" s="67"/>
      <c r="AI13" s="64">
        <v>337.69193308988099</v>
      </c>
      <c r="AJ13" s="67"/>
      <c r="AK13" s="67"/>
      <c r="AL13" s="67"/>
      <c r="AM13" s="64">
        <v>328.7837837837838</v>
      </c>
      <c r="AN13" s="64">
        <v>126.5304137811634</v>
      </c>
      <c r="AO13" s="67"/>
      <c r="AP13" s="64">
        <v>425.15215000000001</v>
      </c>
      <c r="AQ13" s="64">
        <v>353.77329224447868</v>
      </c>
      <c r="AR13" s="64">
        <v>1216.2160065146579</v>
      </c>
      <c r="AS13" s="64">
        <v>963.96310397430739</v>
      </c>
      <c r="AT13" s="64">
        <v>390.06630467403988</v>
      </c>
      <c r="AU13" s="64">
        <v>1090.627393617021</v>
      </c>
      <c r="AV13" s="67"/>
      <c r="AW13" s="64">
        <v>2478.5500000000002</v>
      </c>
      <c r="AX13" s="67"/>
      <c r="AY13" s="65">
        <f t="shared" si="0"/>
        <v>757.1381411713395</v>
      </c>
    </row>
    <row r="14" spans="1:51" x14ac:dyDescent="0.2">
      <c r="A14" s="24" t="s">
        <v>86</v>
      </c>
      <c r="B14" s="62">
        <v>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5" t="str">
        <f t="shared" si="0"/>
        <v/>
      </c>
    </row>
    <row r="15" spans="1:51" x14ac:dyDescent="0.2">
      <c r="A15" s="24" t="s">
        <v>87</v>
      </c>
      <c r="B15" s="62">
        <v>18</v>
      </c>
      <c r="C15" s="67"/>
      <c r="D15" s="64">
        <v>4368.0797872340427</v>
      </c>
      <c r="E15" s="67"/>
      <c r="F15" s="64">
        <v>5847.1034339518137</v>
      </c>
      <c r="G15" s="67"/>
      <c r="H15" s="64">
        <v>9861.4082365364302</v>
      </c>
      <c r="I15" s="64">
        <v>455.51601423487551</v>
      </c>
      <c r="J15" s="64">
        <v>7507.4927729597512</v>
      </c>
      <c r="K15" s="64">
        <v>5323.5169451635666</v>
      </c>
      <c r="L15" s="67"/>
      <c r="M15" s="67"/>
      <c r="N15" s="64">
        <v>5650.6619554093568</v>
      </c>
      <c r="O15" s="64">
        <v>5586.5370030581043</v>
      </c>
      <c r="P15" s="67"/>
      <c r="Q15" s="67"/>
      <c r="R15" s="64">
        <v>4716.7092506235767</v>
      </c>
      <c r="S15" s="67"/>
      <c r="T15" s="67"/>
      <c r="U15" s="67"/>
      <c r="V15" s="67"/>
      <c r="W15" s="64">
        <v>6589.9047283930604</v>
      </c>
      <c r="X15" s="67"/>
      <c r="Y15" s="67"/>
      <c r="Z15" s="67"/>
      <c r="AA15" s="67"/>
      <c r="AB15" s="64">
        <v>6816.324169530355</v>
      </c>
      <c r="AC15" s="67"/>
      <c r="AD15" s="67"/>
      <c r="AE15" s="67"/>
      <c r="AF15" s="67"/>
      <c r="AG15" s="67"/>
      <c r="AH15" s="67"/>
      <c r="AI15" s="67"/>
      <c r="AJ15" s="67"/>
      <c r="AK15" s="67"/>
      <c r="AL15" s="64">
        <v>5393.7781421421423</v>
      </c>
      <c r="AM15" s="64">
        <v>4437.0458333333336</v>
      </c>
      <c r="AN15" s="67"/>
      <c r="AO15" s="67"/>
      <c r="AP15" s="64">
        <v>8307.9841442224151</v>
      </c>
      <c r="AQ15" s="67"/>
      <c r="AR15" s="64">
        <v>6126.0737714560082</v>
      </c>
      <c r="AS15" s="67"/>
      <c r="AT15" s="64">
        <v>4751.1558782251968</v>
      </c>
      <c r="AU15" s="64">
        <v>5688.8300200400799</v>
      </c>
      <c r="AV15" s="67"/>
      <c r="AW15" s="67"/>
      <c r="AX15" s="64">
        <v>5040.6558495988502</v>
      </c>
      <c r="AY15" s="65">
        <f t="shared" si="0"/>
        <v>5692.7098853396083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D7A4A"/>
  </sheetPr>
  <dimension ref="A1:H83"/>
  <sheetViews>
    <sheetView topLeftCell="A30" workbookViewId="0">
      <selection activeCell="I49" sqref="I49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14" customWidth="1"/>
    <col min="4" max="4" width="7" customWidth="1"/>
    <col min="5" max="5" width="5" customWidth="1"/>
    <col min="6" max="6" width="26" customWidth="1"/>
    <col min="7" max="7" width="12" customWidth="1"/>
    <col min="8" max="8" width="14" customWidth="1"/>
  </cols>
  <sheetData>
    <row r="1" spans="1:8" ht="19" x14ac:dyDescent="0.25">
      <c r="A1" s="84" t="s">
        <v>6348</v>
      </c>
      <c r="B1" s="83"/>
      <c r="C1" s="83"/>
      <c r="D1" s="83"/>
      <c r="E1" s="83"/>
      <c r="F1" s="83"/>
    </row>
    <row r="2" spans="1:8" x14ac:dyDescent="0.2">
      <c r="A2" s="31" t="s">
        <v>6349</v>
      </c>
    </row>
    <row r="4" spans="1:8" x14ac:dyDescent="0.2">
      <c r="A4" s="43" t="s">
        <v>6350</v>
      </c>
      <c r="B4" s="68">
        <v>72</v>
      </c>
    </row>
    <row r="5" spans="1:8" x14ac:dyDescent="0.2">
      <c r="A5" s="43" t="s">
        <v>6351</v>
      </c>
      <c r="B5" s="69" t="s">
        <v>6352</v>
      </c>
    </row>
    <row r="6" spans="1:8" x14ac:dyDescent="0.2">
      <c r="A6" s="43" t="s">
        <v>6353</v>
      </c>
      <c r="B6" s="68" t="s">
        <v>6354</v>
      </c>
    </row>
    <row r="7" spans="1:8" x14ac:dyDescent="0.2">
      <c r="A7" s="43" t="s">
        <v>6355</v>
      </c>
      <c r="B7" s="68" t="s">
        <v>6356</v>
      </c>
    </row>
    <row r="8" spans="1:8" x14ac:dyDescent="0.2">
      <c r="A8" s="43" t="s">
        <v>6357</v>
      </c>
      <c r="B8" s="68" t="s">
        <v>6358</v>
      </c>
    </row>
    <row r="11" spans="1:8" ht="16" x14ac:dyDescent="0.2">
      <c r="A11" s="33" t="s">
        <v>158</v>
      </c>
      <c r="B11" s="33" t="s">
        <v>71</v>
      </c>
      <c r="C11" s="33" t="s">
        <v>72</v>
      </c>
      <c r="D11" s="33" t="s">
        <v>150</v>
      </c>
      <c r="E11" s="33" t="s">
        <v>6344</v>
      </c>
      <c r="F11" s="33" t="s">
        <v>6359</v>
      </c>
      <c r="G11" s="33" t="s">
        <v>6360</v>
      </c>
      <c r="H11" s="33" t="s">
        <v>6361</v>
      </c>
    </row>
    <row r="12" spans="1:8" x14ac:dyDescent="0.2">
      <c r="A12" s="70" t="s">
        <v>200</v>
      </c>
      <c r="B12" s="71" t="s">
        <v>77</v>
      </c>
      <c r="C12" s="72">
        <v>924.26619686292338</v>
      </c>
      <c r="D12" s="73">
        <v>1</v>
      </c>
      <c r="E12" s="73">
        <v>33</v>
      </c>
      <c r="F12" s="74" t="s">
        <v>55</v>
      </c>
      <c r="G12" s="72">
        <v>924.26619686292338</v>
      </c>
      <c r="H12" s="72">
        <v>0</v>
      </c>
    </row>
    <row r="13" spans="1:8" x14ac:dyDescent="0.2">
      <c r="A13" s="70" t="s">
        <v>339</v>
      </c>
      <c r="B13" s="71" t="s">
        <v>80</v>
      </c>
      <c r="C13" s="72">
        <v>1662.3150912106139</v>
      </c>
      <c r="D13" s="73">
        <v>1</v>
      </c>
      <c r="E13" s="73">
        <v>21</v>
      </c>
      <c r="F13" s="74" t="s">
        <v>55</v>
      </c>
      <c r="G13" s="72">
        <v>1662.3150912106139</v>
      </c>
      <c r="H13" s="72">
        <v>0</v>
      </c>
    </row>
    <row r="14" spans="1:8" x14ac:dyDescent="0.2">
      <c r="A14" s="70" t="s">
        <v>197</v>
      </c>
      <c r="B14" s="71" t="s">
        <v>76</v>
      </c>
      <c r="C14" s="72">
        <v>670.84787581699345</v>
      </c>
      <c r="D14" s="73">
        <v>1</v>
      </c>
      <c r="E14" s="73">
        <v>9</v>
      </c>
      <c r="F14" s="74" t="s">
        <v>55</v>
      </c>
      <c r="G14" s="72">
        <v>670.84787581699345</v>
      </c>
      <c r="H14" s="72">
        <v>0</v>
      </c>
    </row>
    <row r="15" spans="1:8" x14ac:dyDescent="0.2">
      <c r="A15" s="70" t="s">
        <v>319</v>
      </c>
      <c r="B15" s="71" t="s">
        <v>81</v>
      </c>
      <c r="C15" s="72">
        <v>3231.188461538462</v>
      </c>
      <c r="D15" s="73">
        <v>1</v>
      </c>
      <c r="E15" s="73">
        <v>7</v>
      </c>
      <c r="F15" s="74" t="s">
        <v>55</v>
      </c>
      <c r="G15" s="72">
        <v>3231.188461538462</v>
      </c>
      <c r="H15" s="72">
        <v>0</v>
      </c>
    </row>
    <row r="16" spans="1:8" x14ac:dyDescent="0.2">
      <c r="A16" s="70" t="s">
        <v>329</v>
      </c>
      <c r="B16" s="71" t="s">
        <v>82</v>
      </c>
      <c r="C16" s="72">
        <v>3217.6377224199291</v>
      </c>
      <c r="D16" s="73">
        <v>1</v>
      </c>
      <c r="E16" s="73">
        <v>3</v>
      </c>
      <c r="F16" s="74" t="s">
        <v>55</v>
      </c>
      <c r="G16" s="72">
        <v>3217.6377224199291</v>
      </c>
      <c r="H16" s="72">
        <v>0</v>
      </c>
    </row>
    <row r="17" spans="1:8" x14ac:dyDescent="0.2">
      <c r="A17" s="70" t="s">
        <v>341</v>
      </c>
      <c r="B17" s="71" t="s">
        <v>80</v>
      </c>
      <c r="C17" s="72">
        <v>1537.1725118483409</v>
      </c>
      <c r="D17" s="73">
        <v>1</v>
      </c>
      <c r="E17" s="73">
        <v>3</v>
      </c>
      <c r="F17" s="74" t="s">
        <v>55</v>
      </c>
      <c r="G17" s="72">
        <v>1537.1725118483409</v>
      </c>
      <c r="H17" s="72">
        <v>0</v>
      </c>
    </row>
    <row r="18" spans="1:8" x14ac:dyDescent="0.2">
      <c r="A18" s="70" t="s">
        <v>181</v>
      </c>
      <c r="B18" s="71" t="s">
        <v>83</v>
      </c>
      <c r="C18" s="72">
        <v>309.5045497630332</v>
      </c>
      <c r="D18" s="73">
        <v>1</v>
      </c>
      <c r="E18" s="73">
        <v>2</v>
      </c>
      <c r="F18" s="74" t="s">
        <v>55</v>
      </c>
      <c r="G18" s="72">
        <v>309.5045497630332</v>
      </c>
      <c r="H18" s="72">
        <v>0</v>
      </c>
    </row>
    <row r="19" spans="1:8" x14ac:dyDescent="0.2">
      <c r="A19" s="70" t="s">
        <v>305</v>
      </c>
      <c r="B19" s="71" t="s">
        <v>78</v>
      </c>
      <c r="C19" s="72">
        <v>1161.924439197167</v>
      </c>
      <c r="D19" s="73">
        <v>1</v>
      </c>
      <c r="E19" s="73">
        <v>2</v>
      </c>
      <c r="F19" s="74" t="s">
        <v>55</v>
      </c>
      <c r="G19" s="72">
        <v>1161.924439197167</v>
      </c>
      <c r="H19" s="72">
        <v>0</v>
      </c>
    </row>
    <row r="20" spans="1:8" x14ac:dyDescent="0.2">
      <c r="A20" s="70" t="s">
        <v>309</v>
      </c>
      <c r="B20" s="71" t="s">
        <v>80</v>
      </c>
      <c r="C20" s="72">
        <v>1570.352071005917</v>
      </c>
      <c r="D20" s="73">
        <v>1</v>
      </c>
      <c r="E20" s="73">
        <v>2</v>
      </c>
      <c r="F20" s="74" t="s">
        <v>55</v>
      </c>
      <c r="G20" s="72">
        <v>1570.352071005917</v>
      </c>
      <c r="H20" s="72">
        <v>0</v>
      </c>
    </row>
    <row r="21" spans="1:8" x14ac:dyDescent="0.2">
      <c r="A21" s="9" t="s">
        <v>208</v>
      </c>
      <c r="B21" s="75" t="s">
        <v>78</v>
      </c>
      <c r="C21" s="10">
        <v>843.66915688367123</v>
      </c>
      <c r="D21" s="13">
        <v>2</v>
      </c>
      <c r="E21" s="13">
        <v>42</v>
      </c>
      <c r="F21" s="76" t="s">
        <v>32</v>
      </c>
      <c r="G21" s="10">
        <v>950.39130434782612</v>
      </c>
      <c r="H21" s="10">
        <v>-106.7221474641549</v>
      </c>
    </row>
    <row r="22" spans="1:8" x14ac:dyDescent="0.2">
      <c r="A22" s="9" t="s">
        <v>235</v>
      </c>
      <c r="B22" s="75" t="s">
        <v>77</v>
      </c>
      <c r="C22" s="10">
        <v>975.4372783687943</v>
      </c>
      <c r="D22" s="13">
        <v>2</v>
      </c>
      <c r="E22" s="13">
        <v>23</v>
      </c>
      <c r="F22" s="76" t="s">
        <v>32</v>
      </c>
      <c r="G22" s="10">
        <v>1088.145006344027</v>
      </c>
      <c r="H22" s="10">
        <v>-112.7077279752332</v>
      </c>
    </row>
    <row r="23" spans="1:8" x14ac:dyDescent="0.2">
      <c r="A23" s="9" t="s">
        <v>212</v>
      </c>
      <c r="B23" s="75" t="s">
        <v>76</v>
      </c>
      <c r="C23" s="10">
        <v>1018.958230958231</v>
      </c>
      <c r="D23" s="13">
        <v>2</v>
      </c>
      <c r="E23" s="13">
        <v>11</v>
      </c>
      <c r="F23" s="76" t="s">
        <v>36</v>
      </c>
      <c r="G23" s="10">
        <v>1057.0124920000001</v>
      </c>
      <c r="H23" s="10">
        <v>-38.054261041769109</v>
      </c>
    </row>
    <row r="24" spans="1:8" x14ac:dyDescent="0.2">
      <c r="A24" s="9" t="s">
        <v>390</v>
      </c>
      <c r="B24" s="75" t="s">
        <v>83</v>
      </c>
      <c r="C24" s="10">
        <v>571.44000000000005</v>
      </c>
      <c r="D24" s="13">
        <v>2</v>
      </c>
      <c r="E24" s="13">
        <v>9</v>
      </c>
      <c r="F24" s="76" t="s">
        <v>32</v>
      </c>
      <c r="G24" s="10">
        <v>594.20100671140938</v>
      </c>
      <c r="H24" s="10">
        <v>-22.761006711409319</v>
      </c>
    </row>
    <row r="25" spans="1:8" x14ac:dyDescent="0.2">
      <c r="A25" s="9" t="s">
        <v>233</v>
      </c>
      <c r="B25" s="75" t="s">
        <v>77</v>
      </c>
      <c r="C25" s="10">
        <v>362.99491998984001</v>
      </c>
      <c r="D25" s="13">
        <v>2</v>
      </c>
      <c r="E25" s="13">
        <v>7</v>
      </c>
      <c r="F25" s="76" t="s">
        <v>57</v>
      </c>
      <c r="G25" s="10">
        <v>397.94451388888888</v>
      </c>
      <c r="H25" s="10">
        <v>-34.949593899048921</v>
      </c>
    </row>
    <row r="26" spans="1:8" x14ac:dyDescent="0.2">
      <c r="A26" s="9" t="s">
        <v>263</v>
      </c>
      <c r="B26" s="75" t="s">
        <v>80</v>
      </c>
      <c r="C26" s="10">
        <v>2210.734724292101</v>
      </c>
      <c r="D26" s="13">
        <v>2</v>
      </c>
      <c r="E26" s="13">
        <v>6</v>
      </c>
      <c r="F26" s="76" t="s">
        <v>67</v>
      </c>
      <c r="G26" s="10">
        <v>3092.8949615384608</v>
      </c>
      <c r="H26" s="10">
        <v>-882.16023724635988</v>
      </c>
    </row>
    <row r="27" spans="1:8" x14ac:dyDescent="0.2">
      <c r="A27" s="9" t="s">
        <v>185</v>
      </c>
      <c r="B27" s="75" t="s">
        <v>81</v>
      </c>
      <c r="C27" s="10">
        <v>816.62090764331208</v>
      </c>
      <c r="D27" s="13">
        <v>2</v>
      </c>
      <c r="E27" s="13">
        <v>3</v>
      </c>
      <c r="F27" s="76" t="s">
        <v>45</v>
      </c>
      <c r="G27" s="10">
        <v>1114.214345047923</v>
      </c>
      <c r="H27" s="10">
        <v>-297.59343740461128</v>
      </c>
    </row>
    <row r="28" spans="1:8" x14ac:dyDescent="0.2">
      <c r="A28" s="9" t="s">
        <v>273</v>
      </c>
      <c r="B28" s="75" t="s">
        <v>80</v>
      </c>
      <c r="C28" s="10">
        <v>1489.2224080267561</v>
      </c>
      <c r="D28" s="13">
        <v>2</v>
      </c>
      <c r="E28" s="13">
        <v>3</v>
      </c>
      <c r="F28" s="76" t="s">
        <v>63</v>
      </c>
      <c r="G28" s="10">
        <v>1528.5218617771509</v>
      </c>
      <c r="H28" s="10">
        <v>-39.29945375039506</v>
      </c>
    </row>
    <row r="29" spans="1:8" x14ac:dyDescent="0.2">
      <c r="A29" s="9" t="s">
        <v>267</v>
      </c>
      <c r="B29" s="75" t="s">
        <v>77</v>
      </c>
      <c r="C29" s="10">
        <v>1075.26719415703</v>
      </c>
      <c r="D29" s="13">
        <v>3</v>
      </c>
      <c r="E29" s="13">
        <v>37</v>
      </c>
      <c r="F29" s="76" t="s">
        <v>54</v>
      </c>
      <c r="G29" s="10">
        <v>1227.466889632107</v>
      </c>
      <c r="H29" s="10">
        <v>-152.19969547507731</v>
      </c>
    </row>
    <row r="30" spans="1:8" x14ac:dyDescent="0.2">
      <c r="A30" s="9" t="s">
        <v>301</v>
      </c>
      <c r="B30" s="75" t="s">
        <v>82</v>
      </c>
      <c r="C30" s="10">
        <v>505.40291120815141</v>
      </c>
      <c r="D30" s="13">
        <v>3</v>
      </c>
      <c r="E30" s="13">
        <v>26</v>
      </c>
      <c r="F30" s="76" t="s">
        <v>58</v>
      </c>
      <c r="G30" s="10">
        <v>532.0244444444445</v>
      </c>
      <c r="H30" s="10">
        <v>-26.621533236293089</v>
      </c>
    </row>
    <row r="31" spans="1:8" x14ac:dyDescent="0.2">
      <c r="A31" s="9" t="s">
        <v>231</v>
      </c>
      <c r="B31" s="75" t="s">
        <v>76</v>
      </c>
      <c r="C31" s="10">
        <v>289.75418994413411</v>
      </c>
      <c r="D31" s="13">
        <v>3</v>
      </c>
      <c r="E31" s="13">
        <v>21</v>
      </c>
      <c r="F31" s="76" t="s">
        <v>64</v>
      </c>
      <c r="G31" s="10">
        <v>441.21836960531169</v>
      </c>
      <c r="H31" s="10">
        <v>-151.46417966117761</v>
      </c>
    </row>
    <row r="32" spans="1:8" x14ac:dyDescent="0.2">
      <c r="A32" s="9" t="s">
        <v>388</v>
      </c>
      <c r="B32" s="75" t="s">
        <v>76</v>
      </c>
      <c r="C32" s="10">
        <v>667.60615272373536</v>
      </c>
      <c r="D32" s="13">
        <v>3</v>
      </c>
      <c r="E32" s="13">
        <v>21</v>
      </c>
      <c r="F32" s="76" t="s">
        <v>54</v>
      </c>
      <c r="G32" s="10">
        <v>693.43659086252819</v>
      </c>
      <c r="H32" s="10">
        <v>-25.830438138792829</v>
      </c>
    </row>
    <row r="33" spans="1:8" x14ac:dyDescent="0.2">
      <c r="A33" s="9" t="s">
        <v>249</v>
      </c>
      <c r="B33" s="75" t="s">
        <v>82</v>
      </c>
      <c r="C33" s="10">
        <v>264.9887060342046</v>
      </c>
      <c r="D33" s="13">
        <v>3</v>
      </c>
      <c r="E33" s="13">
        <v>9</v>
      </c>
      <c r="F33" s="76" t="s">
        <v>49</v>
      </c>
      <c r="G33" s="10">
        <v>340.46420268256338</v>
      </c>
      <c r="H33" s="10">
        <v>-75.475496648358785</v>
      </c>
    </row>
    <row r="34" spans="1:8" x14ac:dyDescent="0.2">
      <c r="A34" s="9" t="s">
        <v>398</v>
      </c>
      <c r="B34" s="75" t="s">
        <v>76</v>
      </c>
      <c r="C34" s="10">
        <v>592.33268733850127</v>
      </c>
      <c r="D34" s="13">
        <v>4</v>
      </c>
      <c r="E34" s="13">
        <v>36</v>
      </c>
      <c r="F34" s="76" t="s">
        <v>54</v>
      </c>
      <c r="G34" s="10">
        <v>853.85562965868974</v>
      </c>
      <c r="H34" s="10">
        <v>-261.52294232018852</v>
      </c>
    </row>
    <row r="35" spans="1:8" x14ac:dyDescent="0.2">
      <c r="A35" s="9" t="s">
        <v>245</v>
      </c>
      <c r="B35" s="75" t="s">
        <v>79</v>
      </c>
      <c r="C35" s="10">
        <v>444.25491803278692</v>
      </c>
      <c r="D35" s="13">
        <v>4</v>
      </c>
      <c r="E35" s="13">
        <v>19</v>
      </c>
      <c r="F35" s="76" t="s">
        <v>45</v>
      </c>
      <c r="G35" s="10">
        <v>781.38606854838713</v>
      </c>
      <c r="H35" s="10">
        <v>-337.13115051560032</v>
      </c>
    </row>
    <row r="36" spans="1:8" x14ac:dyDescent="0.2">
      <c r="A36" s="9" t="s">
        <v>367</v>
      </c>
      <c r="B36" s="75" t="s">
        <v>76</v>
      </c>
      <c r="C36" s="10">
        <v>264.86871469899432</v>
      </c>
      <c r="D36" s="13">
        <v>4</v>
      </c>
      <c r="E36" s="13">
        <v>9</v>
      </c>
      <c r="F36" s="76" t="s">
        <v>58</v>
      </c>
      <c r="G36" s="10">
        <v>450.07231040564369</v>
      </c>
      <c r="H36" s="10">
        <v>-185.20359570664939</v>
      </c>
    </row>
    <row r="37" spans="1:8" x14ac:dyDescent="0.2">
      <c r="A37" s="9" t="s">
        <v>323</v>
      </c>
      <c r="B37" s="75" t="s">
        <v>81</v>
      </c>
      <c r="C37" s="10">
        <v>659.12175824175824</v>
      </c>
      <c r="D37" s="13">
        <v>4</v>
      </c>
      <c r="E37" s="13">
        <v>8</v>
      </c>
      <c r="F37" s="76" t="s">
        <v>52</v>
      </c>
      <c r="G37" s="10">
        <v>742.36885499999994</v>
      </c>
      <c r="H37" s="10">
        <v>-83.247096758241696</v>
      </c>
    </row>
    <row r="38" spans="1:8" x14ac:dyDescent="0.2">
      <c r="A38" s="9" t="s">
        <v>335</v>
      </c>
      <c r="B38" s="75" t="s">
        <v>76</v>
      </c>
      <c r="C38" s="10">
        <v>352.12131147540981</v>
      </c>
      <c r="D38" s="13">
        <v>4</v>
      </c>
      <c r="E38" s="13">
        <v>6</v>
      </c>
      <c r="F38" s="76" t="s">
        <v>54</v>
      </c>
      <c r="G38" s="10">
        <v>510.32713754646841</v>
      </c>
      <c r="H38" s="10">
        <v>-158.2058260710586</v>
      </c>
    </row>
    <row r="39" spans="1:8" x14ac:dyDescent="0.2">
      <c r="A39" s="9" t="s">
        <v>187</v>
      </c>
      <c r="B39" s="75" t="s">
        <v>76</v>
      </c>
      <c r="C39" s="10">
        <v>546.0471105527638</v>
      </c>
      <c r="D39" s="13">
        <v>5</v>
      </c>
      <c r="E39" s="13">
        <v>25</v>
      </c>
      <c r="F39" s="76" t="s">
        <v>32</v>
      </c>
      <c r="G39" s="10">
        <v>982.59109042553189</v>
      </c>
      <c r="H39" s="10">
        <v>-436.54397987276809</v>
      </c>
    </row>
    <row r="40" spans="1:8" x14ac:dyDescent="0.2">
      <c r="A40" s="9" t="s">
        <v>258</v>
      </c>
      <c r="B40" s="75" t="s">
        <v>78</v>
      </c>
      <c r="C40" s="10">
        <v>211.37867877269881</v>
      </c>
      <c r="D40" s="13">
        <v>5</v>
      </c>
      <c r="E40" s="13">
        <v>6</v>
      </c>
      <c r="F40" s="76" t="s">
        <v>32</v>
      </c>
      <c r="G40" s="10">
        <v>530.44817374136233</v>
      </c>
      <c r="H40" s="10">
        <v>-319.06949496866349</v>
      </c>
    </row>
    <row r="41" spans="1:8" x14ac:dyDescent="0.2">
      <c r="A41" s="9" t="s">
        <v>140</v>
      </c>
      <c r="B41" s="75" t="s">
        <v>83</v>
      </c>
      <c r="C41" s="10">
        <v>616.98800159978668</v>
      </c>
      <c r="D41" s="13">
        <v>6</v>
      </c>
      <c r="E41" s="13">
        <v>33</v>
      </c>
      <c r="F41" s="76" t="s">
        <v>67</v>
      </c>
      <c r="G41" s="10">
        <v>1252.9359051885031</v>
      </c>
      <c r="H41" s="10">
        <v>-635.9479035887166</v>
      </c>
    </row>
    <row r="42" spans="1:8" x14ac:dyDescent="0.2">
      <c r="A42" s="9" t="s">
        <v>206</v>
      </c>
      <c r="B42" s="75" t="s">
        <v>80</v>
      </c>
      <c r="C42" s="10">
        <v>1808.673222390318</v>
      </c>
      <c r="D42" s="13">
        <v>6</v>
      </c>
      <c r="E42" s="13">
        <v>25</v>
      </c>
      <c r="F42" s="76" t="s">
        <v>50</v>
      </c>
      <c r="G42" s="10">
        <v>6243.4974874371856</v>
      </c>
      <c r="H42" s="10">
        <v>-4434.8242650468674</v>
      </c>
    </row>
    <row r="43" spans="1:8" x14ac:dyDescent="0.2">
      <c r="A43" s="9" t="s">
        <v>287</v>
      </c>
      <c r="B43" s="75" t="s">
        <v>79</v>
      </c>
      <c r="C43" s="10">
        <v>1208.0858725761771</v>
      </c>
      <c r="D43" s="13">
        <v>6</v>
      </c>
      <c r="E43" s="13">
        <v>23</v>
      </c>
      <c r="F43" s="76" t="s">
        <v>50</v>
      </c>
      <c r="G43" s="10">
        <v>1728.64</v>
      </c>
      <c r="H43" s="10">
        <v>-520.55412742382282</v>
      </c>
    </row>
    <row r="44" spans="1:8" x14ac:dyDescent="0.2">
      <c r="A44" s="9" t="s">
        <v>204</v>
      </c>
      <c r="B44" s="75" t="s">
        <v>81</v>
      </c>
      <c r="C44" s="10">
        <v>1268.3081353491721</v>
      </c>
      <c r="D44" s="13">
        <v>6</v>
      </c>
      <c r="E44" s="13">
        <v>10</v>
      </c>
      <c r="F44" s="76" t="s">
        <v>32</v>
      </c>
      <c r="G44" s="10">
        <v>2996.325991189427</v>
      </c>
      <c r="H44" s="10">
        <v>-1728.0178558402549</v>
      </c>
    </row>
    <row r="45" spans="1:8" x14ac:dyDescent="0.2">
      <c r="A45" s="9" t="s">
        <v>365</v>
      </c>
      <c r="B45" s="75" t="s">
        <v>81</v>
      </c>
      <c r="C45" s="10">
        <v>974.32495571302036</v>
      </c>
      <c r="D45" s="13">
        <v>6</v>
      </c>
      <c r="E45" s="13">
        <v>10</v>
      </c>
      <c r="F45" s="76" t="s">
        <v>60</v>
      </c>
      <c r="G45" s="10">
        <v>1448.2385156343601</v>
      </c>
      <c r="H45" s="10">
        <v>-473.91355992133953</v>
      </c>
    </row>
    <row r="46" spans="1:8" x14ac:dyDescent="0.2">
      <c r="A46" s="9" t="s">
        <v>256</v>
      </c>
      <c r="B46" s="75" t="s">
        <v>76</v>
      </c>
      <c r="C46" s="10">
        <v>860.06689287445465</v>
      </c>
      <c r="D46" s="13">
        <v>7</v>
      </c>
      <c r="E46" s="13">
        <v>34</v>
      </c>
      <c r="F46" s="76" t="s">
        <v>32</v>
      </c>
      <c r="G46" s="10">
        <v>1211.6507389162559</v>
      </c>
      <c r="H46" s="10">
        <v>-351.58384604180151</v>
      </c>
    </row>
    <row r="47" spans="1:8" x14ac:dyDescent="0.2">
      <c r="A47" s="9" t="s">
        <v>371</v>
      </c>
      <c r="B47" s="75" t="s">
        <v>76</v>
      </c>
      <c r="C47" s="10">
        <v>275.82948583420779</v>
      </c>
      <c r="D47" s="13">
        <v>7</v>
      </c>
      <c r="E47" s="13">
        <v>28</v>
      </c>
      <c r="F47" s="76" t="s">
        <v>32</v>
      </c>
      <c r="G47" s="10">
        <v>550.47763750000001</v>
      </c>
      <c r="H47" s="10">
        <v>-274.64815166579223</v>
      </c>
    </row>
    <row r="48" spans="1:8" x14ac:dyDescent="0.2">
      <c r="A48" s="9" t="s">
        <v>228</v>
      </c>
      <c r="B48" s="75" t="s">
        <v>76</v>
      </c>
      <c r="C48" s="10">
        <v>193.40219550918579</v>
      </c>
      <c r="D48" s="13">
        <v>7</v>
      </c>
      <c r="E48" s="13">
        <v>13</v>
      </c>
      <c r="F48" s="76" t="s">
        <v>53</v>
      </c>
      <c r="G48" s="10">
        <v>364.92828562634662</v>
      </c>
      <c r="H48" s="10">
        <v>-171.52609011716081</v>
      </c>
    </row>
    <row r="49" spans="1:8" x14ac:dyDescent="0.2">
      <c r="A49" s="9" t="s">
        <v>331</v>
      </c>
      <c r="B49" s="75" t="s">
        <v>81</v>
      </c>
      <c r="C49" s="10">
        <v>1299.625667976424</v>
      </c>
      <c r="D49" s="13">
        <v>7</v>
      </c>
      <c r="E49" s="13">
        <v>13</v>
      </c>
      <c r="F49" s="76" t="s">
        <v>63</v>
      </c>
      <c r="G49" s="10">
        <v>2363.711566617862</v>
      </c>
      <c r="H49" s="10">
        <v>-1064.085898641438</v>
      </c>
    </row>
    <row r="50" spans="1:8" x14ac:dyDescent="0.2">
      <c r="A50" s="77" t="s">
        <v>281</v>
      </c>
      <c r="B50" s="78" t="s">
        <v>80</v>
      </c>
      <c r="C50" s="79">
        <v>176.67854001759011</v>
      </c>
      <c r="D50" s="80">
        <v>7</v>
      </c>
      <c r="E50" s="80">
        <v>7</v>
      </c>
      <c r="F50" s="81" t="s">
        <v>67</v>
      </c>
      <c r="G50" s="79">
        <v>579.06765457332642</v>
      </c>
      <c r="H50" s="79">
        <v>-402.38911455573628</v>
      </c>
    </row>
    <row r="51" spans="1:8" x14ac:dyDescent="0.2">
      <c r="A51" s="77" t="s">
        <v>289</v>
      </c>
      <c r="B51" s="78" t="s">
        <v>79</v>
      </c>
      <c r="C51" s="79">
        <v>302.85503355704702</v>
      </c>
      <c r="D51" s="80">
        <v>7</v>
      </c>
      <c r="E51" s="80">
        <v>7</v>
      </c>
      <c r="F51" s="81" t="s">
        <v>58</v>
      </c>
      <c r="G51" s="79">
        <v>1289.9034543844109</v>
      </c>
      <c r="H51" s="79">
        <v>-987.048420827364</v>
      </c>
    </row>
    <row r="52" spans="1:8" x14ac:dyDescent="0.2">
      <c r="A52" s="9" t="s">
        <v>277</v>
      </c>
      <c r="B52" s="75" t="s">
        <v>76</v>
      </c>
      <c r="C52" s="10">
        <v>1033.0213333333329</v>
      </c>
      <c r="D52" s="13">
        <v>8</v>
      </c>
      <c r="E52" s="13">
        <v>38</v>
      </c>
      <c r="F52" s="76" t="s">
        <v>32</v>
      </c>
      <c r="G52" s="10">
        <v>2092.0608885298871</v>
      </c>
      <c r="H52" s="10">
        <v>-1059.039555196553</v>
      </c>
    </row>
    <row r="53" spans="1:8" x14ac:dyDescent="0.2">
      <c r="A53" s="9" t="s">
        <v>191</v>
      </c>
      <c r="B53" s="75" t="s">
        <v>76</v>
      </c>
      <c r="C53" s="10">
        <v>509.11288525807652</v>
      </c>
      <c r="D53" s="13">
        <v>8</v>
      </c>
      <c r="E53" s="13">
        <v>30</v>
      </c>
      <c r="F53" s="76" t="s">
        <v>54</v>
      </c>
      <c r="G53" s="10">
        <v>719.61267794789148</v>
      </c>
      <c r="H53" s="10">
        <v>-210.499792689815</v>
      </c>
    </row>
    <row r="54" spans="1:8" x14ac:dyDescent="0.2">
      <c r="A54" s="9" t="s">
        <v>262</v>
      </c>
      <c r="B54" s="75" t="s">
        <v>76</v>
      </c>
      <c r="C54" s="10">
        <v>199.24316181818179</v>
      </c>
      <c r="D54" s="13">
        <v>8</v>
      </c>
      <c r="E54" s="13">
        <v>10</v>
      </c>
      <c r="F54" s="76" t="s">
        <v>61</v>
      </c>
      <c r="G54" s="10">
        <v>439.2650997830803</v>
      </c>
      <c r="H54" s="10">
        <v>-240.02193796489851</v>
      </c>
    </row>
    <row r="55" spans="1:8" x14ac:dyDescent="0.2">
      <c r="A55" s="9" t="s">
        <v>295</v>
      </c>
      <c r="B55" s="75" t="s">
        <v>76</v>
      </c>
      <c r="C55" s="10">
        <v>105.84113584036839</v>
      </c>
      <c r="D55" s="13">
        <v>8</v>
      </c>
      <c r="E55" s="13">
        <v>9</v>
      </c>
      <c r="F55" s="76" t="s">
        <v>31</v>
      </c>
      <c r="G55" s="10">
        <v>198.23956167176351</v>
      </c>
      <c r="H55" s="10">
        <v>-92.39842583139513</v>
      </c>
    </row>
    <row r="56" spans="1:8" x14ac:dyDescent="0.2">
      <c r="A56" s="9" t="s">
        <v>384</v>
      </c>
      <c r="B56" s="75" t="s">
        <v>77</v>
      </c>
      <c r="C56" s="10">
        <v>453.30766666666659</v>
      </c>
      <c r="D56" s="13">
        <v>9</v>
      </c>
      <c r="E56" s="13">
        <v>27</v>
      </c>
      <c r="F56" s="76" t="s">
        <v>58</v>
      </c>
      <c r="G56" s="10">
        <v>1075.9120753639741</v>
      </c>
      <c r="H56" s="10">
        <v>-622.60440869730724</v>
      </c>
    </row>
    <row r="57" spans="1:8" x14ac:dyDescent="0.2">
      <c r="A57" s="9" t="s">
        <v>242</v>
      </c>
      <c r="B57" s="75" t="s">
        <v>82</v>
      </c>
      <c r="C57" s="10">
        <v>150.28928666371289</v>
      </c>
      <c r="D57" s="13">
        <v>9</v>
      </c>
      <c r="E57" s="13">
        <v>14</v>
      </c>
      <c r="F57" s="76" t="s">
        <v>32</v>
      </c>
      <c r="G57" s="10">
        <v>332.6154051885531</v>
      </c>
      <c r="H57" s="10">
        <v>-182.32611852484021</v>
      </c>
    </row>
    <row r="58" spans="1:8" x14ac:dyDescent="0.2">
      <c r="A58" s="9" t="s">
        <v>343</v>
      </c>
      <c r="B58" s="75" t="s">
        <v>79</v>
      </c>
      <c r="C58" s="10">
        <v>1631.489140698772</v>
      </c>
      <c r="D58" s="13">
        <v>10</v>
      </c>
      <c r="E58" s="13">
        <v>32</v>
      </c>
      <c r="F58" s="76" t="s">
        <v>67</v>
      </c>
      <c r="G58" s="10">
        <v>3103.2737485891639</v>
      </c>
      <c r="H58" s="10">
        <v>-1471.784607890392</v>
      </c>
    </row>
    <row r="59" spans="1:8" x14ac:dyDescent="0.2">
      <c r="A59" s="9" t="s">
        <v>369</v>
      </c>
      <c r="B59" s="75" t="s">
        <v>84</v>
      </c>
      <c r="C59" s="10">
        <v>513.13135802469139</v>
      </c>
      <c r="D59" s="13">
        <v>10</v>
      </c>
      <c r="E59" s="13">
        <v>14</v>
      </c>
      <c r="F59" s="76" t="s">
        <v>46</v>
      </c>
      <c r="G59" s="10">
        <v>3974.2604856512139</v>
      </c>
      <c r="H59" s="10">
        <v>-3461.1291276265219</v>
      </c>
    </row>
    <row r="60" spans="1:8" x14ac:dyDescent="0.2">
      <c r="A60" s="9" t="s">
        <v>355</v>
      </c>
      <c r="B60" s="75" t="s">
        <v>82</v>
      </c>
      <c r="C60" s="10">
        <v>708.67055529631352</v>
      </c>
      <c r="D60" s="13">
        <v>13</v>
      </c>
      <c r="E60" s="13">
        <v>34</v>
      </c>
      <c r="F60" s="76" t="s">
        <v>50</v>
      </c>
      <c r="G60" s="10">
        <v>998.13493253373315</v>
      </c>
      <c r="H60" s="10">
        <v>-289.46437723741963</v>
      </c>
    </row>
    <row r="61" spans="1:8" x14ac:dyDescent="0.2">
      <c r="A61" s="9" t="s">
        <v>351</v>
      </c>
      <c r="B61" s="75" t="s">
        <v>85</v>
      </c>
      <c r="C61" s="10">
        <v>511.38991354466862</v>
      </c>
      <c r="D61" s="13">
        <v>13</v>
      </c>
      <c r="E61" s="13">
        <v>15</v>
      </c>
      <c r="F61" s="76" t="s">
        <v>67</v>
      </c>
      <c r="G61" s="10">
        <v>1470.9471699078811</v>
      </c>
      <c r="H61" s="10">
        <v>-959.55725636321267</v>
      </c>
    </row>
    <row r="62" spans="1:8" x14ac:dyDescent="0.2">
      <c r="A62" s="9" t="s">
        <v>271</v>
      </c>
      <c r="B62" s="75" t="s">
        <v>78</v>
      </c>
      <c r="C62" s="10">
        <v>1560.7839793281651</v>
      </c>
      <c r="D62" s="13">
        <v>14</v>
      </c>
      <c r="E62" s="13">
        <v>34</v>
      </c>
      <c r="F62" s="76" t="s">
        <v>25</v>
      </c>
      <c r="G62" s="10">
        <v>3058.9294710507511</v>
      </c>
      <c r="H62" s="10">
        <v>-1498.1454917225849</v>
      </c>
    </row>
    <row r="63" spans="1:8" x14ac:dyDescent="0.2">
      <c r="A63" s="9" t="s">
        <v>283</v>
      </c>
      <c r="B63" s="75" t="s">
        <v>78</v>
      </c>
      <c r="C63" s="10">
        <v>517.00679245283015</v>
      </c>
      <c r="D63" s="13">
        <v>14</v>
      </c>
      <c r="E63" s="13">
        <v>28</v>
      </c>
      <c r="F63" s="76" t="s">
        <v>58</v>
      </c>
      <c r="G63" s="10">
        <v>934.94585987261144</v>
      </c>
      <c r="H63" s="10">
        <v>-417.93906741978128</v>
      </c>
    </row>
    <row r="64" spans="1:8" x14ac:dyDescent="0.2">
      <c r="A64" s="9" t="s">
        <v>164</v>
      </c>
      <c r="B64" s="75" t="s">
        <v>76</v>
      </c>
      <c r="C64" s="10">
        <v>477.40858149215501</v>
      </c>
      <c r="D64" s="13">
        <v>14</v>
      </c>
      <c r="E64" s="13">
        <v>17</v>
      </c>
      <c r="F64" s="76" t="s">
        <v>44</v>
      </c>
      <c r="G64" s="10">
        <v>1102.016508019984</v>
      </c>
      <c r="H64" s="10">
        <v>-624.60792652782902</v>
      </c>
    </row>
    <row r="65" spans="1:8" x14ac:dyDescent="0.2">
      <c r="A65" s="9" t="s">
        <v>279</v>
      </c>
      <c r="B65" s="75" t="s">
        <v>76</v>
      </c>
      <c r="C65" s="10">
        <v>73.485263157894735</v>
      </c>
      <c r="D65" s="13">
        <v>14</v>
      </c>
      <c r="E65" s="13">
        <v>15</v>
      </c>
      <c r="F65" s="76" t="s">
        <v>38</v>
      </c>
      <c r="G65" s="10">
        <v>392.32772770853308</v>
      </c>
      <c r="H65" s="10">
        <v>-318.84246455063828</v>
      </c>
    </row>
    <row r="66" spans="1:8" x14ac:dyDescent="0.2">
      <c r="A66" s="77" t="s">
        <v>168</v>
      </c>
      <c r="B66" s="78" t="s">
        <v>77</v>
      </c>
      <c r="C66" s="79">
        <v>133.08685833333331</v>
      </c>
      <c r="D66" s="80">
        <v>15</v>
      </c>
      <c r="E66" s="80">
        <v>15</v>
      </c>
      <c r="F66" s="81" t="s">
        <v>50</v>
      </c>
      <c r="G66" s="79">
        <v>867.8906832298137</v>
      </c>
      <c r="H66" s="79">
        <v>-734.80382489648036</v>
      </c>
    </row>
    <row r="67" spans="1:8" x14ac:dyDescent="0.2">
      <c r="A67" s="9" t="s">
        <v>202</v>
      </c>
      <c r="B67" s="75" t="s">
        <v>81</v>
      </c>
      <c r="C67" s="10">
        <v>1587.974770642202</v>
      </c>
      <c r="D67" s="13">
        <v>16</v>
      </c>
      <c r="E67" s="13">
        <v>29</v>
      </c>
      <c r="F67" s="76" t="s">
        <v>67</v>
      </c>
      <c r="G67" s="10">
        <v>3882.786811881188</v>
      </c>
      <c r="H67" s="10">
        <v>-2294.8120412389871</v>
      </c>
    </row>
    <row r="68" spans="1:8" x14ac:dyDescent="0.2">
      <c r="A68" s="9" t="s">
        <v>166</v>
      </c>
      <c r="B68" s="75" t="s">
        <v>76</v>
      </c>
      <c r="C68" s="10">
        <v>416.311209439528</v>
      </c>
      <c r="D68" s="13">
        <v>16</v>
      </c>
      <c r="E68" s="13">
        <v>28</v>
      </c>
      <c r="F68" s="76" t="s">
        <v>32</v>
      </c>
      <c r="G68" s="10">
        <v>670.68094774423889</v>
      </c>
      <c r="H68" s="10">
        <v>-254.36973830471089</v>
      </c>
    </row>
    <row r="69" spans="1:8" x14ac:dyDescent="0.2">
      <c r="A69" s="9" t="s">
        <v>175</v>
      </c>
      <c r="B69" s="75" t="s">
        <v>78</v>
      </c>
      <c r="C69" s="10">
        <v>3920.3187499999999</v>
      </c>
      <c r="D69" s="13">
        <v>16</v>
      </c>
      <c r="E69" s="13">
        <v>26</v>
      </c>
      <c r="F69" s="76" t="s">
        <v>32</v>
      </c>
      <c r="G69" s="10">
        <v>10703.662857142859</v>
      </c>
      <c r="H69" s="10">
        <v>-6783.344107142857</v>
      </c>
    </row>
    <row r="70" spans="1:8" x14ac:dyDescent="0.2">
      <c r="A70" s="9" t="s">
        <v>193</v>
      </c>
      <c r="B70" s="75" t="s">
        <v>82</v>
      </c>
      <c r="C70" s="10">
        <v>435.05581395348838</v>
      </c>
      <c r="D70" s="13">
        <v>16</v>
      </c>
      <c r="E70" s="13">
        <v>26</v>
      </c>
      <c r="F70" s="76" t="s">
        <v>31</v>
      </c>
      <c r="G70" s="10">
        <v>2165.3433500000001</v>
      </c>
      <c r="H70" s="10">
        <v>-1730.2875360465121</v>
      </c>
    </row>
    <row r="71" spans="1:8" x14ac:dyDescent="0.2">
      <c r="A71" s="9" t="s">
        <v>353</v>
      </c>
      <c r="B71" s="75" t="s">
        <v>76</v>
      </c>
      <c r="C71" s="10">
        <v>207.5796</v>
      </c>
      <c r="D71" s="13">
        <v>16</v>
      </c>
      <c r="E71" s="13">
        <v>18</v>
      </c>
      <c r="F71" s="76" t="s">
        <v>49</v>
      </c>
      <c r="G71" s="10">
        <v>511.31827375352782</v>
      </c>
      <c r="H71" s="10">
        <v>-303.73867375352779</v>
      </c>
    </row>
    <row r="72" spans="1:8" x14ac:dyDescent="0.2">
      <c r="A72" s="9" t="s">
        <v>260</v>
      </c>
      <c r="B72" s="75" t="s">
        <v>76</v>
      </c>
      <c r="C72" s="10">
        <v>200.98659673659671</v>
      </c>
      <c r="D72" s="13">
        <v>17</v>
      </c>
      <c r="E72" s="13">
        <v>18</v>
      </c>
      <c r="F72" s="76" t="s">
        <v>51</v>
      </c>
      <c r="G72" s="10">
        <v>616.63849148936163</v>
      </c>
      <c r="H72" s="10">
        <v>-415.65189475276492</v>
      </c>
    </row>
    <row r="73" spans="1:8" x14ac:dyDescent="0.2">
      <c r="A73" s="9" t="s">
        <v>179</v>
      </c>
      <c r="B73" s="75" t="s">
        <v>79</v>
      </c>
      <c r="C73" s="10">
        <v>856.52197530864203</v>
      </c>
      <c r="D73" s="13">
        <v>19</v>
      </c>
      <c r="E73" s="13">
        <v>44</v>
      </c>
      <c r="F73" s="76" t="s">
        <v>32</v>
      </c>
      <c r="G73" s="10">
        <v>1422.1210215361159</v>
      </c>
      <c r="H73" s="10">
        <v>-565.59904622747388</v>
      </c>
    </row>
    <row r="74" spans="1:8" x14ac:dyDescent="0.2">
      <c r="A74" s="9" t="s">
        <v>285</v>
      </c>
      <c r="B74" s="75" t="s">
        <v>76</v>
      </c>
      <c r="C74" s="10">
        <v>948.87789001122337</v>
      </c>
      <c r="D74" s="13">
        <v>19</v>
      </c>
      <c r="E74" s="13">
        <v>20</v>
      </c>
      <c r="F74" s="76" t="s">
        <v>60</v>
      </c>
      <c r="G74" s="10">
        <v>3404.1463362952841</v>
      </c>
      <c r="H74" s="10">
        <v>-2455.2684462840598</v>
      </c>
    </row>
    <row r="75" spans="1:8" x14ac:dyDescent="0.2">
      <c r="A75" s="9" t="s">
        <v>243</v>
      </c>
      <c r="B75" s="75" t="s">
        <v>82</v>
      </c>
      <c r="C75" s="10">
        <v>522.68385650224218</v>
      </c>
      <c r="D75" s="13">
        <v>21</v>
      </c>
      <c r="E75" s="13">
        <v>26</v>
      </c>
      <c r="F75" s="76" t="s">
        <v>54</v>
      </c>
      <c r="G75" s="10">
        <v>1400.5427230046951</v>
      </c>
      <c r="H75" s="10">
        <v>-877.85886650245266</v>
      </c>
    </row>
    <row r="76" spans="1:8" x14ac:dyDescent="0.2">
      <c r="A76" s="9" t="s">
        <v>169</v>
      </c>
      <c r="B76" s="75" t="s">
        <v>76</v>
      </c>
      <c r="C76" s="10">
        <v>420.91530347041743</v>
      </c>
      <c r="D76" s="13">
        <v>23</v>
      </c>
      <c r="E76" s="13">
        <v>34</v>
      </c>
      <c r="F76" s="76" t="s">
        <v>67</v>
      </c>
      <c r="G76" s="10">
        <v>1024.81083283671</v>
      </c>
      <c r="H76" s="10">
        <v>-603.89552936629286</v>
      </c>
    </row>
    <row r="77" spans="1:8" x14ac:dyDescent="0.2">
      <c r="A77" s="9" t="s">
        <v>396</v>
      </c>
      <c r="B77" s="75" t="s">
        <v>78</v>
      </c>
      <c r="C77" s="10">
        <v>813.4074468085106</v>
      </c>
      <c r="D77" s="13">
        <v>23</v>
      </c>
      <c r="E77" s="13">
        <v>31</v>
      </c>
      <c r="F77" s="76" t="s">
        <v>43</v>
      </c>
      <c r="G77" s="10">
        <v>2242.9176020738819</v>
      </c>
      <c r="H77" s="10">
        <v>-1429.5101552653721</v>
      </c>
    </row>
    <row r="78" spans="1:8" x14ac:dyDescent="0.2">
      <c r="A78" s="9" t="s">
        <v>317</v>
      </c>
      <c r="B78" s="75" t="s">
        <v>76</v>
      </c>
      <c r="C78" s="10">
        <v>334.22611327280589</v>
      </c>
      <c r="D78" s="13">
        <v>24</v>
      </c>
      <c r="E78" s="13">
        <v>28</v>
      </c>
      <c r="F78" s="76" t="s">
        <v>67</v>
      </c>
      <c r="G78" s="10">
        <v>910.93677211934153</v>
      </c>
      <c r="H78" s="10">
        <v>-576.71065884653558</v>
      </c>
    </row>
    <row r="79" spans="1:8" x14ac:dyDescent="0.2">
      <c r="A79" s="9" t="s">
        <v>392</v>
      </c>
      <c r="B79" s="75" t="s">
        <v>76</v>
      </c>
      <c r="C79" s="10">
        <v>292.87555050433298</v>
      </c>
      <c r="D79" s="13">
        <v>25</v>
      </c>
      <c r="E79" s="13">
        <v>35</v>
      </c>
      <c r="F79" s="76" t="s">
        <v>32</v>
      </c>
      <c r="G79" s="10">
        <v>672.87356051703875</v>
      </c>
      <c r="H79" s="10">
        <v>-379.99801001270578</v>
      </c>
    </row>
    <row r="80" spans="1:8" x14ac:dyDescent="0.2">
      <c r="A80" s="9" t="s">
        <v>173</v>
      </c>
      <c r="B80" s="75" t="s">
        <v>80</v>
      </c>
      <c r="C80" s="10">
        <v>1187.464126984127</v>
      </c>
      <c r="D80" s="13">
        <v>26</v>
      </c>
      <c r="E80" s="13">
        <v>36</v>
      </c>
      <c r="F80" s="76" t="s">
        <v>46</v>
      </c>
      <c r="G80" s="10">
        <v>12087.12</v>
      </c>
      <c r="H80" s="10">
        <v>-10899.65587301587</v>
      </c>
    </row>
    <row r="81" spans="1:8" x14ac:dyDescent="0.2">
      <c r="A81" s="9" t="s">
        <v>357</v>
      </c>
      <c r="B81" s="75" t="s">
        <v>76</v>
      </c>
      <c r="C81" s="10">
        <v>661.03168685927312</v>
      </c>
      <c r="D81" s="13">
        <v>29</v>
      </c>
      <c r="E81" s="13">
        <v>39</v>
      </c>
      <c r="F81" s="76" t="s">
        <v>42</v>
      </c>
      <c r="G81" s="10">
        <v>3135.8882666666668</v>
      </c>
      <c r="H81" s="10">
        <v>-2474.8565798073942</v>
      </c>
    </row>
    <row r="82" spans="1:8" x14ac:dyDescent="0.2">
      <c r="A82" s="9" t="s">
        <v>321</v>
      </c>
      <c r="B82" s="75" t="s">
        <v>78</v>
      </c>
      <c r="C82" s="10">
        <v>1262.8492307692311</v>
      </c>
      <c r="D82" s="13">
        <v>29</v>
      </c>
      <c r="E82" s="13">
        <v>38</v>
      </c>
      <c r="F82" s="76" t="s">
        <v>50</v>
      </c>
      <c r="G82" s="10">
        <v>4177.38</v>
      </c>
      <c r="H82" s="10">
        <v>-2914.5307692307688</v>
      </c>
    </row>
    <row r="83" spans="1:8" x14ac:dyDescent="0.2">
      <c r="A83" s="9" t="s">
        <v>275</v>
      </c>
      <c r="B83" s="75" t="s">
        <v>83</v>
      </c>
      <c r="C83" s="10">
        <v>447.17791878172591</v>
      </c>
      <c r="D83" s="13">
        <v>30</v>
      </c>
      <c r="E83" s="13">
        <v>34</v>
      </c>
      <c r="F83" s="76" t="s">
        <v>53</v>
      </c>
      <c r="G83" s="10">
        <v>1392.0771929824559</v>
      </c>
      <c r="H83" s="10">
        <v>-944.89927420073025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164</v>
      </c>
    </row>
    <row r="2" spans="1:1" x14ac:dyDescent="0.2">
      <c r="A2" t="s">
        <v>166</v>
      </c>
    </row>
    <row r="3" spans="1:1" x14ac:dyDescent="0.2">
      <c r="A3" t="s">
        <v>168</v>
      </c>
    </row>
    <row r="4" spans="1:1" x14ac:dyDescent="0.2">
      <c r="A4" t="s">
        <v>169</v>
      </c>
    </row>
    <row r="5" spans="1:1" x14ac:dyDescent="0.2">
      <c r="A5" t="s">
        <v>173</v>
      </c>
    </row>
    <row r="6" spans="1:1" x14ac:dyDescent="0.2">
      <c r="A6" t="s">
        <v>183</v>
      </c>
    </row>
    <row r="7" spans="1:1" x14ac:dyDescent="0.2">
      <c r="A7" t="s">
        <v>189</v>
      </c>
    </row>
    <row r="8" spans="1:1" x14ac:dyDescent="0.2">
      <c r="A8" t="s">
        <v>175</v>
      </c>
    </row>
    <row r="9" spans="1:1" x14ac:dyDescent="0.2">
      <c r="A9" t="s">
        <v>179</v>
      </c>
    </row>
    <row r="10" spans="1:1" x14ac:dyDescent="0.2">
      <c r="A10" t="s">
        <v>181</v>
      </c>
    </row>
    <row r="11" spans="1:1" x14ac:dyDescent="0.2">
      <c r="A11" t="s">
        <v>185</v>
      </c>
    </row>
    <row r="12" spans="1:1" x14ac:dyDescent="0.2">
      <c r="A12" t="s">
        <v>187</v>
      </c>
    </row>
    <row r="13" spans="1:1" x14ac:dyDescent="0.2">
      <c r="A13" t="s">
        <v>191</v>
      </c>
    </row>
    <row r="14" spans="1:1" x14ac:dyDescent="0.2">
      <c r="A14" t="s">
        <v>193</v>
      </c>
    </row>
    <row r="15" spans="1:1" x14ac:dyDescent="0.2">
      <c r="A15" t="s">
        <v>195</v>
      </c>
    </row>
    <row r="16" spans="1:1" x14ac:dyDescent="0.2">
      <c r="A16" t="s">
        <v>214</v>
      </c>
    </row>
    <row r="17" spans="1:1" x14ac:dyDescent="0.2">
      <c r="A17" t="s">
        <v>218</v>
      </c>
    </row>
    <row r="18" spans="1:1" x14ac:dyDescent="0.2">
      <c r="A18" t="s">
        <v>197</v>
      </c>
    </row>
    <row r="19" spans="1:1" x14ac:dyDescent="0.2">
      <c r="A19" t="s">
        <v>200</v>
      </c>
    </row>
    <row r="20" spans="1:1" x14ac:dyDescent="0.2">
      <c r="A20" t="s">
        <v>202</v>
      </c>
    </row>
    <row r="21" spans="1:1" x14ac:dyDescent="0.2">
      <c r="A21" t="s">
        <v>204</v>
      </c>
    </row>
    <row r="22" spans="1:1" x14ac:dyDescent="0.2">
      <c r="A22" t="s">
        <v>206</v>
      </c>
    </row>
    <row r="23" spans="1:1" x14ac:dyDescent="0.2">
      <c r="A23" t="s">
        <v>208</v>
      </c>
    </row>
    <row r="24" spans="1:1" x14ac:dyDescent="0.2">
      <c r="A24" t="s">
        <v>210</v>
      </c>
    </row>
    <row r="25" spans="1:1" x14ac:dyDescent="0.2">
      <c r="A25" t="s">
        <v>212</v>
      </c>
    </row>
    <row r="26" spans="1:1" x14ac:dyDescent="0.2">
      <c r="A26" t="s">
        <v>222</v>
      </c>
    </row>
    <row r="27" spans="1:1" x14ac:dyDescent="0.2">
      <c r="A27" t="s">
        <v>224</v>
      </c>
    </row>
    <row r="28" spans="1:1" x14ac:dyDescent="0.2">
      <c r="A28" t="s">
        <v>226</v>
      </c>
    </row>
    <row r="29" spans="1:1" x14ac:dyDescent="0.2">
      <c r="A29" t="s">
        <v>229</v>
      </c>
    </row>
    <row r="30" spans="1:1" x14ac:dyDescent="0.2">
      <c r="A30" t="s">
        <v>228</v>
      </c>
    </row>
    <row r="31" spans="1:1" x14ac:dyDescent="0.2">
      <c r="A31" t="s">
        <v>231</v>
      </c>
    </row>
    <row r="32" spans="1:1" x14ac:dyDescent="0.2">
      <c r="A32" t="s">
        <v>239</v>
      </c>
    </row>
    <row r="33" spans="1:1" x14ac:dyDescent="0.2">
      <c r="A33" t="s">
        <v>242</v>
      </c>
    </row>
    <row r="34" spans="1:1" x14ac:dyDescent="0.2">
      <c r="A34" t="s">
        <v>233</v>
      </c>
    </row>
    <row r="35" spans="1:1" x14ac:dyDescent="0.2">
      <c r="A35" t="s">
        <v>235</v>
      </c>
    </row>
    <row r="36" spans="1:1" x14ac:dyDescent="0.2">
      <c r="A36" t="s">
        <v>237</v>
      </c>
    </row>
    <row r="37" spans="1:1" x14ac:dyDescent="0.2">
      <c r="A37" t="s">
        <v>240</v>
      </c>
    </row>
    <row r="38" spans="1:1" x14ac:dyDescent="0.2">
      <c r="A38" t="s">
        <v>245</v>
      </c>
    </row>
    <row r="39" spans="1:1" x14ac:dyDescent="0.2">
      <c r="A39" t="s">
        <v>243</v>
      </c>
    </row>
    <row r="40" spans="1:1" x14ac:dyDescent="0.2">
      <c r="A40" t="s">
        <v>251</v>
      </c>
    </row>
    <row r="41" spans="1:1" x14ac:dyDescent="0.2">
      <c r="A41" t="s">
        <v>253</v>
      </c>
    </row>
    <row r="42" spans="1:1" x14ac:dyDescent="0.2">
      <c r="A42" t="s">
        <v>249</v>
      </c>
    </row>
    <row r="43" spans="1:1" x14ac:dyDescent="0.2">
      <c r="A43" t="s">
        <v>140</v>
      </c>
    </row>
    <row r="44" spans="1:1" x14ac:dyDescent="0.2">
      <c r="A44" t="s">
        <v>256</v>
      </c>
    </row>
    <row r="45" spans="1:1" x14ac:dyDescent="0.2">
      <c r="A45" t="s">
        <v>258</v>
      </c>
    </row>
    <row r="46" spans="1:1" x14ac:dyDescent="0.2">
      <c r="A46" t="s">
        <v>260</v>
      </c>
    </row>
    <row r="47" spans="1:1" x14ac:dyDescent="0.2">
      <c r="A47" t="s">
        <v>262</v>
      </c>
    </row>
    <row r="48" spans="1:1" x14ac:dyDescent="0.2">
      <c r="A48" t="s">
        <v>265</v>
      </c>
    </row>
    <row r="49" spans="1:1" x14ac:dyDescent="0.2">
      <c r="A49" t="s">
        <v>269</v>
      </c>
    </row>
    <row r="50" spans="1:1" x14ac:dyDescent="0.2">
      <c r="A50" t="s">
        <v>263</v>
      </c>
    </row>
    <row r="51" spans="1:1" x14ac:dyDescent="0.2">
      <c r="A51" t="s">
        <v>267</v>
      </c>
    </row>
    <row r="52" spans="1:1" x14ac:dyDescent="0.2">
      <c r="A52" t="s">
        <v>271</v>
      </c>
    </row>
    <row r="53" spans="1:1" x14ac:dyDescent="0.2">
      <c r="A53" t="s">
        <v>273</v>
      </c>
    </row>
    <row r="54" spans="1:1" x14ac:dyDescent="0.2">
      <c r="A54" t="s">
        <v>275</v>
      </c>
    </row>
    <row r="55" spans="1:1" x14ac:dyDescent="0.2">
      <c r="A55" t="s">
        <v>277</v>
      </c>
    </row>
    <row r="56" spans="1:1" x14ac:dyDescent="0.2">
      <c r="A56" t="s">
        <v>279</v>
      </c>
    </row>
    <row r="57" spans="1:1" x14ac:dyDescent="0.2">
      <c r="A57" t="s">
        <v>281</v>
      </c>
    </row>
    <row r="58" spans="1:1" x14ac:dyDescent="0.2">
      <c r="A58" t="s">
        <v>283</v>
      </c>
    </row>
    <row r="59" spans="1:1" x14ac:dyDescent="0.2">
      <c r="A59" t="s">
        <v>285</v>
      </c>
    </row>
    <row r="60" spans="1:1" x14ac:dyDescent="0.2">
      <c r="A60" t="s">
        <v>287</v>
      </c>
    </row>
    <row r="61" spans="1:1" x14ac:dyDescent="0.2">
      <c r="A61" t="s">
        <v>289</v>
      </c>
    </row>
    <row r="62" spans="1:1" x14ac:dyDescent="0.2">
      <c r="A62" t="s">
        <v>291</v>
      </c>
    </row>
    <row r="63" spans="1:1" x14ac:dyDescent="0.2">
      <c r="A63" t="s">
        <v>297</v>
      </c>
    </row>
    <row r="64" spans="1:1" x14ac:dyDescent="0.2">
      <c r="A64" t="s">
        <v>299</v>
      </c>
    </row>
    <row r="65" spans="1:1" x14ac:dyDescent="0.2">
      <c r="A65" t="s">
        <v>303</v>
      </c>
    </row>
    <row r="66" spans="1:1" x14ac:dyDescent="0.2">
      <c r="A66" t="s">
        <v>295</v>
      </c>
    </row>
    <row r="67" spans="1:1" x14ac:dyDescent="0.2">
      <c r="A67" t="s">
        <v>301</v>
      </c>
    </row>
    <row r="68" spans="1:1" x14ac:dyDescent="0.2">
      <c r="A68" t="s">
        <v>305</v>
      </c>
    </row>
    <row r="69" spans="1:1" x14ac:dyDescent="0.2">
      <c r="A69" t="s">
        <v>309</v>
      </c>
    </row>
    <row r="70" spans="1:1" x14ac:dyDescent="0.2">
      <c r="A70" t="s">
        <v>311</v>
      </c>
    </row>
    <row r="71" spans="1:1" x14ac:dyDescent="0.2">
      <c r="A71" t="s">
        <v>313</v>
      </c>
    </row>
    <row r="72" spans="1:1" x14ac:dyDescent="0.2">
      <c r="A72" t="s">
        <v>315</v>
      </c>
    </row>
    <row r="73" spans="1:1" x14ac:dyDescent="0.2">
      <c r="A73" t="s">
        <v>327</v>
      </c>
    </row>
    <row r="74" spans="1:1" x14ac:dyDescent="0.2">
      <c r="A74" t="s">
        <v>333</v>
      </c>
    </row>
    <row r="75" spans="1:1" x14ac:dyDescent="0.2">
      <c r="A75" t="s">
        <v>317</v>
      </c>
    </row>
    <row r="76" spans="1:1" x14ac:dyDescent="0.2">
      <c r="A76" t="s">
        <v>319</v>
      </c>
    </row>
    <row r="77" spans="1:1" x14ac:dyDescent="0.2">
      <c r="A77" t="s">
        <v>321</v>
      </c>
    </row>
    <row r="78" spans="1:1" x14ac:dyDescent="0.2">
      <c r="A78" t="s">
        <v>323</v>
      </c>
    </row>
    <row r="79" spans="1:1" x14ac:dyDescent="0.2">
      <c r="A79" t="s">
        <v>329</v>
      </c>
    </row>
    <row r="80" spans="1:1" x14ac:dyDescent="0.2">
      <c r="A80" t="s">
        <v>331</v>
      </c>
    </row>
    <row r="81" spans="1:1" x14ac:dyDescent="0.2">
      <c r="A81" t="s">
        <v>335</v>
      </c>
    </row>
    <row r="82" spans="1:1" x14ac:dyDescent="0.2">
      <c r="A82" t="s">
        <v>345</v>
      </c>
    </row>
    <row r="83" spans="1:1" x14ac:dyDescent="0.2">
      <c r="A83" t="s">
        <v>347</v>
      </c>
    </row>
    <row r="84" spans="1:1" x14ac:dyDescent="0.2">
      <c r="A84" t="s">
        <v>349</v>
      </c>
    </row>
    <row r="85" spans="1:1" x14ac:dyDescent="0.2">
      <c r="A85" t="s">
        <v>361</v>
      </c>
    </row>
    <row r="86" spans="1:1" x14ac:dyDescent="0.2">
      <c r="A86" t="s">
        <v>339</v>
      </c>
    </row>
    <row r="87" spans="1:1" x14ac:dyDescent="0.2">
      <c r="A87" t="s">
        <v>341</v>
      </c>
    </row>
    <row r="88" spans="1:1" x14ac:dyDescent="0.2">
      <c r="A88" t="s">
        <v>343</v>
      </c>
    </row>
    <row r="89" spans="1:1" x14ac:dyDescent="0.2">
      <c r="A89" t="s">
        <v>351</v>
      </c>
    </row>
    <row r="90" spans="1:1" x14ac:dyDescent="0.2">
      <c r="A90" t="s">
        <v>353</v>
      </c>
    </row>
    <row r="91" spans="1:1" x14ac:dyDescent="0.2">
      <c r="A91" t="s">
        <v>355</v>
      </c>
    </row>
    <row r="92" spans="1:1" x14ac:dyDescent="0.2">
      <c r="A92" t="s">
        <v>357</v>
      </c>
    </row>
    <row r="93" spans="1:1" x14ac:dyDescent="0.2">
      <c r="A93" t="s">
        <v>369</v>
      </c>
    </row>
    <row r="94" spans="1:1" x14ac:dyDescent="0.2">
      <c r="A94" t="s">
        <v>363</v>
      </c>
    </row>
    <row r="95" spans="1:1" x14ac:dyDescent="0.2">
      <c r="A95" t="s">
        <v>373</v>
      </c>
    </row>
    <row r="96" spans="1:1" x14ac:dyDescent="0.2">
      <c r="A96" t="s">
        <v>375</v>
      </c>
    </row>
    <row r="97" spans="1:1" x14ac:dyDescent="0.2">
      <c r="A97" t="s">
        <v>365</v>
      </c>
    </row>
    <row r="98" spans="1:1" x14ac:dyDescent="0.2">
      <c r="A98" t="s">
        <v>367</v>
      </c>
    </row>
    <row r="99" spans="1:1" x14ac:dyDescent="0.2">
      <c r="A99" t="s">
        <v>371</v>
      </c>
    </row>
    <row r="100" spans="1:1" x14ac:dyDescent="0.2">
      <c r="A100" t="s">
        <v>378</v>
      </c>
    </row>
    <row r="101" spans="1:1" x14ac:dyDescent="0.2">
      <c r="A101" t="s">
        <v>384</v>
      </c>
    </row>
    <row r="102" spans="1:1" x14ac:dyDescent="0.2">
      <c r="A102" t="s">
        <v>388</v>
      </c>
    </row>
    <row r="103" spans="1:1" x14ac:dyDescent="0.2">
      <c r="A103" t="s">
        <v>390</v>
      </c>
    </row>
    <row r="104" spans="1:1" x14ac:dyDescent="0.2">
      <c r="A104" t="s">
        <v>392</v>
      </c>
    </row>
    <row r="105" spans="1:1" x14ac:dyDescent="0.2">
      <c r="A105" t="s">
        <v>396</v>
      </c>
    </row>
    <row r="106" spans="1:1" x14ac:dyDescent="0.2">
      <c r="A106" t="s">
        <v>398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76</v>
      </c>
    </row>
    <row r="2" spans="1:1" x14ac:dyDescent="0.2">
      <c r="A2" t="s">
        <v>80</v>
      </c>
    </row>
    <row r="3" spans="1:1" x14ac:dyDescent="0.2">
      <c r="A3" t="s">
        <v>79</v>
      </c>
    </row>
    <row r="4" spans="1:1" x14ac:dyDescent="0.2">
      <c r="A4" t="s">
        <v>82</v>
      </c>
    </row>
    <row r="5" spans="1:1" x14ac:dyDescent="0.2">
      <c r="A5" t="s">
        <v>78</v>
      </c>
    </row>
    <row r="6" spans="1:1" x14ac:dyDescent="0.2">
      <c r="A6" t="s">
        <v>85</v>
      </c>
    </row>
    <row r="7" spans="1:1" x14ac:dyDescent="0.2">
      <c r="A7" t="s">
        <v>81</v>
      </c>
    </row>
    <row r="8" spans="1:1" x14ac:dyDescent="0.2">
      <c r="A8" t="s">
        <v>83</v>
      </c>
    </row>
    <row r="9" spans="1:1" x14ac:dyDescent="0.2">
      <c r="A9" t="s">
        <v>77</v>
      </c>
    </row>
    <row r="10" spans="1:1" x14ac:dyDescent="0.2">
      <c r="A10" t="s">
        <v>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49"/>
  <sheetViews>
    <sheetView workbookViewId="0"/>
  </sheetViews>
  <sheetFormatPr baseColWidth="10" defaultColWidth="8.83203125" defaultRowHeight="15" x14ac:dyDescent="0.2"/>
  <sheetData>
    <row r="1" spans="1:52" x14ac:dyDescent="0.2">
      <c r="A1" t="s">
        <v>14</v>
      </c>
      <c r="B1" t="s">
        <v>6362</v>
      </c>
      <c r="C1" t="s">
        <v>6363</v>
      </c>
      <c r="D1" t="s">
        <v>6364</v>
      </c>
      <c r="E1" t="s">
        <v>6365</v>
      </c>
      <c r="F1" t="s">
        <v>6366</v>
      </c>
      <c r="G1" t="s">
        <v>6367</v>
      </c>
      <c r="H1" t="s">
        <v>6368</v>
      </c>
      <c r="I1" t="s">
        <v>6369</v>
      </c>
      <c r="J1" t="s">
        <v>6370</v>
      </c>
      <c r="K1" t="s">
        <v>6371</v>
      </c>
      <c r="L1" t="s">
        <v>6372</v>
      </c>
      <c r="M1" t="s">
        <v>6373</v>
      </c>
      <c r="N1" t="s">
        <v>6374</v>
      </c>
      <c r="O1" t="s">
        <v>6375</v>
      </c>
      <c r="P1" t="s">
        <v>6376</v>
      </c>
      <c r="Q1" t="s">
        <v>6377</v>
      </c>
      <c r="R1" t="s">
        <v>6378</v>
      </c>
      <c r="S1" t="s">
        <v>6379</v>
      </c>
      <c r="T1" t="s">
        <v>6380</v>
      </c>
      <c r="U1" t="s">
        <v>6381</v>
      </c>
      <c r="V1" t="s">
        <v>6382</v>
      </c>
      <c r="W1" t="s">
        <v>6383</v>
      </c>
      <c r="X1" t="s">
        <v>6384</v>
      </c>
      <c r="Y1" t="s">
        <v>6385</v>
      </c>
      <c r="Z1" t="s">
        <v>6386</v>
      </c>
      <c r="AA1" t="s">
        <v>6387</v>
      </c>
      <c r="AB1" t="s">
        <v>6388</v>
      </c>
      <c r="AC1" t="s">
        <v>6389</v>
      </c>
      <c r="AD1" t="s">
        <v>6390</v>
      </c>
      <c r="AE1" t="s">
        <v>6391</v>
      </c>
      <c r="AF1" t="s">
        <v>6392</v>
      </c>
      <c r="AG1" t="s">
        <v>6393</v>
      </c>
      <c r="AH1" t="s">
        <v>6394</v>
      </c>
      <c r="AI1" t="s">
        <v>6395</v>
      </c>
      <c r="AJ1" t="s">
        <v>6396</v>
      </c>
      <c r="AK1" t="s">
        <v>6397</v>
      </c>
      <c r="AL1" t="s">
        <v>6398</v>
      </c>
      <c r="AM1" t="s">
        <v>6399</v>
      </c>
      <c r="AN1" t="s">
        <v>6400</v>
      </c>
      <c r="AO1" t="s">
        <v>6401</v>
      </c>
      <c r="AP1" t="s">
        <v>6402</v>
      </c>
      <c r="AQ1" t="s">
        <v>6403</v>
      </c>
      <c r="AR1" t="s">
        <v>6404</v>
      </c>
      <c r="AS1" t="s">
        <v>6405</v>
      </c>
      <c r="AT1" t="s">
        <v>6406</v>
      </c>
      <c r="AU1" t="s">
        <v>6407</v>
      </c>
      <c r="AV1" t="s">
        <v>6408</v>
      </c>
      <c r="AW1" t="s">
        <v>6409</v>
      </c>
      <c r="AX1" t="s">
        <v>6410</v>
      </c>
      <c r="AY1" t="s">
        <v>106</v>
      </c>
      <c r="AZ1" t="s">
        <v>6411</v>
      </c>
    </row>
    <row r="2" spans="1:52" x14ac:dyDescent="0.2">
      <c r="A2" t="s">
        <v>55</v>
      </c>
      <c r="B2">
        <f t="shared" ref="B2:B49" si="0">IFERROR(Z2/AL2,"")</f>
        <v>413.19437420325596</v>
      </c>
      <c r="C2">
        <f t="shared" ref="C2:C49" si="1">IFERROR(AA2/AM2,"")</f>
        <v>719.05624540301994</v>
      </c>
      <c r="D2">
        <f t="shared" ref="D2:D49" si="2">IFERROR(AB2/AN2,"")</f>
        <v>1075.6565892507563</v>
      </c>
      <c r="E2">
        <f t="shared" ref="E2:E49" si="3">IFERROR(AC2/AO2,"")</f>
        <v>1096.7613792053585</v>
      </c>
      <c r="F2">
        <f t="shared" ref="F2:F49" si="4">IFERROR(AD2/AP2,"")</f>
        <v>893.99749446694784</v>
      </c>
      <c r="G2">
        <f t="shared" ref="G2:G49" si="5">IFERROR(AE2/AQ2,"")</f>
        <v>844.24470998773938</v>
      </c>
      <c r="H2">
        <f t="shared" ref="H2:H49" si="6">IFERROR(AF2/AR2,"")</f>
        <v>458.75527433149654</v>
      </c>
      <c r="I2">
        <f t="shared" ref="I2:I49" si="7">IFERROR(AG2/AS2,"")</f>
        <v>398.20700288292335</v>
      </c>
      <c r="J2">
        <f t="shared" ref="J2:J49" si="8">IFERROR(AH2/AT2,"")</f>
        <v>513.13135802469139</v>
      </c>
      <c r="K2">
        <f t="shared" ref="K2:K49" si="9">IFERROR(AI2/AU2,"")</f>
        <v>511.38991354466862</v>
      </c>
      <c r="L2" t="str">
        <f t="shared" ref="L2:L49" si="10">IFERROR(AJ2/AV2,"")</f>
        <v/>
      </c>
      <c r="M2" t="str">
        <f t="shared" ref="M2:M49" si="11">IFERROR(AK2/AW2,"")</f>
        <v/>
      </c>
      <c r="N2">
        <f>IFERROR(SUMPRODUCT(('Tenant Data'!$A$2:$A$4674="Clackamas Town Center")*('Tenant Data'!$D$2:$D$4674="Apparel")*('Tenant Data'!$F$2:$F$4674&gt;0)*('Tenant Data'!$E$2:$E$4674&lt;10000)*'Tenant Data'!$J$2:$J$4674*'Tenant Data'!$E$2:$E$4674)/SUMPRODUCT(('Tenant Data'!$A$2:$A$4674="Clackamas Town Center")*('Tenant Data'!$D$2:$D$4674="Apparel")*('Tenant Data'!$F$2:$F$4674&gt;0)*('Tenant Data'!$E$2:$E$4674&lt;10000)*'Tenant Data'!$E$2:$E$4674),"")</f>
        <v>0.15771644196772239</v>
      </c>
      <c r="O2">
        <f>IFERROR(SUMPRODUCT(('Tenant Data'!$A$2:$A$4674="Clackamas Town Center")*('Tenant Data'!$D$2:$D$4674="Shoes")*('Tenant Data'!$F$2:$F$4674&gt;0)*('Tenant Data'!$E$2:$E$4674&lt;10000)*'Tenant Data'!$J$2:$J$4674*'Tenant Data'!$E$2:$E$4674)/SUMPRODUCT(('Tenant Data'!$A$2:$A$4674="Clackamas Town Center")*('Tenant Data'!$D$2:$D$4674="Shoes")*('Tenant Data'!$F$2:$F$4674&gt;0)*('Tenant Data'!$E$2:$E$4674&lt;10000)*'Tenant Data'!$E$2:$E$4674),"")</f>
        <v>0.15520488848720523</v>
      </c>
      <c r="P2">
        <f>IFERROR(SUMPRODUCT(('Tenant Data'!$A$2:$A$4674="Clackamas Town Center")*('Tenant Data'!$D$2:$D$4674="Jewelry")*('Tenant Data'!$F$2:$F$4674&gt;0)*('Tenant Data'!$E$2:$E$4674&lt;10000)*'Tenant Data'!$J$2:$J$4674*'Tenant Data'!$E$2:$E$4674)/SUMPRODUCT(('Tenant Data'!$A$2:$A$4674="Clackamas Town Center")*('Tenant Data'!$D$2:$D$4674="Jewelry")*('Tenant Data'!$F$2:$F$4674&gt;0)*('Tenant Data'!$E$2:$E$4674&lt;10000)*'Tenant Data'!$E$2:$E$4674),"")</f>
        <v>0.14207045147490879</v>
      </c>
      <c r="Q2">
        <f>IFERROR(SUMPRODUCT(('Tenant Data'!$A$2:$A$4674="Clackamas Town Center")*('Tenant Data'!$D$2:$D$4674="Health &amp; Beauty")*('Tenant Data'!$F$2:$F$4674&gt;0)*('Tenant Data'!$E$2:$E$4674&lt;10000)*'Tenant Data'!$J$2:$J$4674*'Tenant Data'!$E$2:$E$4674)/SUMPRODUCT(('Tenant Data'!$A$2:$A$4674="Clackamas Town Center")*('Tenant Data'!$D$2:$D$4674="Health &amp; Beauty")*('Tenant Data'!$F$2:$F$4674&gt;0)*('Tenant Data'!$E$2:$E$4674&lt;10000)*'Tenant Data'!$E$2:$E$4674),"")</f>
        <v>0.15048798295636745</v>
      </c>
      <c r="R2">
        <f>IFERROR(SUMPRODUCT(('Tenant Data'!$A$2:$A$4674="Clackamas Town Center")*('Tenant Data'!$D$2:$D$4674="Food &amp; Beverage")*('Tenant Data'!$F$2:$F$4674&gt;0)*('Tenant Data'!$E$2:$E$4674&lt;10000)*'Tenant Data'!$J$2:$J$4674*'Tenant Data'!$E$2:$E$4674)/SUMPRODUCT(('Tenant Data'!$A$2:$A$4674="Clackamas Town Center")*('Tenant Data'!$D$2:$D$4674="Food &amp; Beverage")*('Tenant Data'!$F$2:$F$4674&gt;0)*('Tenant Data'!$E$2:$E$4674&lt;10000)*'Tenant Data'!$E$2:$E$4674),"")</f>
        <v>0.1770293694396142</v>
      </c>
      <c r="S2">
        <f>IFERROR(SUMPRODUCT(('Tenant Data'!$A$2:$A$4674="Clackamas Town Center")*('Tenant Data'!$D$2:$D$4674="Restaurant")*('Tenant Data'!$F$2:$F$4674&gt;0)*('Tenant Data'!$E$2:$E$4674&lt;10000)*'Tenant Data'!$J$2:$J$4674*'Tenant Data'!$E$2:$E$4674)/SUMPRODUCT(('Tenant Data'!$A$2:$A$4674="Clackamas Town Center")*('Tenant Data'!$D$2:$D$4674="Restaurant")*('Tenant Data'!$F$2:$F$4674&gt;0)*('Tenant Data'!$E$2:$E$4674&lt;10000)*'Tenant Data'!$E$2:$E$4674),"")</f>
        <v>9.6162977725261764E-2</v>
      </c>
      <c r="T2">
        <f>IFERROR(SUMPRODUCT(('Tenant Data'!$A$2:$A$4674="Clackamas Town Center")*('Tenant Data'!$D$2:$D$4674="Hobby &amp; Novelty")*('Tenant Data'!$F$2:$F$4674&gt;0)*('Tenant Data'!$E$2:$E$4674&lt;10000)*'Tenant Data'!$J$2:$J$4674*'Tenant Data'!$E$2:$E$4674)/SUMPRODUCT(('Tenant Data'!$A$2:$A$4674="Clackamas Town Center")*('Tenant Data'!$D$2:$D$4674="Hobby &amp; Novelty")*('Tenant Data'!$F$2:$F$4674&gt;0)*('Tenant Data'!$E$2:$E$4674&lt;10000)*'Tenant Data'!$E$2:$E$4674),"")</f>
        <v>0.21511691152956727</v>
      </c>
      <c r="U2">
        <f>IFERROR(SUMPRODUCT(('Tenant Data'!$A$2:$A$4674="Clackamas Town Center")*('Tenant Data'!$D$2:$D$4674="Service")*('Tenant Data'!$F$2:$F$4674&gt;0)*('Tenant Data'!$E$2:$E$4674&lt;10000)*'Tenant Data'!$J$2:$J$4674*'Tenant Data'!$E$2:$E$4674)/SUMPRODUCT(('Tenant Data'!$A$2:$A$4674="Clackamas Town Center")*('Tenant Data'!$D$2:$D$4674="Service")*('Tenant Data'!$F$2:$F$4674&gt;0)*('Tenant Data'!$E$2:$E$4674&lt;10000)*'Tenant Data'!$E$2:$E$4674),"")</f>
        <v>0.1991100662753898</v>
      </c>
      <c r="V2">
        <f>IFERROR(SUMPRODUCT(('Tenant Data'!$A$2:$A$4674="Clackamas Town Center")*('Tenant Data'!$D$2:$D$4674="Tech")*('Tenant Data'!$F$2:$F$4674&gt;0)*('Tenant Data'!$E$2:$E$4674&lt;10000)*'Tenant Data'!$J$2:$J$4674*'Tenant Data'!$E$2:$E$4674)/SUMPRODUCT(('Tenant Data'!$A$2:$A$4674="Clackamas Town Center")*('Tenant Data'!$D$2:$D$4674="Tech")*('Tenant Data'!$F$2:$F$4674&gt;0)*('Tenant Data'!$E$2:$E$4674&lt;10000)*'Tenant Data'!$E$2:$E$4674),"")</f>
        <v>0.33506040375674512</v>
      </c>
      <c r="W2">
        <f>IFERROR(SUMPRODUCT(('Tenant Data'!$A$2:$A$4674="Clackamas Town Center")*('Tenant Data'!$D$2:$D$4674="Major")*('Tenant Data'!$F$2:$F$4674&gt;0)*('Tenant Data'!$E$2:$E$4674&lt;10000)*'Tenant Data'!$J$2:$J$4674*'Tenant Data'!$E$2:$E$4674)/SUMPRODUCT(('Tenant Data'!$A$2:$A$4674="Clackamas Town Center")*('Tenant Data'!$D$2:$D$4674="Major")*('Tenant Data'!$F$2:$F$4674&gt;0)*('Tenant Data'!$E$2:$E$4674&lt;10000)*'Tenant Data'!$E$2:$E$4674),"")</f>
        <v>0.18962047829191281</v>
      </c>
      <c r="X2" t="str">
        <f>IFERROR(SUMPRODUCT(('Tenant Data'!$A$2:$A$4674="Clackamas Town Center")*('Tenant Data'!$D$2:$D$4674="Anchor")*('Tenant Data'!$F$2:$F$4674&gt;0)*('Tenant Data'!$E$2:$E$4674&lt;10000)*'Tenant Data'!$J$2:$J$4674*'Tenant Data'!$E$2:$E$4674)/SUMPRODUCT(('Tenant Data'!$A$2:$A$4674="Clackamas Town Center")*('Tenant Data'!$D$2:$D$4674="Anchor")*('Tenant Data'!$F$2:$F$4674&gt;0)*('Tenant Data'!$E$2:$E$4674&lt;10000)*'Tenant Data'!$E$2:$E$4674),"")</f>
        <v/>
      </c>
      <c r="Y2" t="str">
        <f>IFERROR(SUMPRODUCT(('Tenant Data'!$A$2:$A$4674="Clackamas Town Center")*('Tenant Data'!$D$2:$D$4674="Apple")*('Tenant Data'!$F$2:$F$4674&gt;0)*('Tenant Data'!$E$2:$E$4674&lt;10000)*'Tenant Data'!$J$2:$J$4674*'Tenant Data'!$E$2:$E$4674)/SUMPRODUCT(('Tenant Data'!$A$2:$A$4674="Clackamas Town Center")*('Tenant Data'!$D$2:$D$4674="Apple")*('Tenant Data'!$F$2:$F$4674&gt;0)*('Tenant Data'!$E$2:$E$4674&lt;10000)*'Tenant Data'!$E$2:$E$4674),"")</f>
        <v/>
      </c>
      <c r="Z2">
        <f>SUMIFS('Tenant Data'!$F$2:$F$4674,'Tenant Data'!$A$2:$A$4674,"Clackamas Town Center",'Tenant Data'!$D$2:$D$4674,"Apparel",'Tenant Data'!$E$2:$E$4674,"&lt;10000")</f>
        <v>39543528</v>
      </c>
      <c r="AA2">
        <f>SUMIFS('Tenant Data'!$F$2:$F$4674,'Tenant Data'!$A$2:$A$4674,"Clackamas Town Center",'Tenant Data'!$D$2:$D$4674,"Shoes",'Tenant Data'!$E$2:$E$4674,"&lt;10000")</f>
        <v>16619547</v>
      </c>
      <c r="AB2">
        <f>SUMIFS('Tenant Data'!$F$2:$F$4674,'Tenant Data'!$A$2:$A$4674,"Clackamas Town Center",'Tenant Data'!$D$2:$D$4674,"Jewelry",'Tenant Data'!$E$2:$E$4674,"&lt;10000")</f>
        <v>12088228.75</v>
      </c>
      <c r="AC2">
        <f>SUMIFS('Tenant Data'!$F$2:$F$4674,'Tenant Data'!$A$2:$A$4674,"Clackamas Town Center",'Tenant Data'!$D$2:$D$4674,"Health &amp; Beauty",'Tenant Data'!$E$2:$E$4674,"&lt;10000")</f>
        <v>14409251</v>
      </c>
      <c r="AD2">
        <f>SUMIFS('Tenant Data'!$F$2:$F$4674,'Tenant Data'!$A$2:$A$4674,"Clackamas Town Center",'Tenant Data'!$D$2:$D$4674,"Food &amp; Beverage",'Tenant Data'!$E$2:$E$4674,"&lt;10000")</f>
        <v>21408558</v>
      </c>
      <c r="AE2">
        <f>SUMIFS('Tenant Data'!$F$2:$F$4674,'Tenant Data'!$A$2:$A$4674,"Clackamas Town Center",'Tenant Data'!$D$2:$D$4674,"Restaurant",'Tenant Data'!$E$2:$E$4674,"&lt;10000")</f>
        <v>35806106.640000001</v>
      </c>
      <c r="AF2">
        <f>SUMIFS('Tenant Data'!$F$2:$F$4674,'Tenant Data'!$A$2:$A$4674,"Clackamas Town Center",'Tenant Data'!$D$2:$D$4674,"Hobby &amp; Novelty",'Tenant Data'!$E$2:$E$4674,"&lt;10000")</f>
        <v>13570439.77</v>
      </c>
      <c r="AG2">
        <f>SUMIFS('Tenant Data'!$F$2:$F$4674,'Tenant Data'!$A$2:$A$4674,"Clackamas Town Center",'Tenant Data'!$D$2:$D$4674,"Service",'Tenant Data'!$E$2:$E$4674,"&lt;10000")</f>
        <v>10635710.84</v>
      </c>
      <c r="AH2">
        <f>SUMIFS('Tenant Data'!$F$2:$F$4674,'Tenant Data'!$A$2:$A$4674,"Clackamas Town Center",'Tenant Data'!$D$2:$D$4674,"Tech",'Tenant Data'!$E$2:$E$4674,"&lt;10000")</f>
        <v>1039091</v>
      </c>
      <c r="AI2">
        <f>SUMIFS('Tenant Data'!$F$2:$F$4674,'Tenant Data'!$A$2:$A$4674,"Clackamas Town Center",'Tenant Data'!$D$2:$D$4674,"Major",'Tenant Data'!$E$2:$E$4674,"&lt;10000")</f>
        <v>1774523</v>
      </c>
      <c r="AJ2">
        <f>SUMIFS('Tenant Data'!$F$2:$F$4674,'Tenant Data'!$A$2:$A$4674,"Clackamas Town Center",'Tenant Data'!$D$2:$D$4674,"Anchor",'Tenant Data'!$E$2:$E$4674,"&lt;10000")</f>
        <v>0</v>
      </c>
      <c r="AK2">
        <f>SUMIFS('Tenant Data'!$F$2:$F$4674,'Tenant Data'!$A$2:$A$4674,"Clackamas Town Center",'Tenant Data'!$D$2:$D$4674,"Apple",'Tenant Data'!$E$2:$E$4674,"&lt;10000")</f>
        <v>0</v>
      </c>
      <c r="AL2">
        <f>SUMIFS('Tenant Data'!$E$2:$E$4674,'Tenant Data'!$A$2:$A$4674,"Clackamas Town Center",'Tenant Data'!$D$2:$D$4674,"Apparel",'Tenant Data'!$F$2:$F$4674,"&gt;0",'Tenant Data'!$E$2:$E$4674,"&lt;10000")</f>
        <v>95702</v>
      </c>
      <c r="AM2">
        <f>SUMIFS('Tenant Data'!$E$2:$E$4674,'Tenant Data'!$A$2:$A$4674,"Clackamas Town Center",'Tenant Data'!$D$2:$D$4674,"Shoes",'Tenant Data'!$F$2:$F$4674,"&gt;0",'Tenant Data'!$E$2:$E$4674,"&lt;10000")</f>
        <v>23113</v>
      </c>
      <c r="AN2">
        <f>SUMIFS('Tenant Data'!$E$2:$E$4674,'Tenant Data'!$A$2:$A$4674,"Clackamas Town Center",'Tenant Data'!$D$2:$D$4674,"Jewelry",'Tenant Data'!$F$2:$F$4674,"&gt;0",'Tenant Data'!$E$2:$E$4674,"&lt;10000")</f>
        <v>11238</v>
      </c>
      <c r="AO2">
        <f>SUMIFS('Tenant Data'!$E$2:$E$4674,'Tenant Data'!$A$2:$A$4674,"Clackamas Town Center",'Tenant Data'!$D$2:$D$4674,"Health &amp; Beauty",'Tenant Data'!$F$2:$F$4674,"&gt;0",'Tenant Data'!$E$2:$E$4674,"&lt;10000")</f>
        <v>13138</v>
      </c>
      <c r="AP2">
        <f>SUMIFS('Tenant Data'!$E$2:$E$4674,'Tenant Data'!$A$2:$A$4674,"Clackamas Town Center",'Tenant Data'!$D$2:$D$4674,"Food &amp; Beverage",'Tenant Data'!$F$2:$F$4674,"&gt;0",'Tenant Data'!$E$2:$E$4674,"&lt;10000")</f>
        <v>23947</v>
      </c>
      <c r="AQ2">
        <f>SUMIFS('Tenant Data'!$E$2:$E$4674,'Tenant Data'!$A$2:$A$4674,"Clackamas Town Center",'Tenant Data'!$D$2:$D$4674,"Restaurant",'Tenant Data'!$F$2:$F$4674,"&gt;0",'Tenant Data'!$E$2:$E$4674,"&lt;10000")</f>
        <v>42412</v>
      </c>
      <c r="AR2">
        <f>SUMIFS('Tenant Data'!$E$2:$E$4674,'Tenant Data'!$A$2:$A$4674,"Clackamas Town Center",'Tenant Data'!$D$2:$D$4674,"Hobby &amp; Novelty",'Tenant Data'!$F$2:$F$4674,"&gt;0",'Tenant Data'!$E$2:$E$4674,"&lt;10000")</f>
        <v>29581</v>
      </c>
      <c r="AS2">
        <f>SUMIFS('Tenant Data'!$E$2:$E$4674,'Tenant Data'!$A$2:$A$4674,"Clackamas Town Center",'Tenant Data'!$D$2:$D$4674,"Service",'Tenant Data'!$F$2:$F$4674,"&gt;0",'Tenant Data'!$E$2:$E$4674,"&lt;10000")</f>
        <v>26709</v>
      </c>
      <c r="AT2">
        <f>SUMIFS('Tenant Data'!$E$2:$E$4674,'Tenant Data'!$A$2:$A$4674,"Clackamas Town Center",'Tenant Data'!$D$2:$D$4674,"Tech",'Tenant Data'!$F$2:$F$4674,"&gt;0",'Tenant Data'!$E$2:$E$4674,"&lt;10000")</f>
        <v>2025</v>
      </c>
      <c r="AU2">
        <f>SUMIFS('Tenant Data'!$E$2:$E$4674,'Tenant Data'!$A$2:$A$4674,"Clackamas Town Center",'Tenant Data'!$D$2:$D$4674,"Major",'Tenant Data'!$F$2:$F$4674,"&gt;0",'Tenant Data'!$E$2:$E$4674,"&lt;10000")</f>
        <v>3470</v>
      </c>
      <c r="AV2">
        <f>SUMIFS('Tenant Data'!$E$2:$E$4674,'Tenant Data'!$A$2:$A$4674,"Clackamas Town Center",'Tenant Data'!$D$2:$D$4674,"Anchor",'Tenant Data'!$F$2:$F$4674,"&gt;0",'Tenant Data'!$E$2:$E$4674,"&lt;10000")</f>
        <v>0</v>
      </c>
      <c r="AW2">
        <f>SUMIFS('Tenant Data'!$E$2:$E$4674,'Tenant Data'!$A$2:$A$4674,"Clackamas Town Center",'Tenant Data'!$D$2:$D$4674,"Apple",'Tenant Data'!$F$2:$F$4674,"&gt;0",'Tenant Data'!$E$2:$E$4674,"&lt;10000")</f>
        <v>0</v>
      </c>
      <c r="AX2">
        <v>1</v>
      </c>
      <c r="AY2" t="str">
        <f>'Property Summary'!B2</f>
        <v>Y</v>
      </c>
      <c r="AZ2">
        <f t="shared" ref="AZ2:AZ49" si="12">SUM(AL2:AW2)</f>
        <v>271335</v>
      </c>
    </row>
    <row r="3" spans="1:52" x14ac:dyDescent="0.2">
      <c r="A3" t="s">
        <v>60</v>
      </c>
      <c r="B3">
        <f t="shared" si="0"/>
        <v>326.7467009447908</v>
      </c>
      <c r="C3">
        <f t="shared" si="1"/>
        <v>344.35096838415097</v>
      </c>
      <c r="D3">
        <f t="shared" si="2"/>
        <v>895.49857639271909</v>
      </c>
      <c r="E3">
        <f t="shared" si="3"/>
        <v>929.82843533534356</v>
      </c>
      <c r="F3">
        <f t="shared" si="4"/>
        <v>743.65791249536528</v>
      </c>
      <c r="G3">
        <f t="shared" si="5"/>
        <v>979.22908285579081</v>
      </c>
      <c r="H3">
        <f t="shared" si="6"/>
        <v>537.20183351948742</v>
      </c>
      <c r="I3">
        <f t="shared" si="7"/>
        <v>306.60000871679591</v>
      </c>
      <c r="J3">
        <f t="shared" si="8"/>
        <v>1115.1034610608478</v>
      </c>
      <c r="K3">
        <f t="shared" si="9"/>
        <v>775.9871526726447</v>
      </c>
      <c r="L3" t="str">
        <f t="shared" si="10"/>
        <v/>
      </c>
      <c r="M3">
        <f t="shared" si="11"/>
        <v>4368.0797872340427</v>
      </c>
      <c r="N3">
        <f>IFERROR(SUMPRODUCT(('Tenant Data'!$A$2:$A$4674="Annapolis Mall")*('Tenant Data'!$D$2:$D$4674="Apparel")*('Tenant Data'!$F$2:$F$4674&gt;0)*('Tenant Data'!$E$2:$E$4674&lt;10000)*'Tenant Data'!$J$2:$J$4674*'Tenant Data'!$E$2:$E$4674)/SUMPRODUCT(('Tenant Data'!$A$2:$A$4674="Annapolis Mall")*('Tenant Data'!$D$2:$D$4674="Apparel")*('Tenant Data'!$F$2:$F$4674&gt;0)*('Tenant Data'!$E$2:$E$4674&lt;10000)*'Tenant Data'!$E$2:$E$4674),"")</f>
        <v>0.1926909158415048</v>
      </c>
      <c r="O3">
        <f>IFERROR(SUMPRODUCT(('Tenant Data'!$A$2:$A$4674="Annapolis Mall")*('Tenant Data'!$D$2:$D$4674="Shoes")*('Tenant Data'!$F$2:$F$4674&gt;0)*('Tenant Data'!$E$2:$E$4674&lt;10000)*'Tenant Data'!$J$2:$J$4674*'Tenant Data'!$E$2:$E$4674)/SUMPRODUCT(('Tenant Data'!$A$2:$A$4674="Annapolis Mall")*('Tenant Data'!$D$2:$D$4674="Shoes")*('Tenant Data'!$F$2:$F$4674&gt;0)*('Tenant Data'!$E$2:$E$4674&lt;10000)*'Tenant Data'!$E$2:$E$4674),"")</f>
        <v>0.23178242727015852</v>
      </c>
      <c r="P3">
        <f>IFERROR(SUMPRODUCT(('Tenant Data'!$A$2:$A$4674="Annapolis Mall")*('Tenant Data'!$D$2:$D$4674="Jewelry")*('Tenant Data'!$F$2:$F$4674&gt;0)*('Tenant Data'!$E$2:$E$4674&lt;10000)*'Tenant Data'!$J$2:$J$4674*'Tenant Data'!$E$2:$E$4674)/SUMPRODUCT(('Tenant Data'!$A$2:$A$4674="Annapolis Mall")*('Tenant Data'!$D$2:$D$4674="Jewelry")*('Tenant Data'!$F$2:$F$4674&gt;0)*('Tenant Data'!$E$2:$E$4674&lt;10000)*'Tenant Data'!$E$2:$E$4674),"")</f>
        <v>0.15116609097546821</v>
      </c>
      <c r="Q3">
        <f>IFERROR(SUMPRODUCT(('Tenant Data'!$A$2:$A$4674="Annapolis Mall")*('Tenant Data'!$D$2:$D$4674="Health &amp; Beauty")*('Tenant Data'!$F$2:$F$4674&gt;0)*('Tenant Data'!$E$2:$E$4674&lt;10000)*'Tenant Data'!$J$2:$J$4674*'Tenant Data'!$E$2:$E$4674)/SUMPRODUCT(('Tenant Data'!$A$2:$A$4674="Annapolis Mall")*('Tenant Data'!$D$2:$D$4674="Health &amp; Beauty")*('Tenant Data'!$F$2:$F$4674&gt;0)*('Tenant Data'!$E$2:$E$4674&lt;10000)*'Tenant Data'!$E$2:$E$4674),"")</f>
        <v>0.15463669810287986</v>
      </c>
      <c r="R3">
        <f>IFERROR(SUMPRODUCT(('Tenant Data'!$A$2:$A$4674="Annapolis Mall")*('Tenant Data'!$D$2:$D$4674="Food &amp; Beverage")*('Tenant Data'!$F$2:$F$4674&gt;0)*('Tenant Data'!$E$2:$E$4674&lt;10000)*'Tenant Data'!$J$2:$J$4674*'Tenant Data'!$E$2:$E$4674)/SUMPRODUCT(('Tenant Data'!$A$2:$A$4674="Annapolis Mall")*('Tenant Data'!$D$2:$D$4674="Food &amp; Beverage")*('Tenant Data'!$F$2:$F$4674&gt;0)*('Tenant Data'!$E$2:$E$4674&lt;10000)*'Tenant Data'!$E$2:$E$4674),"")</f>
        <v>0.16139322029138123</v>
      </c>
      <c r="S3">
        <f>IFERROR(SUMPRODUCT(('Tenant Data'!$A$2:$A$4674="Annapolis Mall")*('Tenant Data'!$D$2:$D$4674="Restaurant")*('Tenant Data'!$F$2:$F$4674&gt;0)*('Tenant Data'!$E$2:$E$4674&lt;10000)*'Tenant Data'!$J$2:$J$4674*'Tenant Data'!$E$2:$E$4674)/SUMPRODUCT(('Tenant Data'!$A$2:$A$4674="Annapolis Mall")*('Tenant Data'!$D$2:$D$4674="Restaurant")*('Tenant Data'!$F$2:$F$4674&gt;0)*('Tenant Data'!$E$2:$E$4674&lt;10000)*'Tenant Data'!$E$2:$E$4674),"")</f>
        <v>0.11535590635526941</v>
      </c>
      <c r="T3">
        <f>IFERROR(SUMPRODUCT(('Tenant Data'!$A$2:$A$4674="Annapolis Mall")*('Tenant Data'!$D$2:$D$4674="Hobby &amp; Novelty")*('Tenant Data'!$F$2:$F$4674&gt;0)*('Tenant Data'!$E$2:$E$4674&lt;10000)*'Tenant Data'!$J$2:$J$4674*'Tenant Data'!$E$2:$E$4674)/SUMPRODUCT(('Tenant Data'!$A$2:$A$4674="Annapolis Mall")*('Tenant Data'!$D$2:$D$4674="Hobby &amp; Novelty")*('Tenant Data'!$F$2:$F$4674&gt;0)*('Tenant Data'!$E$2:$E$4674&lt;10000)*'Tenant Data'!$E$2:$E$4674),"")</f>
        <v>0.14322532862603543</v>
      </c>
      <c r="U3">
        <f>IFERROR(SUMPRODUCT(('Tenant Data'!$A$2:$A$4674="Annapolis Mall")*('Tenant Data'!$D$2:$D$4674="Service")*('Tenant Data'!$F$2:$F$4674&gt;0)*('Tenant Data'!$E$2:$E$4674&lt;10000)*'Tenant Data'!$J$2:$J$4674*'Tenant Data'!$E$2:$E$4674)/SUMPRODUCT(('Tenant Data'!$A$2:$A$4674="Annapolis Mall")*('Tenant Data'!$D$2:$D$4674="Service")*('Tenant Data'!$F$2:$F$4674&gt;0)*('Tenant Data'!$E$2:$E$4674&lt;10000)*'Tenant Data'!$E$2:$E$4674),"")</f>
        <v>0.23292432042283975</v>
      </c>
      <c r="V3">
        <f>IFERROR(SUMPRODUCT(('Tenant Data'!$A$2:$A$4674="Annapolis Mall")*('Tenant Data'!$D$2:$D$4674="Tech")*('Tenant Data'!$F$2:$F$4674&gt;0)*('Tenant Data'!$E$2:$E$4674&lt;10000)*'Tenant Data'!$J$2:$J$4674*'Tenant Data'!$E$2:$E$4674)/SUMPRODUCT(('Tenant Data'!$A$2:$A$4674="Annapolis Mall")*('Tenant Data'!$D$2:$D$4674="Tech")*('Tenant Data'!$F$2:$F$4674&gt;0)*('Tenant Data'!$E$2:$E$4674&lt;10000)*'Tenant Data'!$E$2:$E$4674),"")</f>
        <v>0.25961884548711917</v>
      </c>
      <c r="W3">
        <f>IFERROR(SUMPRODUCT(('Tenant Data'!$A$2:$A$4674="Annapolis Mall")*('Tenant Data'!$D$2:$D$4674="Major")*('Tenant Data'!$F$2:$F$4674&gt;0)*('Tenant Data'!$E$2:$E$4674&lt;10000)*'Tenant Data'!$J$2:$J$4674*'Tenant Data'!$E$2:$E$4674)/SUMPRODUCT(('Tenant Data'!$A$2:$A$4674="Annapolis Mall")*('Tenant Data'!$D$2:$D$4674="Major")*('Tenant Data'!$F$2:$F$4674&gt;0)*('Tenant Data'!$E$2:$E$4674&lt;10000)*'Tenant Data'!$E$2:$E$4674),"")</f>
        <v>0.16656992816593078</v>
      </c>
      <c r="X3" t="str">
        <f>IFERROR(SUMPRODUCT(('Tenant Data'!$A$2:$A$4674="Annapolis Mall")*('Tenant Data'!$D$2:$D$4674="Anchor")*('Tenant Data'!$F$2:$F$4674&gt;0)*('Tenant Data'!$E$2:$E$4674&lt;10000)*'Tenant Data'!$J$2:$J$4674*'Tenant Data'!$E$2:$E$4674)/SUMPRODUCT(('Tenant Data'!$A$2:$A$4674="Annapolis Mall")*('Tenant Data'!$D$2:$D$4674="Anchor")*('Tenant Data'!$F$2:$F$4674&gt;0)*('Tenant Data'!$E$2:$E$4674&lt;10000)*'Tenant Data'!$E$2:$E$4674),"")</f>
        <v/>
      </c>
      <c r="Y3">
        <f>IFERROR(SUMPRODUCT(('Tenant Data'!$A$2:$A$4674="Annapolis Mall")*('Tenant Data'!$D$2:$D$4674="Apple")*('Tenant Data'!$F$2:$F$4674&gt;0)*('Tenant Data'!$E$2:$E$4674&lt;10000)*'Tenant Data'!$J$2:$J$4674*'Tenant Data'!$E$2:$E$4674)/SUMPRODUCT(('Tenant Data'!$A$2:$A$4674="Annapolis Mall")*('Tenant Data'!$D$2:$D$4674="Apple")*('Tenant Data'!$F$2:$F$4674&gt;0)*('Tenant Data'!$E$2:$E$4674&lt;10000)*'Tenant Data'!$E$2:$E$4674),"")</f>
        <v>1.6492957249095531E-2</v>
      </c>
      <c r="Z3">
        <f>SUMIFS('Tenant Data'!$F$2:$F$4674,'Tenant Data'!$A$2:$A$4674,"Annapolis Mall",'Tenant Data'!$D$2:$D$4674,"Apparel",'Tenant Data'!$E$2:$E$4674,"&lt;10000")</f>
        <v>40670815.359999999</v>
      </c>
      <c r="AA3">
        <f>SUMIFS('Tenant Data'!$F$2:$F$4674,'Tenant Data'!$A$2:$A$4674,"Annapolis Mall",'Tenant Data'!$D$2:$D$4674,"Shoes",'Tenant Data'!$E$2:$E$4674,"&lt;10000")</f>
        <v>15912802.6</v>
      </c>
      <c r="AB3">
        <f>SUMIFS('Tenant Data'!$F$2:$F$4674,'Tenant Data'!$A$2:$A$4674,"Annapolis Mall",'Tenant Data'!$D$2:$D$4674,"Jewelry",'Tenant Data'!$E$2:$E$4674,"&lt;10000")</f>
        <v>16235389.189999998</v>
      </c>
      <c r="AC3">
        <f>SUMIFS('Tenant Data'!$F$2:$F$4674,'Tenant Data'!$A$2:$A$4674,"Annapolis Mall",'Tenant Data'!$D$2:$D$4674,"Health &amp; Beauty",'Tenant Data'!$E$2:$E$4674,"&lt;10000")</f>
        <v>11409924.73</v>
      </c>
      <c r="AD3">
        <f>SUMIFS('Tenant Data'!$F$2:$F$4674,'Tenant Data'!$A$2:$A$4674,"Annapolis Mall",'Tenant Data'!$D$2:$D$4674,"Food &amp; Beverage",'Tenant Data'!$E$2:$E$4674,"&lt;10000")</f>
        <v>8022581.5600000005</v>
      </c>
      <c r="AE3">
        <f>SUMIFS('Tenant Data'!$F$2:$F$4674,'Tenant Data'!$A$2:$A$4674,"Annapolis Mall",'Tenant Data'!$D$2:$D$4674,"Restaurant",'Tenant Data'!$E$2:$E$4674,"&lt;10000")</f>
        <v>37251832.769999996</v>
      </c>
      <c r="AF3">
        <f>SUMIFS('Tenant Data'!$F$2:$F$4674,'Tenant Data'!$A$2:$A$4674,"Annapolis Mall",'Tenant Data'!$D$2:$D$4674,"Hobby &amp; Novelty",'Tenant Data'!$E$2:$E$4674,"&lt;10000")</f>
        <v>9138340.3900000006</v>
      </c>
      <c r="AG3">
        <f>SUMIFS('Tenant Data'!$F$2:$F$4674,'Tenant Data'!$A$2:$A$4674,"Annapolis Mall",'Tenant Data'!$D$2:$D$4674,"Service",'Tenant Data'!$E$2:$E$4674,"&lt;10000")</f>
        <v>6682960.3900000006</v>
      </c>
      <c r="AH3">
        <f>SUMIFS('Tenant Data'!$F$2:$F$4674,'Tenant Data'!$A$2:$A$4674,"Annapolis Mall",'Tenant Data'!$D$2:$D$4674,"Tech",'Tenant Data'!$E$2:$E$4674,"&lt;10000")</f>
        <v>6285838.21</v>
      </c>
      <c r="AI3">
        <f>SUMIFS('Tenant Data'!$F$2:$F$4674,'Tenant Data'!$A$2:$A$4674,"Annapolis Mall",'Tenant Data'!$D$2:$D$4674,"Major",'Tenant Data'!$E$2:$E$4674,"&lt;10000")</f>
        <v>6663401.6799999997</v>
      </c>
      <c r="AJ3">
        <f>SUMIFS('Tenant Data'!$F$2:$F$4674,'Tenant Data'!$A$2:$A$4674,"Annapolis Mall",'Tenant Data'!$D$2:$D$4674,"Anchor",'Tenant Data'!$E$2:$E$4674,"&lt;10000")</f>
        <v>0</v>
      </c>
      <c r="AK3">
        <f>SUMIFS('Tenant Data'!$F$2:$F$4674,'Tenant Data'!$A$2:$A$4674,"Annapolis Mall",'Tenant Data'!$D$2:$D$4674,"Apple",'Tenant Data'!$E$2:$E$4674,"&lt;10000")</f>
        <v>34490358</v>
      </c>
      <c r="AL3">
        <f>SUMIFS('Tenant Data'!$E$2:$E$4674,'Tenant Data'!$A$2:$A$4674,"Annapolis Mall",'Tenant Data'!$D$2:$D$4674,"Apparel",'Tenant Data'!$F$2:$F$4674,"&gt;0",'Tenant Data'!$E$2:$E$4674,"&lt;10000")</f>
        <v>124472</v>
      </c>
      <c r="AM3">
        <f>SUMIFS('Tenant Data'!$E$2:$E$4674,'Tenant Data'!$A$2:$A$4674,"Annapolis Mall",'Tenant Data'!$D$2:$D$4674,"Shoes",'Tenant Data'!$F$2:$F$4674,"&gt;0",'Tenant Data'!$E$2:$E$4674,"&lt;10000")</f>
        <v>46211</v>
      </c>
      <c r="AN3">
        <f>SUMIFS('Tenant Data'!$E$2:$E$4674,'Tenant Data'!$A$2:$A$4674,"Annapolis Mall",'Tenant Data'!$D$2:$D$4674,"Jewelry",'Tenant Data'!$F$2:$F$4674,"&gt;0",'Tenant Data'!$E$2:$E$4674,"&lt;10000")</f>
        <v>18130</v>
      </c>
      <c r="AO3">
        <f>SUMIFS('Tenant Data'!$E$2:$E$4674,'Tenant Data'!$A$2:$A$4674,"Annapolis Mall",'Tenant Data'!$D$2:$D$4674,"Health &amp; Beauty",'Tenant Data'!$F$2:$F$4674,"&gt;0",'Tenant Data'!$E$2:$E$4674,"&lt;10000")</f>
        <v>12271</v>
      </c>
      <c r="AP3">
        <f>SUMIFS('Tenant Data'!$E$2:$E$4674,'Tenant Data'!$A$2:$A$4674,"Annapolis Mall",'Tenant Data'!$D$2:$D$4674,"Food &amp; Beverage",'Tenant Data'!$F$2:$F$4674,"&gt;0",'Tenant Data'!$E$2:$E$4674,"&lt;10000")</f>
        <v>10788</v>
      </c>
      <c r="AQ3">
        <f>SUMIFS('Tenant Data'!$E$2:$E$4674,'Tenant Data'!$A$2:$A$4674,"Annapolis Mall",'Tenant Data'!$D$2:$D$4674,"Restaurant",'Tenant Data'!$F$2:$F$4674,"&gt;0",'Tenant Data'!$E$2:$E$4674,"&lt;10000")</f>
        <v>38042</v>
      </c>
      <c r="AR3">
        <f>SUMIFS('Tenant Data'!$E$2:$E$4674,'Tenant Data'!$A$2:$A$4674,"Annapolis Mall",'Tenant Data'!$D$2:$D$4674,"Hobby &amp; Novelty",'Tenant Data'!$F$2:$F$4674,"&gt;0",'Tenant Data'!$E$2:$E$4674,"&lt;10000")</f>
        <v>17011</v>
      </c>
      <c r="AS3">
        <f>SUMIFS('Tenant Data'!$E$2:$E$4674,'Tenant Data'!$A$2:$A$4674,"Annapolis Mall",'Tenant Data'!$D$2:$D$4674,"Service",'Tenant Data'!$F$2:$F$4674,"&gt;0",'Tenant Data'!$E$2:$E$4674,"&lt;10000")</f>
        <v>21797</v>
      </c>
      <c r="AT3">
        <f>SUMIFS('Tenant Data'!$E$2:$E$4674,'Tenant Data'!$A$2:$A$4674,"Annapolis Mall",'Tenant Data'!$D$2:$D$4674,"Tech",'Tenant Data'!$F$2:$F$4674,"&gt;0",'Tenant Data'!$E$2:$E$4674,"&lt;10000")</f>
        <v>5637</v>
      </c>
      <c r="AU3">
        <f>SUMIFS('Tenant Data'!$E$2:$E$4674,'Tenant Data'!$A$2:$A$4674,"Annapolis Mall",'Tenant Data'!$D$2:$D$4674,"Major",'Tenant Data'!$F$2:$F$4674,"&gt;0",'Tenant Data'!$E$2:$E$4674,"&lt;10000")</f>
        <v>8587</v>
      </c>
      <c r="AV3">
        <f>SUMIFS('Tenant Data'!$E$2:$E$4674,'Tenant Data'!$A$2:$A$4674,"Annapolis Mall",'Tenant Data'!$D$2:$D$4674,"Anchor",'Tenant Data'!$F$2:$F$4674,"&gt;0",'Tenant Data'!$E$2:$E$4674,"&lt;10000")</f>
        <v>0</v>
      </c>
      <c r="AW3">
        <f>SUMIFS('Tenant Data'!$E$2:$E$4674,'Tenant Data'!$A$2:$A$4674,"Annapolis Mall",'Tenant Data'!$D$2:$D$4674,"Apple",'Tenant Data'!$F$2:$F$4674,"&gt;0",'Tenant Data'!$E$2:$E$4674,"&lt;10000")</f>
        <v>7896</v>
      </c>
      <c r="AX3">
        <v>1</v>
      </c>
      <c r="AY3" t="str">
        <f>'Property Summary'!B3</f>
        <v>Y</v>
      </c>
      <c r="AZ3">
        <f t="shared" si="12"/>
        <v>310842</v>
      </c>
    </row>
    <row r="4" spans="1:52" x14ac:dyDescent="0.2">
      <c r="A4" t="s">
        <v>41</v>
      </c>
      <c r="B4">
        <f t="shared" si="0"/>
        <v>425.44732452200691</v>
      </c>
      <c r="C4" t="str">
        <f t="shared" si="1"/>
        <v/>
      </c>
      <c r="D4">
        <f t="shared" si="2"/>
        <v>610.81732825137124</v>
      </c>
      <c r="E4">
        <f t="shared" si="3"/>
        <v>703.79791009463725</v>
      </c>
      <c r="F4">
        <f t="shared" si="4"/>
        <v>265.58240993212274</v>
      </c>
      <c r="G4">
        <f t="shared" si="5"/>
        <v>527.8442125091301</v>
      </c>
      <c r="H4">
        <f t="shared" si="6"/>
        <v>652.41709197928697</v>
      </c>
      <c r="I4">
        <f t="shared" si="7"/>
        <v>434.75699067909454</v>
      </c>
      <c r="J4" t="str">
        <f t="shared" si="8"/>
        <v/>
      </c>
      <c r="K4" t="str">
        <f t="shared" si="9"/>
        <v/>
      </c>
      <c r="L4" t="str">
        <f t="shared" si="10"/>
        <v/>
      </c>
      <c r="M4" t="str">
        <f t="shared" si="11"/>
        <v/>
      </c>
      <c r="N4">
        <f>IFERROR(SUMPRODUCT(('Tenant Data'!$A$2:$A$4674="Annapolis Town Center")*('Tenant Data'!$D$2:$D$4674="Apparel")*('Tenant Data'!$F$2:$F$4674&gt;0)*('Tenant Data'!$E$2:$E$4674&lt;10000)*'Tenant Data'!$J$2:$J$4674*'Tenant Data'!$E$2:$E$4674)/SUMPRODUCT(('Tenant Data'!$A$2:$A$4674="Annapolis Town Center")*('Tenant Data'!$D$2:$D$4674="Apparel")*('Tenant Data'!$F$2:$F$4674&gt;0)*('Tenant Data'!$E$2:$E$4674&lt;10000)*'Tenant Data'!$E$2:$E$4674),"")</f>
        <v>9.7533323751293199E-2</v>
      </c>
      <c r="O4" t="str">
        <f>IFERROR(SUMPRODUCT(('Tenant Data'!$A$2:$A$4674="Annapolis Town Center")*('Tenant Data'!$D$2:$D$4674="Shoes")*('Tenant Data'!$F$2:$F$4674&gt;0)*('Tenant Data'!$E$2:$E$4674&lt;10000)*'Tenant Data'!$J$2:$J$4674*'Tenant Data'!$E$2:$E$4674)/SUMPRODUCT(('Tenant Data'!$A$2:$A$4674="Annapolis Town Center")*('Tenant Data'!$D$2:$D$4674="Shoes")*('Tenant Data'!$F$2:$F$4674&gt;0)*('Tenant Data'!$E$2:$E$4674&lt;10000)*'Tenant Data'!$E$2:$E$4674),"")</f>
        <v/>
      </c>
      <c r="P4">
        <f>IFERROR(SUMPRODUCT(('Tenant Data'!$A$2:$A$4674="Annapolis Town Center")*('Tenant Data'!$D$2:$D$4674="Jewelry")*('Tenant Data'!$F$2:$F$4674&gt;0)*('Tenant Data'!$E$2:$E$4674&lt;10000)*'Tenant Data'!$J$2:$J$4674*'Tenant Data'!$E$2:$E$4674)/SUMPRODUCT(('Tenant Data'!$A$2:$A$4674="Annapolis Town Center")*('Tenant Data'!$D$2:$D$4674="Jewelry")*('Tenant Data'!$F$2:$F$4674&gt;0)*('Tenant Data'!$E$2:$E$4674&lt;10000)*'Tenant Data'!$E$2:$E$4674),"")</f>
        <v>0.11183744698559808</v>
      </c>
      <c r="Q4">
        <f>IFERROR(SUMPRODUCT(('Tenant Data'!$A$2:$A$4674="Annapolis Town Center")*('Tenant Data'!$D$2:$D$4674="Health &amp; Beauty")*('Tenant Data'!$F$2:$F$4674&gt;0)*('Tenant Data'!$E$2:$E$4674&lt;10000)*'Tenant Data'!$J$2:$J$4674*'Tenant Data'!$E$2:$E$4674)/SUMPRODUCT(('Tenant Data'!$A$2:$A$4674="Annapolis Town Center")*('Tenant Data'!$D$2:$D$4674="Health &amp; Beauty")*('Tenant Data'!$F$2:$F$4674&gt;0)*('Tenant Data'!$E$2:$E$4674&lt;10000)*'Tenant Data'!$E$2:$E$4674),"")</f>
        <v>7.5000077038084548E-2</v>
      </c>
      <c r="R4">
        <f>IFERROR(SUMPRODUCT(('Tenant Data'!$A$2:$A$4674="Annapolis Town Center")*('Tenant Data'!$D$2:$D$4674="Food &amp; Beverage")*('Tenant Data'!$F$2:$F$4674&gt;0)*('Tenant Data'!$E$2:$E$4674&lt;10000)*'Tenant Data'!$J$2:$J$4674*'Tenant Data'!$E$2:$E$4674)/SUMPRODUCT(('Tenant Data'!$A$2:$A$4674="Annapolis Town Center")*('Tenant Data'!$D$2:$D$4674="Food &amp; Beverage")*('Tenant Data'!$F$2:$F$4674&gt;0)*('Tenant Data'!$E$2:$E$4674&lt;10000)*'Tenant Data'!$E$2:$E$4674),"")</f>
        <v>0.33456823919294171</v>
      </c>
      <c r="S4">
        <f>IFERROR(SUMPRODUCT(('Tenant Data'!$A$2:$A$4674="Annapolis Town Center")*('Tenant Data'!$D$2:$D$4674="Restaurant")*('Tenant Data'!$F$2:$F$4674&gt;0)*('Tenant Data'!$E$2:$E$4674&lt;10000)*'Tenant Data'!$J$2:$J$4674*'Tenant Data'!$E$2:$E$4674)/SUMPRODUCT(('Tenant Data'!$A$2:$A$4674="Annapolis Town Center")*('Tenant Data'!$D$2:$D$4674="Restaurant")*('Tenant Data'!$F$2:$F$4674&gt;0)*('Tenant Data'!$E$2:$E$4674&lt;10000)*'Tenant Data'!$E$2:$E$4674),"")</f>
        <v>0.11627950791888188</v>
      </c>
      <c r="T4">
        <f>IFERROR(SUMPRODUCT(('Tenant Data'!$A$2:$A$4674="Annapolis Town Center")*('Tenant Data'!$D$2:$D$4674="Hobby &amp; Novelty")*('Tenant Data'!$F$2:$F$4674&gt;0)*('Tenant Data'!$E$2:$E$4674&lt;10000)*'Tenant Data'!$J$2:$J$4674*'Tenant Data'!$E$2:$E$4674)/SUMPRODUCT(('Tenant Data'!$A$2:$A$4674="Annapolis Town Center")*('Tenant Data'!$D$2:$D$4674="Hobby &amp; Novelty")*('Tenant Data'!$F$2:$F$4674&gt;0)*('Tenant Data'!$E$2:$E$4674&lt;10000)*'Tenant Data'!$E$2:$E$4674),"")</f>
        <v>8.3679700270758037E-2</v>
      </c>
      <c r="U4">
        <f>IFERROR(SUMPRODUCT(('Tenant Data'!$A$2:$A$4674="Annapolis Town Center")*('Tenant Data'!$D$2:$D$4674="Service")*('Tenant Data'!$F$2:$F$4674&gt;0)*('Tenant Data'!$E$2:$E$4674&lt;10000)*'Tenant Data'!$J$2:$J$4674*'Tenant Data'!$E$2:$E$4674)/SUMPRODUCT(('Tenant Data'!$A$2:$A$4674="Annapolis Town Center")*('Tenant Data'!$D$2:$D$4674="Service")*('Tenant Data'!$F$2:$F$4674&gt;0)*('Tenant Data'!$E$2:$E$4674&lt;10000)*'Tenant Data'!$E$2:$E$4674),"")</f>
        <v>0.12757268439381886</v>
      </c>
      <c r="V4" t="str">
        <f>IFERROR(SUMPRODUCT(('Tenant Data'!$A$2:$A$4674="Annapolis Town Center")*('Tenant Data'!$D$2:$D$4674="Tech")*('Tenant Data'!$F$2:$F$4674&gt;0)*('Tenant Data'!$E$2:$E$4674&lt;10000)*'Tenant Data'!$J$2:$J$4674*'Tenant Data'!$E$2:$E$4674)/SUMPRODUCT(('Tenant Data'!$A$2:$A$4674="Annapolis Town Center")*('Tenant Data'!$D$2:$D$4674="Tech")*('Tenant Data'!$F$2:$F$4674&gt;0)*('Tenant Data'!$E$2:$E$4674&lt;10000)*'Tenant Data'!$E$2:$E$4674),"")</f>
        <v/>
      </c>
      <c r="W4" t="str">
        <f>IFERROR(SUMPRODUCT(('Tenant Data'!$A$2:$A$4674="Annapolis Town Center")*('Tenant Data'!$D$2:$D$4674="Major")*('Tenant Data'!$F$2:$F$4674&gt;0)*('Tenant Data'!$E$2:$E$4674&lt;10000)*'Tenant Data'!$J$2:$J$4674*'Tenant Data'!$E$2:$E$4674)/SUMPRODUCT(('Tenant Data'!$A$2:$A$4674="Annapolis Town Center")*('Tenant Data'!$D$2:$D$4674="Major")*('Tenant Data'!$F$2:$F$4674&gt;0)*('Tenant Data'!$E$2:$E$4674&lt;10000)*'Tenant Data'!$E$2:$E$4674),"")</f>
        <v/>
      </c>
      <c r="X4" t="str">
        <f>IFERROR(SUMPRODUCT(('Tenant Data'!$A$2:$A$4674="Annapolis Town Center")*('Tenant Data'!$D$2:$D$4674="Anchor")*('Tenant Data'!$F$2:$F$4674&gt;0)*('Tenant Data'!$E$2:$E$4674&lt;10000)*'Tenant Data'!$J$2:$J$4674*'Tenant Data'!$E$2:$E$4674)/SUMPRODUCT(('Tenant Data'!$A$2:$A$4674="Annapolis Town Center")*('Tenant Data'!$D$2:$D$4674="Anchor")*('Tenant Data'!$F$2:$F$4674&gt;0)*('Tenant Data'!$E$2:$E$4674&lt;10000)*'Tenant Data'!$E$2:$E$4674),"")</f>
        <v/>
      </c>
      <c r="Y4" t="str">
        <f>IFERROR(SUMPRODUCT(('Tenant Data'!$A$2:$A$4674="Annapolis Town Center")*('Tenant Data'!$D$2:$D$4674="Apple")*('Tenant Data'!$F$2:$F$4674&gt;0)*('Tenant Data'!$E$2:$E$4674&lt;10000)*'Tenant Data'!$J$2:$J$4674*'Tenant Data'!$E$2:$E$4674)/SUMPRODUCT(('Tenant Data'!$A$2:$A$4674="Annapolis Town Center")*('Tenant Data'!$D$2:$D$4674="Apple")*('Tenant Data'!$F$2:$F$4674&gt;0)*('Tenant Data'!$E$2:$E$4674&lt;10000)*'Tenant Data'!$E$2:$E$4674),"")</f>
        <v/>
      </c>
      <c r="Z4">
        <f>SUMIFS('Tenant Data'!$F$2:$F$4674,'Tenant Data'!$A$2:$A$4674,"Annapolis Town Center",'Tenant Data'!$D$2:$D$4674,"Apparel",'Tenant Data'!$E$2:$E$4674,"&lt;10000")</f>
        <v>3315511</v>
      </c>
      <c r="AA4">
        <f>SUMIFS('Tenant Data'!$F$2:$F$4674,'Tenant Data'!$A$2:$A$4674,"Annapolis Town Center",'Tenant Data'!$D$2:$D$4674,"Shoes",'Tenant Data'!$E$2:$E$4674,"&lt;10000")</f>
        <v>0</v>
      </c>
      <c r="AB4">
        <f>SUMIFS('Tenant Data'!$F$2:$F$4674,'Tenant Data'!$A$2:$A$4674,"Annapolis Town Center",'Tenant Data'!$D$2:$D$4674,"Jewelry",'Tenant Data'!$E$2:$E$4674,"&lt;10000")</f>
        <v>6570562</v>
      </c>
      <c r="AC4">
        <f>SUMIFS('Tenant Data'!$F$2:$F$4674,'Tenant Data'!$A$2:$A$4674,"Annapolis Town Center",'Tenant Data'!$D$2:$D$4674,"Health &amp; Beauty",'Tenant Data'!$E$2:$E$4674,"&lt;10000")</f>
        <v>3569663</v>
      </c>
      <c r="AD4">
        <f>SUMIFS('Tenant Data'!$F$2:$F$4674,'Tenant Data'!$A$2:$A$4674,"Annapolis Town Center",'Tenant Data'!$D$2:$D$4674,"Food &amp; Beverage",'Tenant Data'!$E$2:$E$4674,"&lt;10000")</f>
        <v>4577844</v>
      </c>
      <c r="AE4">
        <f>SUMIFS('Tenant Data'!$F$2:$F$4674,'Tenant Data'!$A$2:$A$4674,"Annapolis Town Center",'Tenant Data'!$D$2:$D$4674,"Restaurant",'Tenant Data'!$E$2:$E$4674,"&lt;10000")</f>
        <v>27461623</v>
      </c>
      <c r="AF4">
        <f>SUMIFS('Tenant Data'!$F$2:$F$4674,'Tenant Data'!$A$2:$A$4674,"Annapolis Town Center",'Tenant Data'!$D$2:$D$4674,"Hobby &amp; Novelty",'Tenant Data'!$E$2:$E$4674,"&lt;10000")</f>
        <v>17512832</v>
      </c>
      <c r="AG4">
        <f>SUMIFS('Tenant Data'!$F$2:$F$4674,'Tenant Data'!$A$2:$A$4674,"Annapolis Town Center",'Tenant Data'!$D$2:$D$4674,"Service",'Tenant Data'!$E$2:$E$4674,"&lt;10000")</f>
        <v>5877045</v>
      </c>
      <c r="AH4">
        <f>SUMIFS('Tenant Data'!$F$2:$F$4674,'Tenant Data'!$A$2:$A$4674,"Annapolis Town Center",'Tenant Data'!$D$2:$D$4674,"Tech",'Tenant Data'!$E$2:$E$4674,"&lt;10000")</f>
        <v>0</v>
      </c>
      <c r="AI4">
        <f>SUMIFS('Tenant Data'!$F$2:$F$4674,'Tenant Data'!$A$2:$A$4674,"Annapolis Town Center",'Tenant Data'!$D$2:$D$4674,"Major",'Tenant Data'!$E$2:$E$4674,"&lt;10000")</f>
        <v>0</v>
      </c>
      <c r="AJ4">
        <f>SUMIFS('Tenant Data'!$F$2:$F$4674,'Tenant Data'!$A$2:$A$4674,"Annapolis Town Center",'Tenant Data'!$D$2:$D$4674,"Anchor",'Tenant Data'!$E$2:$E$4674,"&lt;10000")</f>
        <v>0</v>
      </c>
      <c r="AK4">
        <f>SUMIFS('Tenant Data'!$F$2:$F$4674,'Tenant Data'!$A$2:$A$4674,"Annapolis Town Center",'Tenant Data'!$D$2:$D$4674,"Apple",'Tenant Data'!$E$2:$E$4674,"&lt;10000")</f>
        <v>0</v>
      </c>
      <c r="AL4">
        <f>SUMIFS('Tenant Data'!$E$2:$E$4674,'Tenant Data'!$A$2:$A$4674,"Annapolis Town Center",'Tenant Data'!$D$2:$D$4674,"Apparel",'Tenant Data'!$F$2:$F$4674,"&gt;0",'Tenant Data'!$E$2:$E$4674,"&lt;10000")</f>
        <v>7793</v>
      </c>
      <c r="AM4">
        <f>SUMIFS('Tenant Data'!$E$2:$E$4674,'Tenant Data'!$A$2:$A$4674,"Annapolis Town Center",'Tenant Data'!$D$2:$D$4674,"Shoes",'Tenant Data'!$F$2:$F$4674,"&gt;0",'Tenant Data'!$E$2:$E$4674,"&lt;10000")</f>
        <v>0</v>
      </c>
      <c r="AN4">
        <f>SUMIFS('Tenant Data'!$E$2:$E$4674,'Tenant Data'!$A$2:$A$4674,"Annapolis Town Center",'Tenant Data'!$D$2:$D$4674,"Jewelry",'Tenant Data'!$F$2:$F$4674,"&gt;0",'Tenant Data'!$E$2:$E$4674,"&lt;10000")</f>
        <v>10757</v>
      </c>
      <c r="AO4">
        <f>SUMIFS('Tenant Data'!$E$2:$E$4674,'Tenant Data'!$A$2:$A$4674,"Annapolis Town Center",'Tenant Data'!$D$2:$D$4674,"Health &amp; Beauty",'Tenant Data'!$F$2:$F$4674,"&gt;0",'Tenant Data'!$E$2:$E$4674,"&lt;10000")</f>
        <v>5072</v>
      </c>
      <c r="AP4">
        <f>SUMIFS('Tenant Data'!$E$2:$E$4674,'Tenant Data'!$A$2:$A$4674,"Annapolis Town Center",'Tenant Data'!$D$2:$D$4674,"Food &amp; Beverage",'Tenant Data'!$F$2:$F$4674,"&gt;0",'Tenant Data'!$E$2:$E$4674,"&lt;10000")</f>
        <v>17237</v>
      </c>
      <c r="AQ4">
        <f>SUMIFS('Tenant Data'!$E$2:$E$4674,'Tenant Data'!$A$2:$A$4674,"Annapolis Town Center",'Tenant Data'!$D$2:$D$4674,"Restaurant",'Tenant Data'!$F$2:$F$4674,"&gt;0",'Tenant Data'!$E$2:$E$4674,"&lt;10000")</f>
        <v>52026</v>
      </c>
      <c r="AR4">
        <f>SUMIFS('Tenant Data'!$E$2:$E$4674,'Tenant Data'!$A$2:$A$4674,"Annapolis Town Center",'Tenant Data'!$D$2:$D$4674,"Hobby &amp; Novelty",'Tenant Data'!$F$2:$F$4674,"&gt;0",'Tenant Data'!$E$2:$E$4674,"&lt;10000")</f>
        <v>26843</v>
      </c>
      <c r="AS4">
        <f>SUMIFS('Tenant Data'!$E$2:$E$4674,'Tenant Data'!$A$2:$A$4674,"Annapolis Town Center",'Tenant Data'!$D$2:$D$4674,"Service",'Tenant Data'!$F$2:$F$4674,"&gt;0",'Tenant Data'!$E$2:$E$4674,"&lt;10000")</f>
        <v>13518</v>
      </c>
      <c r="AT4">
        <f>SUMIFS('Tenant Data'!$E$2:$E$4674,'Tenant Data'!$A$2:$A$4674,"Annapolis Town Center",'Tenant Data'!$D$2:$D$4674,"Tech",'Tenant Data'!$F$2:$F$4674,"&gt;0",'Tenant Data'!$E$2:$E$4674,"&lt;10000")</f>
        <v>0</v>
      </c>
      <c r="AU4">
        <f>SUMIFS('Tenant Data'!$E$2:$E$4674,'Tenant Data'!$A$2:$A$4674,"Annapolis Town Center",'Tenant Data'!$D$2:$D$4674,"Major",'Tenant Data'!$F$2:$F$4674,"&gt;0",'Tenant Data'!$E$2:$E$4674,"&lt;10000")</f>
        <v>0</v>
      </c>
      <c r="AV4">
        <f>SUMIFS('Tenant Data'!$E$2:$E$4674,'Tenant Data'!$A$2:$A$4674,"Annapolis Town Center",'Tenant Data'!$D$2:$D$4674,"Anchor",'Tenant Data'!$F$2:$F$4674,"&gt;0",'Tenant Data'!$E$2:$E$4674,"&lt;10000")</f>
        <v>0</v>
      </c>
      <c r="AW4">
        <f>SUMIFS('Tenant Data'!$E$2:$E$4674,'Tenant Data'!$A$2:$A$4674,"Annapolis Town Center",'Tenant Data'!$D$2:$D$4674,"Apple",'Tenant Data'!$F$2:$F$4674,"&gt;0",'Tenant Data'!$E$2:$E$4674,"&lt;10000")</f>
        <v>0</v>
      </c>
      <c r="AX4">
        <v>0</v>
      </c>
      <c r="AY4" t="str">
        <f>'Property Summary'!B4</f>
        <v>Y</v>
      </c>
      <c r="AZ4">
        <f t="shared" si="12"/>
        <v>133246</v>
      </c>
    </row>
    <row r="5" spans="1:52" x14ac:dyDescent="0.2">
      <c r="A5" t="s">
        <v>54</v>
      </c>
      <c r="B5">
        <f t="shared" si="0"/>
        <v>521.38037630834947</v>
      </c>
      <c r="C5">
        <f t="shared" si="1"/>
        <v>867.25244956772337</v>
      </c>
      <c r="D5">
        <f t="shared" si="2"/>
        <v>1284.584800190295</v>
      </c>
      <c r="E5">
        <f t="shared" si="3"/>
        <v>1469.3953003448553</v>
      </c>
      <c r="F5">
        <f t="shared" si="4"/>
        <v>829.74931388692858</v>
      </c>
      <c r="G5">
        <f t="shared" si="5"/>
        <v>574.81876780626783</v>
      </c>
      <c r="H5">
        <f t="shared" si="6"/>
        <v>635.17336152219877</v>
      </c>
      <c r="I5">
        <f t="shared" si="7"/>
        <v>590.28914648966997</v>
      </c>
      <c r="J5">
        <f t="shared" si="8"/>
        <v>242.09244372990355</v>
      </c>
      <c r="K5" t="str">
        <f t="shared" si="9"/>
        <v/>
      </c>
      <c r="L5" t="str">
        <f t="shared" si="10"/>
        <v/>
      </c>
      <c r="M5">
        <f t="shared" si="11"/>
        <v>5847.1034339518137</v>
      </c>
      <c r="N5">
        <f>IFERROR(SUMPRODUCT(('Tenant Data'!$A$2:$A$4674="Arden Fair Mall")*('Tenant Data'!$D$2:$D$4674="Apparel")*('Tenant Data'!$F$2:$F$4674&gt;0)*('Tenant Data'!$E$2:$E$4674&lt;10000)*'Tenant Data'!$J$2:$J$4674*'Tenant Data'!$E$2:$E$4674)/SUMPRODUCT(('Tenant Data'!$A$2:$A$4674="Arden Fair Mall")*('Tenant Data'!$D$2:$D$4674="Apparel")*('Tenant Data'!$F$2:$F$4674&gt;0)*('Tenant Data'!$E$2:$E$4674&lt;10000)*'Tenant Data'!$E$2:$E$4674),"")</f>
        <v>0.18759741512947861</v>
      </c>
      <c r="O5">
        <f>IFERROR(SUMPRODUCT(('Tenant Data'!$A$2:$A$4674="Arden Fair Mall")*('Tenant Data'!$D$2:$D$4674="Shoes")*('Tenant Data'!$F$2:$F$4674&gt;0)*('Tenant Data'!$E$2:$E$4674&lt;10000)*'Tenant Data'!$J$2:$J$4674*'Tenant Data'!$E$2:$E$4674)/SUMPRODUCT(('Tenant Data'!$A$2:$A$4674="Arden Fair Mall")*('Tenant Data'!$D$2:$D$4674="Shoes")*('Tenant Data'!$F$2:$F$4674&gt;0)*('Tenant Data'!$E$2:$E$4674&lt;10000)*'Tenant Data'!$E$2:$E$4674),"")</f>
        <v>0.13385858056860697</v>
      </c>
      <c r="P5">
        <f>IFERROR(SUMPRODUCT(('Tenant Data'!$A$2:$A$4674="Arden Fair Mall")*('Tenant Data'!$D$2:$D$4674="Jewelry")*('Tenant Data'!$F$2:$F$4674&gt;0)*('Tenant Data'!$E$2:$E$4674&lt;10000)*'Tenant Data'!$J$2:$J$4674*'Tenant Data'!$E$2:$E$4674)/SUMPRODUCT(('Tenant Data'!$A$2:$A$4674="Arden Fair Mall")*('Tenant Data'!$D$2:$D$4674="Jewelry")*('Tenant Data'!$F$2:$F$4674&gt;0)*('Tenant Data'!$E$2:$E$4674&lt;10000)*'Tenant Data'!$E$2:$E$4674),"")</f>
        <v>0.11304283990908542</v>
      </c>
      <c r="Q5">
        <f>IFERROR(SUMPRODUCT(('Tenant Data'!$A$2:$A$4674="Arden Fair Mall")*('Tenant Data'!$D$2:$D$4674="Health &amp; Beauty")*('Tenant Data'!$F$2:$F$4674&gt;0)*('Tenant Data'!$E$2:$E$4674&lt;10000)*'Tenant Data'!$J$2:$J$4674*'Tenant Data'!$E$2:$E$4674)/SUMPRODUCT(('Tenant Data'!$A$2:$A$4674="Arden Fair Mall")*('Tenant Data'!$D$2:$D$4674="Health &amp; Beauty")*('Tenant Data'!$F$2:$F$4674&gt;0)*('Tenant Data'!$E$2:$E$4674&lt;10000)*'Tenant Data'!$E$2:$E$4674),"")</f>
        <v>0.11799828838739404</v>
      </c>
      <c r="R5">
        <f>IFERROR(SUMPRODUCT(('Tenant Data'!$A$2:$A$4674="Arden Fair Mall")*('Tenant Data'!$D$2:$D$4674="Food &amp; Beverage")*('Tenant Data'!$F$2:$F$4674&gt;0)*('Tenant Data'!$E$2:$E$4674&lt;10000)*'Tenant Data'!$J$2:$J$4674*'Tenant Data'!$E$2:$E$4674)/SUMPRODUCT(('Tenant Data'!$A$2:$A$4674="Arden Fair Mall")*('Tenant Data'!$D$2:$D$4674="Food &amp; Beverage")*('Tenant Data'!$F$2:$F$4674&gt;0)*('Tenant Data'!$E$2:$E$4674&lt;10000)*'Tenant Data'!$E$2:$E$4674),"")</f>
        <v>0.17059692338299395</v>
      </c>
      <c r="S5">
        <f>IFERROR(SUMPRODUCT(('Tenant Data'!$A$2:$A$4674="Arden Fair Mall")*('Tenant Data'!$D$2:$D$4674="Restaurant")*('Tenant Data'!$F$2:$F$4674&gt;0)*('Tenant Data'!$E$2:$E$4674&lt;10000)*'Tenant Data'!$J$2:$J$4674*'Tenant Data'!$E$2:$E$4674)/SUMPRODUCT(('Tenant Data'!$A$2:$A$4674="Arden Fair Mall")*('Tenant Data'!$D$2:$D$4674="Restaurant")*('Tenant Data'!$F$2:$F$4674&gt;0)*('Tenant Data'!$E$2:$E$4674&lt;10000)*'Tenant Data'!$E$2:$E$4674),"")</f>
        <v>0.13568804204677412</v>
      </c>
      <c r="T5">
        <f>IFERROR(SUMPRODUCT(('Tenant Data'!$A$2:$A$4674="Arden Fair Mall")*('Tenant Data'!$D$2:$D$4674="Hobby &amp; Novelty")*('Tenant Data'!$F$2:$F$4674&gt;0)*('Tenant Data'!$E$2:$E$4674&lt;10000)*'Tenant Data'!$J$2:$J$4674*'Tenant Data'!$E$2:$E$4674)/SUMPRODUCT(('Tenant Data'!$A$2:$A$4674="Arden Fair Mall")*('Tenant Data'!$D$2:$D$4674="Hobby &amp; Novelty")*('Tenant Data'!$F$2:$F$4674&gt;0)*('Tenant Data'!$E$2:$E$4674&lt;10000)*'Tenant Data'!$E$2:$E$4674),"")</f>
        <v>0.12290083401057257</v>
      </c>
      <c r="U5">
        <f>IFERROR(SUMPRODUCT(('Tenant Data'!$A$2:$A$4674="Arden Fair Mall")*('Tenant Data'!$D$2:$D$4674="Service")*('Tenant Data'!$F$2:$F$4674&gt;0)*('Tenant Data'!$E$2:$E$4674&lt;10000)*'Tenant Data'!$J$2:$J$4674*'Tenant Data'!$E$2:$E$4674)/SUMPRODUCT(('Tenant Data'!$A$2:$A$4674="Arden Fair Mall")*('Tenant Data'!$D$2:$D$4674="Service")*('Tenant Data'!$F$2:$F$4674&gt;0)*('Tenant Data'!$E$2:$E$4674&lt;10000)*'Tenant Data'!$E$2:$E$4674),"")</f>
        <v>0.17725087089093305</v>
      </c>
      <c r="V5">
        <f>IFERROR(SUMPRODUCT(('Tenant Data'!$A$2:$A$4674="Arden Fair Mall")*('Tenant Data'!$D$2:$D$4674="Tech")*('Tenant Data'!$F$2:$F$4674&gt;0)*('Tenant Data'!$E$2:$E$4674&lt;10000)*'Tenant Data'!$J$2:$J$4674*'Tenant Data'!$E$2:$E$4674)/SUMPRODUCT(('Tenant Data'!$A$2:$A$4674="Arden Fair Mall")*('Tenant Data'!$D$2:$D$4674="Tech")*('Tenant Data'!$F$2:$F$4674&gt;0)*('Tenant Data'!$E$2:$E$4674&lt;10000)*'Tenant Data'!$E$2:$E$4674),"")</f>
        <v>0.47053223669574284</v>
      </c>
      <c r="W5" t="str">
        <f>IFERROR(SUMPRODUCT(('Tenant Data'!$A$2:$A$4674="Arden Fair Mall")*('Tenant Data'!$D$2:$D$4674="Major")*('Tenant Data'!$F$2:$F$4674&gt;0)*('Tenant Data'!$E$2:$E$4674&lt;10000)*'Tenant Data'!$J$2:$J$4674*'Tenant Data'!$E$2:$E$4674)/SUMPRODUCT(('Tenant Data'!$A$2:$A$4674="Arden Fair Mall")*('Tenant Data'!$D$2:$D$4674="Major")*('Tenant Data'!$F$2:$F$4674&gt;0)*('Tenant Data'!$E$2:$E$4674&lt;10000)*'Tenant Data'!$E$2:$E$4674),"")</f>
        <v/>
      </c>
      <c r="X5" t="str">
        <f>IFERROR(SUMPRODUCT(('Tenant Data'!$A$2:$A$4674="Arden Fair Mall")*('Tenant Data'!$D$2:$D$4674="Anchor")*('Tenant Data'!$F$2:$F$4674&gt;0)*('Tenant Data'!$E$2:$E$4674&lt;10000)*'Tenant Data'!$J$2:$J$4674*'Tenant Data'!$E$2:$E$4674)/SUMPRODUCT(('Tenant Data'!$A$2:$A$4674="Arden Fair Mall")*('Tenant Data'!$D$2:$D$4674="Anchor")*('Tenant Data'!$F$2:$F$4674&gt;0)*('Tenant Data'!$E$2:$E$4674&lt;10000)*'Tenant Data'!$E$2:$E$4674),"")</f>
        <v/>
      </c>
      <c r="Y5">
        <f>IFERROR(SUMPRODUCT(('Tenant Data'!$A$2:$A$4674="Arden Fair Mall")*('Tenant Data'!$D$2:$D$4674="Apple")*('Tenant Data'!$F$2:$F$4674&gt;0)*('Tenant Data'!$E$2:$E$4674&lt;10000)*'Tenant Data'!$J$2:$J$4674*'Tenant Data'!$E$2:$E$4674)/SUMPRODUCT(('Tenant Data'!$A$2:$A$4674="Arden Fair Mall")*('Tenant Data'!$D$2:$D$4674="Apple")*('Tenant Data'!$F$2:$F$4674&gt;0)*('Tenant Data'!$E$2:$E$4674&lt;10000)*'Tenant Data'!$E$2:$E$4674),"")</f>
        <v>2.2651298442605831E-2</v>
      </c>
      <c r="Z5">
        <f>SUMIFS('Tenant Data'!$F$2:$F$4674,'Tenant Data'!$A$2:$A$4674,"Arden Fair Mall",'Tenant Data'!$D$2:$D$4674,"Apparel",'Tenant Data'!$E$2:$E$4674,"&lt;10000")</f>
        <v>58828912</v>
      </c>
      <c r="AA5">
        <f>SUMIFS('Tenant Data'!$F$2:$F$4674,'Tenant Data'!$A$2:$A$4674,"Arden Fair Mall",'Tenant Data'!$D$2:$D$4674,"Shoes",'Tenant Data'!$E$2:$E$4674,"&lt;10000")</f>
        <v>39121758</v>
      </c>
      <c r="AB5">
        <f>SUMIFS('Tenant Data'!$F$2:$F$4674,'Tenant Data'!$A$2:$A$4674,"Arden Fair Mall",'Tenant Data'!$D$2:$D$4674,"Jewelry",'Tenant Data'!$E$2:$E$4674,"&lt;10000")</f>
        <v>10800789</v>
      </c>
      <c r="AC5">
        <f>SUMIFS('Tenant Data'!$F$2:$F$4674,'Tenant Data'!$A$2:$A$4674,"Arden Fair Mall",'Tenant Data'!$D$2:$D$4674,"Health &amp; Beauty",'Tenant Data'!$E$2:$E$4674,"&lt;10000")</f>
        <v>18321890</v>
      </c>
      <c r="AD5">
        <f>SUMIFS('Tenant Data'!$F$2:$F$4674,'Tenant Data'!$A$2:$A$4674,"Arden Fair Mall",'Tenant Data'!$D$2:$D$4674,"Food &amp; Beverage",'Tenant Data'!$E$2:$E$4674,"&lt;10000")</f>
        <v>10581793</v>
      </c>
      <c r="AE5">
        <f>SUMIFS('Tenant Data'!$F$2:$F$4674,'Tenant Data'!$A$2:$A$4674,"Arden Fair Mall",'Tenant Data'!$D$2:$D$4674,"Restaurant",'Tenant Data'!$E$2:$E$4674,"&lt;10000")</f>
        <v>16140911</v>
      </c>
      <c r="AF5">
        <f>SUMIFS('Tenant Data'!$F$2:$F$4674,'Tenant Data'!$A$2:$A$4674,"Arden Fair Mall",'Tenant Data'!$D$2:$D$4674,"Hobby &amp; Novelty",'Tenant Data'!$E$2:$E$4674,"&lt;10000")</f>
        <v>4806992</v>
      </c>
      <c r="AG5">
        <f>SUMIFS('Tenant Data'!$F$2:$F$4674,'Tenant Data'!$A$2:$A$4674,"Arden Fair Mall",'Tenant Data'!$D$2:$D$4674,"Service",'Tenant Data'!$E$2:$E$4674,"&lt;10000")</f>
        <v>6314323</v>
      </c>
      <c r="AH5">
        <f>SUMIFS('Tenant Data'!$F$2:$F$4674,'Tenant Data'!$A$2:$A$4674,"Arden Fair Mall",'Tenant Data'!$D$2:$D$4674,"Tech",'Tenant Data'!$E$2:$E$4674,"&lt;10000")</f>
        <v>301163</v>
      </c>
      <c r="AI5">
        <f>SUMIFS('Tenant Data'!$F$2:$F$4674,'Tenant Data'!$A$2:$A$4674,"Arden Fair Mall",'Tenant Data'!$D$2:$D$4674,"Major",'Tenant Data'!$E$2:$E$4674,"&lt;10000")</f>
        <v>0</v>
      </c>
      <c r="AJ5">
        <f>SUMIFS('Tenant Data'!$F$2:$F$4674,'Tenant Data'!$A$2:$A$4674,"Arden Fair Mall",'Tenant Data'!$D$2:$D$4674,"Anchor",'Tenant Data'!$E$2:$E$4674,"&lt;10000")</f>
        <v>0</v>
      </c>
      <c r="AK5">
        <f>SUMIFS('Tenant Data'!$F$2:$F$4674,'Tenant Data'!$A$2:$A$4674,"Arden Fair Mall",'Tenant Data'!$D$2:$D$4674,"Apple",'Tenant Data'!$E$2:$E$4674,"&lt;10000")</f>
        <v>42227781</v>
      </c>
      <c r="AL5">
        <f>SUMIFS('Tenant Data'!$E$2:$E$4674,'Tenant Data'!$A$2:$A$4674,"Arden Fair Mall",'Tenant Data'!$D$2:$D$4674,"Apparel",'Tenant Data'!$F$2:$F$4674,"&gt;0",'Tenant Data'!$E$2:$E$4674,"&lt;10000")</f>
        <v>112833</v>
      </c>
      <c r="AM5">
        <f>SUMIFS('Tenant Data'!$E$2:$E$4674,'Tenant Data'!$A$2:$A$4674,"Arden Fair Mall",'Tenant Data'!$D$2:$D$4674,"Shoes",'Tenant Data'!$F$2:$F$4674,"&gt;0",'Tenant Data'!$E$2:$E$4674,"&lt;10000")</f>
        <v>45110</v>
      </c>
      <c r="AN5">
        <f>SUMIFS('Tenant Data'!$E$2:$E$4674,'Tenant Data'!$A$2:$A$4674,"Arden Fair Mall",'Tenant Data'!$D$2:$D$4674,"Jewelry",'Tenant Data'!$F$2:$F$4674,"&gt;0",'Tenant Data'!$E$2:$E$4674,"&lt;10000")</f>
        <v>8408</v>
      </c>
      <c r="AO5">
        <f>SUMIFS('Tenant Data'!$E$2:$E$4674,'Tenant Data'!$A$2:$A$4674,"Arden Fair Mall",'Tenant Data'!$D$2:$D$4674,"Health &amp; Beauty",'Tenant Data'!$F$2:$F$4674,"&gt;0",'Tenant Data'!$E$2:$E$4674,"&lt;10000")</f>
        <v>12469</v>
      </c>
      <c r="AP5">
        <f>SUMIFS('Tenant Data'!$E$2:$E$4674,'Tenant Data'!$A$2:$A$4674,"Arden Fair Mall",'Tenant Data'!$D$2:$D$4674,"Food &amp; Beverage",'Tenant Data'!$F$2:$F$4674,"&gt;0",'Tenant Data'!$E$2:$E$4674,"&lt;10000")</f>
        <v>12753</v>
      </c>
      <c r="AQ5">
        <f>SUMIFS('Tenant Data'!$E$2:$E$4674,'Tenant Data'!$A$2:$A$4674,"Arden Fair Mall",'Tenant Data'!$D$2:$D$4674,"Restaurant",'Tenant Data'!$F$2:$F$4674,"&gt;0",'Tenant Data'!$E$2:$E$4674,"&lt;10000")</f>
        <v>28080</v>
      </c>
      <c r="AR5">
        <f>SUMIFS('Tenant Data'!$E$2:$E$4674,'Tenant Data'!$A$2:$A$4674,"Arden Fair Mall",'Tenant Data'!$D$2:$D$4674,"Hobby &amp; Novelty",'Tenant Data'!$F$2:$F$4674,"&gt;0",'Tenant Data'!$E$2:$E$4674,"&lt;10000")</f>
        <v>7568</v>
      </c>
      <c r="AS5">
        <f>SUMIFS('Tenant Data'!$E$2:$E$4674,'Tenant Data'!$A$2:$A$4674,"Arden Fair Mall",'Tenant Data'!$D$2:$D$4674,"Service",'Tenant Data'!$F$2:$F$4674,"&gt;0",'Tenant Data'!$E$2:$E$4674,"&lt;10000")</f>
        <v>10697</v>
      </c>
      <c r="AT5">
        <f>SUMIFS('Tenant Data'!$E$2:$E$4674,'Tenant Data'!$A$2:$A$4674,"Arden Fair Mall",'Tenant Data'!$D$2:$D$4674,"Tech",'Tenant Data'!$F$2:$F$4674,"&gt;0",'Tenant Data'!$E$2:$E$4674,"&lt;10000")</f>
        <v>1244</v>
      </c>
      <c r="AU5">
        <f>SUMIFS('Tenant Data'!$E$2:$E$4674,'Tenant Data'!$A$2:$A$4674,"Arden Fair Mall",'Tenant Data'!$D$2:$D$4674,"Major",'Tenant Data'!$F$2:$F$4674,"&gt;0",'Tenant Data'!$E$2:$E$4674,"&lt;10000")</f>
        <v>0</v>
      </c>
      <c r="AV5">
        <f>SUMIFS('Tenant Data'!$E$2:$E$4674,'Tenant Data'!$A$2:$A$4674,"Arden Fair Mall",'Tenant Data'!$D$2:$D$4674,"Anchor",'Tenant Data'!$F$2:$F$4674,"&gt;0",'Tenant Data'!$E$2:$E$4674,"&lt;10000")</f>
        <v>0</v>
      </c>
      <c r="AW5">
        <f>SUMIFS('Tenant Data'!$E$2:$E$4674,'Tenant Data'!$A$2:$A$4674,"Arden Fair Mall",'Tenant Data'!$D$2:$D$4674,"Apple",'Tenant Data'!$F$2:$F$4674,"&gt;0",'Tenant Data'!$E$2:$E$4674,"&lt;10000")</f>
        <v>7222</v>
      </c>
      <c r="AX5">
        <v>1</v>
      </c>
      <c r="AY5" t="str">
        <f>'Property Summary'!B5</f>
        <v>Y</v>
      </c>
      <c r="AZ5">
        <f t="shared" si="12"/>
        <v>246384</v>
      </c>
    </row>
    <row r="6" spans="1:52" x14ac:dyDescent="0.2">
      <c r="A6" t="s">
        <v>21</v>
      </c>
      <c r="B6">
        <f t="shared" si="0"/>
        <v>179.49132263906856</v>
      </c>
      <c r="C6">
        <f t="shared" si="1"/>
        <v>621.26077646239548</v>
      </c>
      <c r="D6">
        <f t="shared" si="2"/>
        <v>343.92181682799702</v>
      </c>
      <c r="E6">
        <f t="shared" si="3"/>
        <v>244.19094617819994</v>
      </c>
      <c r="F6">
        <f t="shared" si="4"/>
        <v>403.0654952897516</v>
      </c>
      <c r="G6">
        <f t="shared" si="5"/>
        <v>462.40484733811257</v>
      </c>
      <c r="H6">
        <f t="shared" si="6"/>
        <v>156.96852930852933</v>
      </c>
      <c r="I6">
        <f t="shared" si="7"/>
        <v>332.63556482253733</v>
      </c>
      <c r="J6">
        <f t="shared" si="8"/>
        <v>1079.3990024937657</v>
      </c>
      <c r="K6" t="str">
        <f t="shared" si="9"/>
        <v/>
      </c>
      <c r="L6" t="str">
        <f t="shared" si="10"/>
        <v/>
      </c>
      <c r="M6" t="str">
        <f t="shared" si="11"/>
        <v/>
      </c>
      <c r="N6">
        <f>IFERROR(SUMPRODUCT(('Tenant Data'!$A$2:$A$4674="Belmar")*('Tenant Data'!$D$2:$D$4674="Apparel")*('Tenant Data'!$F$2:$F$4674&gt;0)*('Tenant Data'!$E$2:$E$4674&lt;10000)*'Tenant Data'!$J$2:$J$4674*'Tenant Data'!$E$2:$E$4674)/SUMPRODUCT(('Tenant Data'!$A$2:$A$4674="Belmar")*('Tenant Data'!$D$2:$D$4674="Apparel")*('Tenant Data'!$F$2:$F$4674&gt;0)*('Tenant Data'!$E$2:$E$4674&lt;10000)*'Tenant Data'!$E$2:$E$4674),"")</f>
        <v>6.366150503799281E-2</v>
      </c>
      <c r="O6">
        <f>IFERROR(SUMPRODUCT(('Tenant Data'!$A$2:$A$4674="Belmar")*('Tenant Data'!$D$2:$D$4674="Shoes")*('Tenant Data'!$F$2:$F$4674&gt;0)*('Tenant Data'!$E$2:$E$4674&lt;10000)*'Tenant Data'!$J$2:$J$4674*'Tenant Data'!$E$2:$E$4674)/SUMPRODUCT(('Tenant Data'!$A$2:$A$4674="Belmar")*('Tenant Data'!$D$2:$D$4674="Shoes")*('Tenant Data'!$F$2:$F$4674&gt;0)*('Tenant Data'!$E$2:$E$4674&lt;10000)*'Tenant Data'!$E$2:$E$4674),"")</f>
        <v>8.011944665380924E-2</v>
      </c>
      <c r="P6">
        <f>IFERROR(SUMPRODUCT(('Tenant Data'!$A$2:$A$4674="Belmar")*('Tenant Data'!$D$2:$D$4674="Jewelry")*('Tenant Data'!$F$2:$F$4674&gt;0)*('Tenant Data'!$E$2:$E$4674&lt;10000)*'Tenant Data'!$J$2:$J$4674*'Tenant Data'!$E$2:$E$4674)/SUMPRODUCT(('Tenant Data'!$A$2:$A$4674="Belmar")*('Tenant Data'!$D$2:$D$4674="Jewelry")*('Tenant Data'!$F$2:$F$4674&gt;0)*('Tenant Data'!$E$2:$E$4674&lt;10000)*'Tenant Data'!$E$2:$E$4674),"")</f>
        <v>0.14940641056954168</v>
      </c>
      <c r="Q6">
        <f>IFERROR(SUMPRODUCT(('Tenant Data'!$A$2:$A$4674="Belmar")*('Tenant Data'!$D$2:$D$4674="Health &amp; Beauty")*('Tenant Data'!$F$2:$F$4674&gt;0)*('Tenant Data'!$E$2:$E$4674&lt;10000)*'Tenant Data'!$J$2:$J$4674*'Tenant Data'!$E$2:$E$4674)/SUMPRODUCT(('Tenant Data'!$A$2:$A$4674="Belmar")*('Tenant Data'!$D$2:$D$4674="Health &amp; Beauty")*('Tenant Data'!$F$2:$F$4674&gt;0)*('Tenant Data'!$E$2:$E$4674&lt;10000)*'Tenant Data'!$E$2:$E$4674),"")</f>
        <v>8.2732808404947303E-2</v>
      </c>
      <c r="R6">
        <f>IFERROR(SUMPRODUCT(('Tenant Data'!$A$2:$A$4674="Belmar")*('Tenant Data'!$D$2:$D$4674="Food &amp; Beverage")*('Tenant Data'!$F$2:$F$4674&gt;0)*('Tenant Data'!$E$2:$E$4674&lt;10000)*'Tenant Data'!$J$2:$J$4674*'Tenant Data'!$E$2:$E$4674)/SUMPRODUCT(('Tenant Data'!$A$2:$A$4674="Belmar")*('Tenant Data'!$D$2:$D$4674="Food &amp; Beverage")*('Tenant Data'!$F$2:$F$4674&gt;0)*('Tenant Data'!$E$2:$E$4674&lt;10000)*'Tenant Data'!$E$2:$E$4674),"")</f>
        <v>0.12453200743745931</v>
      </c>
      <c r="S6">
        <f>IFERROR(SUMPRODUCT(('Tenant Data'!$A$2:$A$4674="Belmar")*('Tenant Data'!$D$2:$D$4674="Restaurant")*('Tenant Data'!$F$2:$F$4674&gt;0)*('Tenant Data'!$E$2:$E$4674&lt;10000)*'Tenant Data'!$J$2:$J$4674*'Tenant Data'!$E$2:$E$4674)/SUMPRODUCT(('Tenant Data'!$A$2:$A$4674="Belmar")*('Tenant Data'!$D$2:$D$4674="Restaurant")*('Tenant Data'!$F$2:$F$4674&gt;0)*('Tenant Data'!$E$2:$E$4674&lt;10000)*'Tenant Data'!$E$2:$E$4674),"")</f>
        <v>8.4874390874263156E-2</v>
      </c>
      <c r="T6">
        <f>IFERROR(SUMPRODUCT(('Tenant Data'!$A$2:$A$4674="Belmar")*('Tenant Data'!$D$2:$D$4674="Hobby &amp; Novelty")*('Tenant Data'!$F$2:$F$4674&gt;0)*('Tenant Data'!$E$2:$E$4674&lt;10000)*'Tenant Data'!$J$2:$J$4674*'Tenant Data'!$E$2:$E$4674)/SUMPRODUCT(('Tenant Data'!$A$2:$A$4674="Belmar")*('Tenant Data'!$D$2:$D$4674="Hobby &amp; Novelty")*('Tenant Data'!$F$2:$F$4674&gt;0)*('Tenant Data'!$E$2:$E$4674&lt;10000)*'Tenant Data'!$E$2:$E$4674),"")</f>
        <v>0.18856522851551147</v>
      </c>
      <c r="U6">
        <f>IFERROR(SUMPRODUCT(('Tenant Data'!$A$2:$A$4674="Belmar")*('Tenant Data'!$D$2:$D$4674="Service")*('Tenant Data'!$F$2:$F$4674&gt;0)*('Tenant Data'!$E$2:$E$4674&lt;10000)*'Tenant Data'!$J$2:$J$4674*'Tenant Data'!$E$2:$E$4674)/SUMPRODUCT(('Tenant Data'!$A$2:$A$4674="Belmar")*('Tenant Data'!$D$2:$D$4674="Service")*('Tenant Data'!$F$2:$F$4674&gt;0)*('Tenant Data'!$E$2:$E$4674&lt;10000)*'Tenant Data'!$E$2:$E$4674),"")</f>
        <v>0.16091234747965497</v>
      </c>
      <c r="V6">
        <f>IFERROR(SUMPRODUCT(('Tenant Data'!$A$2:$A$4674="Belmar")*('Tenant Data'!$D$2:$D$4674="Tech")*('Tenant Data'!$F$2:$F$4674&gt;0)*('Tenant Data'!$E$2:$E$4674&lt;10000)*'Tenant Data'!$J$2:$J$4674*'Tenant Data'!$E$2:$E$4674)/SUMPRODUCT(('Tenant Data'!$A$2:$A$4674="Belmar")*('Tenant Data'!$D$2:$D$4674="Tech")*('Tenant Data'!$F$2:$F$4674&gt;0)*('Tenant Data'!$E$2:$E$4674&lt;10000)*'Tenant Data'!$E$2:$E$4674),"")</f>
        <v>8.133509226294304E-2</v>
      </c>
      <c r="W6" t="str">
        <f>IFERROR(SUMPRODUCT(('Tenant Data'!$A$2:$A$4674="Belmar")*('Tenant Data'!$D$2:$D$4674="Major")*('Tenant Data'!$F$2:$F$4674&gt;0)*('Tenant Data'!$E$2:$E$4674&lt;10000)*'Tenant Data'!$J$2:$J$4674*'Tenant Data'!$E$2:$E$4674)/SUMPRODUCT(('Tenant Data'!$A$2:$A$4674="Belmar")*('Tenant Data'!$D$2:$D$4674="Major")*('Tenant Data'!$F$2:$F$4674&gt;0)*('Tenant Data'!$E$2:$E$4674&lt;10000)*'Tenant Data'!$E$2:$E$4674),"")</f>
        <v/>
      </c>
      <c r="X6" t="str">
        <f>IFERROR(SUMPRODUCT(('Tenant Data'!$A$2:$A$4674="Belmar")*('Tenant Data'!$D$2:$D$4674="Anchor")*('Tenant Data'!$F$2:$F$4674&gt;0)*('Tenant Data'!$E$2:$E$4674&lt;10000)*'Tenant Data'!$J$2:$J$4674*'Tenant Data'!$E$2:$E$4674)/SUMPRODUCT(('Tenant Data'!$A$2:$A$4674="Belmar")*('Tenant Data'!$D$2:$D$4674="Anchor")*('Tenant Data'!$F$2:$F$4674&gt;0)*('Tenant Data'!$E$2:$E$4674&lt;10000)*'Tenant Data'!$E$2:$E$4674),"")</f>
        <v/>
      </c>
      <c r="Y6" t="str">
        <f>IFERROR(SUMPRODUCT(('Tenant Data'!$A$2:$A$4674="Belmar")*('Tenant Data'!$D$2:$D$4674="Apple")*('Tenant Data'!$F$2:$F$4674&gt;0)*('Tenant Data'!$E$2:$E$4674&lt;10000)*'Tenant Data'!$J$2:$J$4674*'Tenant Data'!$E$2:$E$4674)/SUMPRODUCT(('Tenant Data'!$A$2:$A$4674="Belmar")*('Tenant Data'!$D$2:$D$4674="Apple")*('Tenant Data'!$F$2:$F$4674&gt;0)*('Tenant Data'!$E$2:$E$4674&lt;10000)*'Tenant Data'!$E$2:$E$4674),"")</f>
        <v/>
      </c>
      <c r="Z6">
        <f>SUMIFS('Tenant Data'!$F$2:$F$4674,'Tenant Data'!$A$2:$A$4674,"Belmar",'Tenant Data'!$D$2:$D$4674,"Apparel",'Tenant Data'!$E$2:$E$4674,"&lt;10000")</f>
        <v>3468669.81</v>
      </c>
      <c r="AA6">
        <f>SUMIFS('Tenant Data'!$F$2:$F$4674,'Tenant Data'!$A$2:$A$4674,"Belmar",'Tenant Data'!$D$2:$D$4674,"Shoes",'Tenant Data'!$E$2:$E$4674,"&lt;10000")</f>
        <v>1784260.95</v>
      </c>
      <c r="AB6">
        <f>SUMIFS('Tenant Data'!$F$2:$F$4674,'Tenant Data'!$A$2:$A$4674,"Belmar",'Tenant Data'!$D$2:$D$4674,"Jewelry",'Tenant Data'!$E$2:$E$4674,"&lt;10000")</f>
        <v>923774</v>
      </c>
      <c r="AC6">
        <f>SUMIFS('Tenant Data'!$F$2:$F$4674,'Tenant Data'!$A$2:$A$4674,"Belmar",'Tenant Data'!$D$2:$D$4674,"Health &amp; Beauty",'Tenant Data'!$E$2:$E$4674,"&lt;10000")</f>
        <v>2699530.91</v>
      </c>
      <c r="AD6">
        <f>SUMIFS('Tenant Data'!$F$2:$F$4674,'Tenant Data'!$A$2:$A$4674,"Belmar",'Tenant Data'!$D$2:$D$4674,"Food &amp; Beverage",'Tenant Data'!$E$2:$E$4674,"&lt;10000")</f>
        <v>5647753.7199999997</v>
      </c>
      <c r="AE6">
        <f>SUMIFS('Tenant Data'!$F$2:$F$4674,'Tenant Data'!$A$2:$A$4674,"Belmar",'Tenant Data'!$D$2:$D$4674,"Restaurant",'Tenant Data'!$E$2:$E$4674,"&lt;10000")</f>
        <v>19673014.23</v>
      </c>
      <c r="AF6">
        <f>SUMIFS('Tenant Data'!$F$2:$F$4674,'Tenant Data'!$A$2:$A$4674,"Belmar",'Tenant Data'!$D$2:$D$4674,"Hobby &amp; Novelty",'Tenant Data'!$E$2:$E$4674,"&lt;10000")</f>
        <v>447203.34</v>
      </c>
      <c r="AG6">
        <f>SUMIFS('Tenant Data'!$F$2:$F$4674,'Tenant Data'!$A$2:$A$4674,"Belmar",'Tenant Data'!$D$2:$D$4674,"Service",'Tenant Data'!$E$2:$E$4674,"&lt;10000")</f>
        <v>7178940.7600000007</v>
      </c>
      <c r="AH6">
        <f>SUMIFS('Tenant Data'!$F$2:$F$4674,'Tenant Data'!$A$2:$A$4674,"Belmar",'Tenant Data'!$D$2:$D$4674,"Tech",'Tenant Data'!$E$2:$E$4674,"&lt;10000")</f>
        <v>3029873</v>
      </c>
      <c r="AI6">
        <f>SUMIFS('Tenant Data'!$F$2:$F$4674,'Tenant Data'!$A$2:$A$4674,"Belmar",'Tenant Data'!$D$2:$D$4674,"Major",'Tenant Data'!$E$2:$E$4674,"&lt;10000")</f>
        <v>0</v>
      </c>
      <c r="AJ6">
        <f>SUMIFS('Tenant Data'!$F$2:$F$4674,'Tenant Data'!$A$2:$A$4674,"Belmar",'Tenant Data'!$D$2:$D$4674,"Anchor",'Tenant Data'!$E$2:$E$4674,"&lt;10000")</f>
        <v>0</v>
      </c>
      <c r="AK6">
        <f>SUMIFS('Tenant Data'!$F$2:$F$4674,'Tenant Data'!$A$2:$A$4674,"Belmar",'Tenant Data'!$D$2:$D$4674,"Apple",'Tenant Data'!$E$2:$E$4674,"&lt;10000")</f>
        <v>0</v>
      </c>
      <c r="AL6">
        <f>SUMIFS('Tenant Data'!$E$2:$E$4674,'Tenant Data'!$A$2:$A$4674,"Belmar",'Tenant Data'!$D$2:$D$4674,"Apparel",'Tenant Data'!$F$2:$F$4674,"&gt;0",'Tenant Data'!$E$2:$E$4674,"&lt;10000")</f>
        <v>19325</v>
      </c>
      <c r="AM6">
        <f>SUMIFS('Tenant Data'!$E$2:$E$4674,'Tenant Data'!$A$2:$A$4674,"Belmar",'Tenant Data'!$D$2:$D$4674,"Shoes",'Tenant Data'!$F$2:$F$4674,"&gt;0",'Tenant Data'!$E$2:$E$4674,"&lt;10000")</f>
        <v>2872</v>
      </c>
      <c r="AN6">
        <f>SUMIFS('Tenant Data'!$E$2:$E$4674,'Tenant Data'!$A$2:$A$4674,"Belmar",'Tenant Data'!$D$2:$D$4674,"Jewelry",'Tenant Data'!$F$2:$F$4674,"&gt;0",'Tenant Data'!$E$2:$E$4674,"&lt;10000")</f>
        <v>2686</v>
      </c>
      <c r="AO6">
        <f>SUMIFS('Tenant Data'!$E$2:$E$4674,'Tenant Data'!$A$2:$A$4674,"Belmar",'Tenant Data'!$D$2:$D$4674,"Health &amp; Beauty",'Tenant Data'!$F$2:$F$4674,"&gt;0",'Tenant Data'!$E$2:$E$4674,"&lt;10000")</f>
        <v>11055</v>
      </c>
      <c r="AP6">
        <f>SUMIFS('Tenant Data'!$E$2:$E$4674,'Tenant Data'!$A$2:$A$4674,"Belmar",'Tenant Data'!$D$2:$D$4674,"Food &amp; Beverage",'Tenant Data'!$F$2:$F$4674,"&gt;0",'Tenant Data'!$E$2:$E$4674,"&lt;10000")</f>
        <v>14012</v>
      </c>
      <c r="AQ6">
        <f>SUMIFS('Tenant Data'!$E$2:$E$4674,'Tenant Data'!$A$2:$A$4674,"Belmar",'Tenant Data'!$D$2:$D$4674,"Restaurant",'Tenant Data'!$F$2:$F$4674,"&gt;0",'Tenant Data'!$E$2:$E$4674,"&lt;10000")</f>
        <v>42545</v>
      </c>
      <c r="AR6">
        <f>SUMIFS('Tenant Data'!$E$2:$E$4674,'Tenant Data'!$A$2:$A$4674,"Belmar",'Tenant Data'!$D$2:$D$4674,"Hobby &amp; Novelty",'Tenant Data'!$F$2:$F$4674,"&gt;0",'Tenant Data'!$E$2:$E$4674,"&lt;10000")</f>
        <v>2849</v>
      </c>
      <c r="AS6">
        <f>SUMIFS('Tenant Data'!$E$2:$E$4674,'Tenant Data'!$A$2:$A$4674,"Belmar",'Tenant Data'!$D$2:$D$4674,"Service",'Tenant Data'!$F$2:$F$4674,"&gt;0",'Tenant Data'!$E$2:$E$4674,"&lt;10000")</f>
        <v>21582</v>
      </c>
      <c r="AT6">
        <f>SUMIFS('Tenant Data'!$E$2:$E$4674,'Tenant Data'!$A$2:$A$4674,"Belmar",'Tenant Data'!$D$2:$D$4674,"Tech",'Tenant Data'!$F$2:$F$4674,"&gt;0",'Tenant Data'!$E$2:$E$4674,"&lt;10000")</f>
        <v>2807</v>
      </c>
      <c r="AU6">
        <f>SUMIFS('Tenant Data'!$E$2:$E$4674,'Tenant Data'!$A$2:$A$4674,"Belmar",'Tenant Data'!$D$2:$D$4674,"Major",'Tenant Data'!$F$2:$F$4674,"&gt;0",'Tenant Data'!$E$2:$E$4674,"&lt;10000")</f>
        <v>0</v>
      </c>
      <c r="AV6">
        <f>SUMIFS('Tenant Data'!$E$2:$E$4674,'Tenant Data'!$A$2:$A$4674,"Belmar",'Tenant Data'!$D$2:$D$4674,"Anchor",'Tenant Data'!$F$2:$F$4674,"&gt;0",'Tenant Data'!$E$2:$E$4674,"&lt;10000")</f>
        <v>0</v>
      </c>
      <c r="AW6">
        <f>SUMIFS('Tenant Data'!$E$2:$E$4674,'Tenant Data'!$A$2:$A$4674,"Belmar",'Tenant Data'!$D$2:$D$4674,"Apple",'Tenant Data'!$F$2:$F$4674,"&gt;0",'Tenant Data'!$E$2:$E$4674,"&lt;10000")</f>
        <v>0</v>
      </c>
      <c r="AX6">
        <v>0</v>
      </c>
      <c r="AY6" t="str">
        <f>'Property Summary'!B6</f>
        <v>Y</v>
      </c>
      <c r="AZ6">
        <f t="shared" si="12"/>
        <v>119733</v>
      </c>
    </row>
    <row r="7" spans="1:52" x14ac:dyDescent="0.2">
      <c r="A7" t="s">
        <v>32</v>
      </c>
      <c r="B7">
        <f t="shared" si="0"/>
        <v>409.25977210142958</v>
      </c>
      <c r="C7">
        <f t="shared" si="1"/>
        <v>784.52577297143807</v>
      </c>
      <c r="D7">
        <f t="shared" si="2"/>
        <v>1252.7328324934267</v>
      </c>
      <c r="E7">
        <f t="shared" si="3"/>
        <v>1201.9428735724625</v>
      </c>
      <c r="F7">
        <f t="shared" si="4"/>
        <v>1070.7666204986149</v>
      </c>
      <c r="G7">
        <f t="shared" si="5"/>
        <v>891.73771244832335</v>
      </c>
      <c r="H7">
        <f t="shared" si="6"/>
        <v>586.80461841734723</v>
      </c>
      <c r="I7">
        <f t="shared" si="7"/>
        <v>571.24955690872582</v>
      </c>
      <c r="J7">
        <f t="shared" si="8"/>
        <v>723.48437098569843</v>
      </c>
      <c r="K7">
        <f t="shared" si="9"/>
        <v>1033.0872727272726</v>
      </c>
      <c r="L7" t="str">
        <f t="shared" si="10"/>
        <v/>
      </c>
      <c r="M7">
        <f t="shared" si="11"/>
        <v>9861.4082365364302</v>
      </c>
      <c r="N7">
        <f>IFERROR(SUMPRODUCT(('Tenant Data'!$A$2:$A$4674="Brandon Exchange")*('Tenant Data'!$D$2:$D$4674="Apparel")*('Tenant Data'!$F$2:$F$4674&gt;0)*('Tenant Data'!$E$2:$E$4674&lt;10000)*'Tenant Data'!$J$2:$J$4674*'Tenant Data'!$E$2:$E$4674)/SUMPRODUCT(('Tenant Data'!$A$2:$A$4674="Brandon Exchange")*('Tenant Data'!$D$2:$D$4674="Apparel")*('Tenant Data'!$F$2:$F$4674&gt;0)*('Tenant Data'!$E$2:$E$4674&lt;10000)*'Tenant Data'!$E$2:$E$4674),"")</f>
        <v>0.13475114171591987</v>
      </c>
      <c r="O7">
        <f>IFERROR(SUMPRODUCT(('Tenant Data'!$A$2:$A$4674="Brandon Exchange")*('Tenant Data'!$D$2:$D$4674="Shoes")*('Tenant Data'!$F$2:$F$4674&gt;0)*('Tenant Data'!$E$2:$E$4674&lt;10000)*'Tenant Data'!$J$2:$J$4674*'Tenant Data'!$E$2:$E$4674)/SUMPRODUCT(('Tenant Data'!$A$2:$A$4674="Brandon Exchange")*('Tenant Data'!$D$2:$D$4674="Shoes")*('Tenant Data'!$F$2:$F$4674&gt;0)*('Tenant Data'!$E$2:$E$4674&lt;10000)*'Tenant Data'!$E$2:$E$4674),"")</f>
        <v>0.12898114096478169</v>
      </c>
      <c r="P7">
        <f>IFERROR(SUMPRODUCT(('Tenant Data'!$A$2:$A$4674="Brandon Exchange")*('Tenant Data'!$D$2:$D$4674="Jewelry")*('Tenant Data'!$F$2:$F$4674&gt;0)*('Tenant Data'!$E$2:$E$4674&lt;10000)*'Tenant Data'!$J$2:$J$4674*'Tenant Data'!$E$2:$E$4674)/SUMPRODUCT(('Tenant Data'!$A$2:$A$4674="Brandon Exchange")*('Tenant Data'!$D$2:$D$4674="Jewelry")*('Tenant Data'!$F$2:$F$4674&gt;0)*('Tenant Data'!$E$2:$E$4674&lt;10000)*'Tenant Data'!$E$2:$E$4674),"")</f>
        <v>0.12844596685234494</v>
      </c>
      <c r="Q7">
        <f>IFERROR(SUMPRODUCT(('Tenant Data'!$A$2:$A$4674="Brandon Exchange")*('Tenant Data'!$D$2:$D$4674="Health &amp; Beauty")*('Tenant Data'!$F$2:$F$4674&gt;0)*('Tenant Data'!$E$2:$E$4674&lt;10000)*'Tenant Data'!$J$2:$J$4674*'Tenant Data'!$E$2:$E$4674)/SUMPRODUCT(('Tenant Data'!$A$2:$A$4674="Brandon Exchange")*('Tenant Data'!$D$2:$D$4674="Health &amp; Beauty")*('Tenant Data'!$F$2:$F$4674&gt;0)*('Tenant Data'!$E$2:$E$4674&lt;10000)*'Tenant Data'!$E$2:$E$4674),"")</f>
        <v>9.1442484953210584E-2</v>
      </c>
      <c r="R7">
        <f>IFERROR(SUMPRODUCT(('Tenant Data'!$A$2:$A$4674="Brandon Exchange")*('Tenant Data'!$D$2:$D$4674="Food &amp; Beverage")*('Tenant Data'!$F$2:$F$4674&gt;0)*('Tenant Data'!$E$2:$E$4674&lt;10000)*'Tenant Data'!$J$2:$J$4674*'Tenant Data'!$E$2:$E$4674)/SUMPRODUCT(('Tenant Data'!$A$2:$A$4674="Brandon Exchange")*('Tenant Data'!$D$2:$D$4674="Food &amp; Beverage")*('Tenant Data'!$F$2:$F$4674&gt;0)*('Tenant Data'!$E$2:$E$4674&lt;10000)*'Tenant Data'!$E$2:$E$4674),"")</f>
        <v>0.17388234535709313</v>
      </c>
      <c r="S7">
        <f>IFERROR(SUMPRODUCT(('Tenant Data'!$A$2:$A$4674="Brandon Exchange")*('Tenant Data'!$D$2:$D$4674="Restaurant")*('Tenant Data'!$F$2:$F$4674&gt;0)*('Tenant Data'!$E$2:$E$4674&lt;10000)*'Tenant Data'!$J$2:$J$4674*'Tenant Data'!$E$2:$E$4674)/SUMPRODUCT(('Tenant Data'!$A$2:$A$4674="Brandon Exchange")*('Tenant Data'!$D$2:$D$4674="Restaurant")*('Tenant Data'!$F$2:$F$4674&gt;0)*('Tenant Data'!$E$2:$E$4674&lt;10000)*'Tenant Data'!$E$2:$E$4674),"")</f>
        <v>8.3149792715123183E-2</v>
      </c>
      <c r="T7">
        <f>IFERROR(SUMPRODUCT(('Tenant Data'!$A$2:$A$4674="Brandon Exchange")*('Tenant Data'!$D$2:$D$4674="Hobby &amp; Novelty")*('Tenant Data'!$F$2:$F$4674&gt;0)*('Tenant Data'!$E$2:$E$4674&lt;10000)*'Tenant Data'!$J$2:$J$4674*'Tenant Data'!$E$2:$E$4674)/SUMPRODUCT(('Tenant Data'!$A$2:$A$4674="Brandon Exchange")*('Tenant Data'!$D$2:$D$4674="Hobby &amp; Novelty")*('Tenant Data'!$F$2:$F$4674&gt;0)*('Tenant Data'!$E$2:$E$4674&lt;10000)*'Tenant Data'!$E$2:$E$4674),"")</f>
        <v>0.14682996047946131</v>
      </c>
      <c r="U7">
        <f>IFERROR(SUMPRODUCT(('Tenant Data'!$A$2:$A$4674="Brandon Exchange")*('Tenant Data'!$D$2:$D$4674="Service")*('Tenant Data'!$F$2:$F$4674&gt;0)*('Tenant Data'!$E$2:$E$4674&lt;10000)*'Tenant Data'!$J$2:$J$4674*'Tenant Data'!$E$2:$E$4674)/SUMPRODUCT(('Tenant Data'!$A$2:$A$4674="Brandon Exchange")*('Tenant Data'!$D$2:$D$4674="Service")*('Tenant Data'!$F$2:$F$4674&gt;0)*('Tenant Data'!$E$2:$E$4674&lt;10000)*'Tenant Data'!$E$2:$E$4674),"")</f>
        <v>0.13310716530512301</v>
      </c>
      <c r="V7">
        <f>IFERROR(SUMPRODUCT(('Tenant Data'!$A$2:$A$4674="Brandon Exchange")*('Tenant Data'!$D$2:$D$4674="Tech")*('Tenant Data'!$F$2:$F$4674&gt;0)*('Tenant Data'!$E$2:$E$4674&lt;10000)*'Tenant Data'!$J$2:$J$4674*'Tenant Data'!$E$2:$E$4674)/SUMPRODUCT(('Tenant Data'!$A$2:$A$4674="Brandon Exchange")*('Tenant Data'!$D$2:$D$4674="Tech")*('Tenant Data'!$F$2:$F$4674&gt;0)*('Tenant Data'!$E$2:$E$4674&lt;10000)*'Tenant Data'!$E$2:$E$4674),"")</f>
        <v>0.11205357040721337</v>
      </c>
      <c r="W7">
        <f>IFERROR(SUMPRODUCT(('Tenant Data'!$A$2:$A$4674="Brandon Exchange")*('Tenant Data'!$D$2:$D$4674="Major")*('Tenant Data'!$F$2:$F$4674&gt;0)*('Tenant Data'!$E$2:$E$4674&lt;10000)*'Tenant Data'!$J$2:$J$4674*'Tenant Data'!$E$2:$E$4674)/SUMPRODUCT(('Tenant Data'!$A$2:$A$4674="Brandon Exchange")*('Tenant Data'!$D$2:$D$4674="Major")*('Tenant Data'!$F$2:$F$4674&gt;0)*('Tenant Data'!$E$2:$E$4674&lt;10000)*'Tenant Data'!$E$2:$E$4674),"")</f>
        <v>9.9148536249687599E-2</v>
      </c>
      <c r="X7" t="str">
        <f>IFERROR(SUMPRODUCT(('Tenant Data'!$A$2:$A$4674="Brandon Exchange")*('Tenant Data'!$D$2:$D$4674="Anchor")*('Tenant Data'!$F$2:$F$4674&gt;0)*('Tenant Data'!$E$2:$E$4674&lt;10000)*'Tenant Data'!$J$2:$J$4674*'Tenant Data'!$E$2:$E$4674)/SUMPRODUCT(('Tenant Data'!$A$2:$A$4674="Brandon Exchange")*('Tenant Data'!$D$2:$D$4674="Anchor")*('Tenant Data'!$F$2:$F$4674&gt;0)*('Tenant Data'!$E$2:$E$4674&lt;10000)*'Tenant Data'!$E$2:$E$4674),"")</f>
        <v/>
      </c>
      <c r="Y7">
        <f>IFERROR(SUMPRODUCT(('Tenant Data'!$A$2:$A$4674="Brandon Exchange")*('Tenant Data'!$D$2:$D$4674="Apple")*('Tenant Data'!$F$2:$F$4674&gt;0)*('Tenant Data'!$E$2:$E$4674&lt;10000)*'Tenant Data'!$J$2:$J$4674*'Tenant Data'!$E$2:$E$4674)/SUMPRODUCT(('Tenant Data'!$A$2:$A$4674="Brandon Exchange")*('Tenant Data'!$D$2:$D$4674="Apple")*('Tenant Data'!$F$2:$F$4674&gt;0)*('Tenant Data'!$E$2:$E$4674&lt;10000)*'Tenant Data'!$E$2:$E$4674),"")</f>
        <v>6.8802329253017233E-3</v>
      </c>
      <c r="Z7">
        <f>SUMIFS('Tenant Data'!$F$2:$F$4674,'Tenant Data'!$A$2:$A$4674,"Brandon Exchange",'Tenant Data'!$D$2:$D$4674,"Apparel",'Tenant Data'!$E$2:$E$4674,"&lt;10000")</f>
        <v>52760542.039999999</v>
      </c>
      <c r="AA7">
        <f>SUMIFS('Tenant Data'!$F$2:$F$4674,'Tenant Data'!$A$2:$A$4674,"Brandon Exchange",'Tenant Data'!$D$2:$D$4674,"Shoes",'Tenant Data'!$E$2:$E$4674,"&lt;10000")</f>
        <v>33153274.640000001</v>
      </c>
      <c r="AB7">
        <f>SUMIFS('Tenant Data'!$F$2:$F$4674,'Tenant Data'!$A$2:$A$4674,"Brandon Exchange",'Tenant Data'!$D$2:$D$4674,"Jewelry",'Tenant Data'!$E$2:$E$4674,"&lt;10000")</f>
        <v>22869890.59</v>
      </c>
      <c r="AC7">
        <f>SUMIFS('Tenant Data'!$F$2:$F$4674,'Tenant Data'!$A$2:$A$4674,"Brandon Exchange",'Tenant Data'!$D$2:$D$4674,"Health &amp; Beauty",'Tenant Data'!$E$2:$E$4674,"&lt;10000")</f>
        <v>14944957.689999999</v>
      </c>
      <c r="AD7">
        <f>SUMIFS('Tenant Data'!$F$2:$F$4674,'Tenant Data'!$A$2:$A$4674,"Brandon Exchange",'Tenant Data'!$D$2:$D$4674,"Food &amp; Beverage",'Tenant Data'!$E$2:$E$4674,"&lt;10000")</f>
        <v>7730935</v>
      </c>
      <c r="AE7">
        <f>SUMIFS('Tenant Data'!$F$2:$F$4674,'Tenant Data'!$A$2:$A$4674,"Brandon Exchange",'Tenant Data'!$D$2:$D$4674,"Restaurant",'Tenant Data'!$E$2:$E$4674,"&lt;10000")</f>
        <v>23295756</v>
      </c>
      <c r="AF7">
        <f>SUMIFS('Tenant Data'!$F$2:$F$4674,'Tenant Data'!$A$2:$A$4674,"Brandon Exchange",'Tenant Data'!$D$2:$D$4674,"Hobby &amp; Novelty",'Tenant Data'!$E$2:$E$4674,"&lt;10000")</f>
        <v>10418716</v>
      </c>
      <c r="AG7">
        <f>SUMIFS('Tenant Data'!$F$2:$F$4674,'Tenant Data'!$A$2:$A$4674,"Brandon Exchange",'Tenant Data'!$D$2:$D$4674,"Service",'Tenant Data'!$E$2:$E$4674,"&lt;10000")</f>
        <v>8818379.4100000001</v>
      </c>
      <c r="AH7">
        <f>SUMIFS('Tenant Data'!$F$2:$F$4674,'Tenant Data'!$A$2:$A$4674,"Brandon Exchange",'Tenant Data'!$D$2:$D$4674,"Tech",'Tenant Data'!$E$2:$E$4674,"&lt;10000")</f>
        <v>8448127</v>
      </c>
      <c r="AI7">
        <f>SUMIFS('Tenant Data'!$F$2:$F$4674,'Tenant Data'!$A$2:$A$4674,"Brandon Exchange",'Tenant Data'!$D$2:$D$4674,"Major",'Tenant Data'!$E$2:$E$4674,"&lt;10000")</f>
        <v>3409188</v>
      </c>
      <c r="AJ7">
        <f>SUMIFS('Tenant Data'!$F$2:$F$4674,'Tenant Data'!$A$2:$A$4674,"Brandon Exchange",'Tenant Data'!$D$2:$D$4674,"Anchor",'Tenant Data'!$E$2:$E$4674,"&lt;10000")</f>
        <v>0</v>
      </c>
      <c r="AK7">
        <f>SUMIFS('Tenant Data'!$F$2:$F$4674,'Tenant Data'!$A$2:$A$4674,"Brandon Exchange",'Tenant Data'!$D$2:$D$4674,"Apple",'Tenant Data'!$E$2:$E$4674,"&lt;10000")</f>
        <v>46693768</v>
      </c>
      <c r="AL7">
        <f>SUMIFS('Tenant Data'!$E$2:$E$4674,'Tenant Data'!$A$2:$A$4674,"Brandon Exchange",'Tenant Data'!$D$2:$D$4674,"Apparel",'Tenant Data'!$F$2:$F$4674,"&gt;0",'Tenant Data'!$E$2:$E$4674,"&lt;10000")</f>
        <v>128917</v>
      </c>
      <c r="AM7">
        <f>SUMIFS('Tenant Data'!$E$2:$E$4674,'Tenant Data'!$A$2:$A$4674,"Brandon Exchange",'Tenant Data'!$D$2:$D$4674,"Shoes",'Tenant Data'!$F$2:$F$4674,"&gt;0",'Tenant Data'!$E$2:$E$4674,"&lt;10000")</f>
        <v>42259</v>
      </c>
      <c r="AN7">
        <f>SUMIFS('Tenant Data'!$E$2:$E$4674,'Tenant Data'!$A$2:$A$4674,"Brandon Exchange",'Tenant Data'!$D$2:$D$4674,"Jewelry",'Tenant Data'!$F$2:$F$4674,"&gt;0",'Tenant Data'!$E$2:$E$4674,"&lt;10000")</f>
        <v>18256</v>
      </c>
      <c r="AO7">
        <f>SUMIFS('Tenant Data'!$E$2:$E$4674,'Tenant Data'!$A$2:$A$4674,"Brandon Exchange",'Tenant Data'!$D$2:$D$4674,"Health &amp; Beauty",'Tenant Data'!$F$2:$F$4674,"&gt;0",'Tenant Data'!$E$2:$E$4674,"&lt;10000")</f>
        <v>12434</v>
      </c>
      <c r="AP7">
        <f>SUMIFS('Tenant Data'!$E$2:$E$4674,'Tenant Data'!$A$2:$A$4674,"Brandon Exchange",'Tenant Data'!$D$2:$D$4674,"Food &amp; Beverage",'Tenant Data'!$F$2:$F$4674,"&gt;0",'Tenant Data'!$E$2:$E$4674,"&lt;10000")</f>
        <v>7220</v>
      </c>
      <c r="AQ7">
        <f>SUMIFS('Tenant Data'!$E$2:$E$4674,'Tenant Data'!$A$2:$A$4674,"Brandon Exchange",'Tenant Data'!$D$2:$D$4674,"Restaurant",'Tenant Data'!$F$2:$F$4674,"&gt;0",'Tenant Data'!$E$2:$E$4674,"&lt;10000")</f>
        <v>26124</v>
      </c>
      <c r="AR7">
        <f>SUMIFS('Tenant Data'!$E$2:$E$4674,'Tenant Data'!$A$2:$A$4674,"Brandon Exchange",'Tenant Data'!$D$2:$D$4674,"Hobby &amp; Novelty",'Tenant Data'!$F$2:$F$4674,"&gt;0",'Tenant Data'!$E$2:$E$4674,"&lt;10000")</f>
        <v>17755</v>
      </c>
      <c r="AS7">
        <f>SUMIFS('Tenant Data'!$E$2:$E$4674,'Tenant Data'!$A$2:$A$4674,"Brandon Exchange",'Tenant Data'!$D$2:$D$4674,"Service",'Tenant Data'!$F$2:$F$4674,"&gt;0",'Tenant Data'!$E$2:$E$4674,"&lt;10000")</f>
        <v>15437</v>
      </c>
      <c r="AT7">
        <f>SUMIFS('Tenant Data'!$E$2:$E$4674,'Tenant Data'!$A$2:$A$4674,"Brandon Exchange",'Tenant Data'!$D$2:$D$4674,"Tech",'Tenant Data'!$F$2:$F$4674,"&gt;0",'Tenant Data'!$E$2:$E$4674,"&lt;10000")</f>
        <v>11677</v>
      </c>
      <c r="AU7">
        <f>SUMIFS('Tenant Data'!$E$2:$E$4674,'Tenant Data'!$A$2:$A$4674,"Brandon Exchange",'Tenant Data'!$D$2:$D$4674,"Major",'Tenant Data'!$F$2:$F$4674,"&gt;0",'Tenant Data'!$E$2:$E$4674,"&lt;10000")</f>
        <v>3300</v>
      </c>
      <c r="AV7">
        <f>SUMIFS('Tenant Data'!$E$2:$E$4674,'Tenant Data'!$A$2:$A$4674,"Brandon Exchange",'Tenant Data'!$D$2:$D$4674,"Anchor",'Tenant Data'!$F$2:$F$4674,"&gt;0",'Tenant Data'!$E$2:$E$4674,"&lt;10000")</f>
        <v>0</v>
      </c>
      <c r="AW7">
        <f>SUMIFS('Tenant Data'!$E$2:$E$4674,'Tenant Data'!$A$2:$A$4674,"Brandon Exchange",'Tenant Data'!$D$2:$D$4674,"Apple",'Tenant Data'!$F$2:$F$4674,"&gt;0",'Tenant Data'!$E$2:$E$4674,"&lt;10000")</f>
        <v>4735</v>
      </c>
      <c r="AX7">
        <v>1</v>
      </c>
      <c r="AY7" t="str">
        <f>'Property Summary'!B7</f>
        <v>Y</v>
      </c>
      <c r="AZ7">
        <f t="shared" si="12"/>
        <v>288114</v>
      </c>
    </row>
    <row r="8" spans="1:52" x14ac:dyDescent="0.2">
      <c r="A8" t="s">
        <v>68</v>
      </c>
      <c r="B8">
        <f t="shared" si="0"/>
        <v>24.938699414351429</v>
      </c>
      <c r="C8">
        <f t="shared" si="1"/>
        <v>36.379234491860977</v>
      </c>
      <c r="D8">
        <f t="shared" si="2"/>
        <v>58.861142314006742</v>
      </c>
      <c r="E8">
        <f t="shared" si="3"/>
        <v>80.143703272162341</v>
      </c>
      <c r="F8">
        <f t="shared" si="4"/>
        <v>64.995957962813264</v>
      </c>
      <c r="G8">
        <f t="shared" si="5"/>
        <v>52.053193043986553</v>
      </c>
      <c r="H8">
        <f t="shared" si="6"/>
        <v>41.021939953810623</v>
      </c>
      <c r="I8">
        <f t="shared" si="7"/>
        <v>36.661537068887483</v>
      </c>
      <c r="J8">
        <f t="shared" si="8"/>
        <v>41.436265709156196</v>
      </c>
      <c r="K8" t="str">
        <f t="shared" si="9"/>
        <v/>
      </c>
      <c r="L8" t="str">
        <f t="shared" si="10"/>
        <v/>
      </c>
      <c r="M8">
        <f t="shared" si="11"/>
        <v>455.51601423487546</v>
      </c>
      <c r="N8">
        <f>IFERROR(SUMPRODUCT(('Tenant Data'!$A$2:$A$4674="Briarwood Mall")*('Tenant Data'!$D$2:$D$4674="Apparel")*('Tenant Data'!$F$2:$F$4674&gt;0)*('Tenant Data'!$E$2:$E$4674&lt;10000)*'Tenant Data'!$J$2:$J$4674*'Tenant Data'!$E$2:$E$4674)/SUMPRODUCT(('Tenant Data'!$A$2:$A$4674="Briarwood Mall")*('Tenant Data'!$D$2:$D$4674="Apparel")*('Tenant Data'!$F$2:$F$4674&gt;0)*('Tenant Data'!$E$2:$E$4674&lt;10000)*'Tenant Data'!$E$2:$E$4674),"")</f>
        <v>0</v>
      </c>
      <c r="O8">
        <f>IFERROR(SUMPRODUCT(('Tenant Data'!$A$2:$A$4674="Briarwood Mall")*('Tenant Data'!$D$2:$D$4674="Shoes")*('Tenant Data'!$F$2:$F$4674&gt;0)*('Tenant Data'!$E$2:$E$4674&lt;10000)*'Tenant Data'!$J$2:$J$4674*'Tenant Data'!$E$2:$E$4674)/SUMPRODUCT(('Tenant Data'!$A$2:$A$4674="Briarwood Mall")*('Tenant Data'!$D$2:$D$4674="Shoes")*('Tenant Data'!$F$2:$F$4674&gt;0)*('Tenant Data'!$E$2:$E$4674&lt;10000)*'Tenant Data'!$E$2:$E$4674),"")</f>
        <v>0</v>
      </c>
      <c r="P8">
        <f>IFERROR(SUMPRODUCT(('Tenant Data'!$A$2:$A$4674="Briarwood Mall")*('Tenant Data'!$D$2:$D$4674="Jewelry")*('Tenant Data'!$F$2:$F$4674&gt;0)*('Tenant Data'!$E$2:$E$4674&lt;10000)*'Tenant Data'!$J$2:$J$4674*'Tenant Data'!$E$2:$E$4674)/SUMPRODUCT(('Tenant Data'!$A$2:$A$4674="Briarwood Mall")*('Tenant Data'!$D$2:$D$4674="Jewelry")*('Tenant Data'!$F$2:$F$4674&gt;0)*('Tenant Data'!$E$2:$E$4674&lt;10000)*'Tenant Data'!$E$2:$E$4674),"")</f>
        <v>0</v>
      </c>
      <c r="Q8">
        <f>IFERROR(SUMPRODUCT(('Tenant Data'!$A$2:$A$4674="Briarwood Mall")*('Tenant Data'!$D$2:$D$4674="Health &amp; Beauty")*('Tenant Data'!$F$2:$F$4674&gt;0)*('Tenant Data'!$E$2:$E$4674&lt;10000)*'Tenant Data'!$J$2:$J$4674*'Tenant Data'!$E$2:$E$4674)/SUMPRODUCT(('Tenant Data'!$A$2:$A$4674="Briarwood Mall")*('Tenant Data'!$D$2:$D$4674="Health &amp; Beauty")*('Tenant Data'!$F$2:$F$4674&gt;0)*('Tenant Data'!$E$2:$E$4674&lt;10000)*'Tenant Data'!$E$2:$E$4674),"")</f>
        <v>0</v>
      </c>
      <c r="R8">
        <f>IFERROR(SUMPRODUCT(('Tenant Data'!$A$2:$A$4674="Briarwood Mall")*('Tenant Data'!$D$2:$D$4674="Food &amp; Beverage")*('Tenant Data'!$F$2:$F$4674&gt;0)*('Tenant Data'!$E$2:$E$4674&lt;10000)*'Tenant Data'!$J$2:$J$4674*'Tenant Data'!$E$2:$E$4674)/SUMPRODUCT(('Tenant Data'!$A$2:$A$4674="Briarwood Mall")*('Tenant Data'!$D$2:$D$4674="Food &amp; Beverage")*('Tenant Data'!$F$2:$F$4674&gt;0)*('Tenant Data'!$E$2:$E$4674&lt;10000)*'Tenant Data'!$E$2:$E$4674),"")</f>
        <v>0</v>
      </c>
      <c r="S8">
        <f>IFERROR(SUMPRODUCT(('Tenant Data'!$A$2:$A$4674="Briarwood Mall")*('Tenant Data'!$D$2:$D$4674="Restaurant")*('Tenant Data'!$F$2:$F$4674&gt;0)*('Tenant Data'!$E$2:$E$4674&lt;10000)*'Tenant Data'!$J$2:$J$4674*'Tenant Data'!$E$2:$E$4674)/SUMPRODUCT(('Tenant Data'!$A$2:$A$4674="Briarwood Mall")*('Tenant Data'!$D$2:$D$4674="Restaurant")*('Tenant Data'!$F$2:$F$4674&gt;0)*('Tenant Data'!$E$2:$E$4674&lt;10000)*'Tenant Data'!$E$2:$E$4674),"")</f>
        <v>0</v>
      </c>
      <c r="T8">
        <f>IFERROR(SUMPRODUCT(('Tenant Data'!$A$2:$A$4674="Briarwood Mall")*('Tenant Data'!$D$2:$D$4674="Hobby &amp; Novelty")*('Tenant Data'!$F$2:$F$4674&gt;0)*('Tenant Data'!$E$2:$E$4674&lt;10000)*'Tenant Data'!$J$2:$J$4674*'Tenant Data'!$E$2:$E$4674)/SUMPRODUCT(('Tenant Data'!$A$2:$A$4674="Briarwood Mall")*('Tenant Data'!$D$2:$D$4674="Hobby &amp; Novelty")*('Tenant Data'!$F$2:$F$4674&gt;0)*('Tenant Data'!$E$2:$E$4674&lt;10000)*'Tenant Data'!$E$2:$E$4674),"")</f>
        <v>0</v>
      </c>
      <c r="U8">
        <f>IFERROR(SUMPRODUCT(('Tenant Data'!$A$2:$A$4674="Briarwood Mall")*('Tenant Data'!$D$2:$D$4674="Service")*('Tenant Data'!$F$2:$F$4674&gt;0)*('Tenant Data'!$E$2:$E$4674&lt;10000)*'Tenant Data'!$J$2:$J$4674*'Tenant Data'!$E$2:$E$4674)/SUMPRODUCT(('Tenant Data'!$A$2:$A$4674="Briarwood Mall")*('Tenant Data'!$D$2:$D$4674="Service")*('Tenant Data'!$F$2:$F$4674&gt;0)*('Tenant Data'!$E$2:$E$4674&lt;10000)*'Tenant Data'!$E$2:$E$4674),"")</f>
        <v>0</v>
      </c>
      <c r="V8">
        <f>IFERROR(SUMPRODUCT(('Tenant Data'!$A$2:$A$4674="Briarwood Mall")*('Tenant Data'!$D$2:$D$4674="Tech")*('Tenant Data'!$F$2:$F$4674&gt;0)*('Tenant Data'!$E$2:$E$4674&lt;10000)*'Tenant Data'!$J$2:$J$4674*'Tenant Data'!$E$2:$E$4674)/SUMPRODUCT(('Tenant Data'!$A$2:$A$4674="Briarwood Mall")*('Tenant Data'!$D$2:$D$4674="Tech")*('Tenant Data'!$F$2:$F$4674&gt;0)*('Tenant Data'!$E$2:$E$4674&lt;10000)*'Tenant Data'!$E$2:$E$4674),"")</f>
        <v>0</v>
      </c>
      <c r="W8" t="str">
        <f>IFERROR(SUMPRODUCT(('Tenant Data'!$A$2:$A$4674="Briarwood Mall")*('Tenant Data'!$D$2:$D$4674="Major")*('Tenant Data'!$F$2:$F$4674&gt;0)*('Tenant Data'!$E$2:$E$4674&lt;10000)*'Tenant Data'!$J$2:$J$4674*'Tenant Data'!$E$2:$E$4674)/SUMPRODUCT(('Tenant Data'!$A$2:$A$4674="Briarwood Mall")*('Tenant Data'!$D$2:$D$4674="Major")*('Tenant Data'!$F$2:$F$4674&gt;0)*('Tenant Data'!$E$2:$E$4674&lt;10000)*'Tenant Data'!$E$2:$E$4674),"")</f>
        <v/>
      </c>
      <c r="X8" t="str">
        <f>IFERROR(SUMPRODUCT(('Tenant Data'!$A$2:$A$4674="Briarwood Mall")*('Tenant Data'!$D$2:$D$4674="Anchor")*('Tenant Data'!$F$2:$F$4674&gt;0)*('Tenant Data'!$E$2:$E$4674&lt;10000)*'Tenant Data'!$J$2:$J$4674*'Tenant Data'!$E$2:$E$4674)/SUMPRODUCT(('Tenant Data'!$A$2:$A$4674="Briarwood Mall")*('Tenant Data'!$D$2:$D$4674="Anchor")*('Tenant Data'!$F$2:$F$4674&gt;0)*('Tenant Data'!$E$2:$E$4674&lt;10000)*'Tenant Data'!$E$2:$E$4674),"")</f>
        <v/>
      </c>
      <c r="Y8">
        <f>IFERROR(SUMPRODUCT(('Tenant Data'!$A$2:$A$4674="Briarwood Mall")*('Tenant Data'!$D$2:$D$4674="Apple")*('Tenant Data'!$F$2:$F$4674&gt;0)*('Tenant Data'!$E$2:$E$4674&lt;10000)*'Tenant Data'!$J$2:$J$4674*'Tenant Data'!$E$2:$E$4674)/SUMPRODUCT(('Tenant Data'!$A$2:$A$4674="Briarwood Mall")*('Tenant Data'!$D$2:$D$4674="Apple")*('Tenant Data'!$F$2:$F$4674&gt;0)*('Tenant Data'!$E$2:$E$4674&lt;10000)*'Tenant Data'!$E$2:$E$4674),"")</f>
        <v>0</v>
      </c>
      <c r="Z8">
        <f>SUMIFS('Tenant Data'!$F$2:$F$4674,'Tenant Data'!$A$2:$A$4674,"Briarwood Mall",'Tenant Data'!$D$2:$D$4674,"Apparel",'Tenant Data'!$E$2:$E$4674,"&lt;10000")</f>
        <v>2461300</v>
      </c>
      <c r="AA8">
        <f>SUMIFS('Tenant Data'!$F$2:$F$4674,'Tenant Data'!$A$2:$A$4674,"Briarwood Mall",'Tenant Data'!$D$2:$D$4674,"Shoes",'Tenant Data'!$E$2:$E$4674,"&lt;10000")</f>
        <v>826900</v>
      </c>
      <c r="AB8">
        <f>SUMIFS('Tenant Data'!$F$2:$F$4674,'Tenant Data'!$A$2:$A$4674,"Briarwood Mall",'Tenant Data'!$D$2:$D$4674,"Jewelry",'Tenant Data'!$E$2:$E$4674,"&lt;10000")</f>
        <v>681200</v>
      </c>
      <c r="AC8">
        <f>SUMIFS('Tenant Data'!$F$2:$F$4674,'Tenant Data'!$A$2:$A$4674,"Briarwood Mall",'Tenant Data'!$D$2:$D$4674,"Health &amp; Beauty",'Tenant Data'!$E$2:$E$4674,"&lt;10000")</f>
        <v>825400</v>
      </c>
      <c r="AD8">
        <f>SUMIFS('Tenant Data'!$F$2:$F$4674,'Tenant Data'!$A$2:$A$4674,"Briarwood Mall",'Tenant Data'!$D$2:$D$4674,"Food &amp; Beverage",'Tenant Data'!$E$2:$E$4674,"&lt;10000")</f>
        <v>241200</v>
      </c>
      <c r="AE8">
        <f>SUMIFS('Tenant Data'!$F$2:$F$4674,'Tenant Data'!$A$2:$A$4674,"Briarwood Mall",'Tenant Data'!$D$2:$D$4674,"Restaurant",'Tenant Data'!$E$2:$E$4674,"&lt;10000")</f>
        <v>712400</v>
      </c>
      <c r="AF8">
        <f>SUMIFS('Tenant Data'!$F$2:$F$4674,'Tenant Data'!$A$2:$A$4674,"Briarwood Mall",'Tenant Data'!$D$2:$D$4674,"Hobby &amp; Novelty",'Tenant Data'!$E$2:$E$4674,"&lt;10000")</f>
        <v>142100</v>
      </c>
      <c r="AG8">
        <f>SUMIFS('Tenant Data'!$F$2:$F$4674,'Tenant Data'!$A$2:$A$4674,"Briarwood Mall",'Tenant Data'!$D$2:$D$4674,"Service",'Tenant Data'!$E$2:$E$4674,"&lt;10000")</f>
        <v>810000</v>
      </c>
      <c r="AH8">
        <f>SUMIFS('Tenant Data'!$F$2:$F$4674,'Tenant Data'!$A$2:$A$4674,"Briarwood Mall",'Tenant Data'!$D$2:$D$4674,"Tech",'Tenant Data'!$E$2:$E$4674,"&lt;10000")</f>
        <v>115400</v>
      </c>
      <c r="AI8">
        <f>SUMIFS('Tenant Data'!$F$2:$F$4674,'Tenant Data'!$A$2:$A$4674,"Briarwood Mall",'Tenant Data'!$D$2:$D$4674,"Major",'Tenant Data'!$E$2:$E$4674,"&lt;10000")</f>
        <v>0</v>
      </c>
      <c r="AJ8">
        <f>SUMIFS('Tenant Data'!$F$2:$F$4674,'Tenant Data'!$A$2:$A$4674,"Briarwood Mall",'Tenant Data'!$D$2:$D$4674,"Anchor",'Tenant Data'!$E$2:$E$4674,"&lt;10000")</f>
        <v>0</v>
      </c>
      <c r="AK8">
        <f>SUMIFS('Tenant Data'!$F$2:$F$4674,'Tenant Data'!$A$2:$A$4674,"Briarwood Mall",'Tenant Data'!$D$2:$D$4674,"Apple",'Tenant Data'!$E$2:$E$4674,"&lt;10000")</f>
        <v>2048000</v>
      </c>
      <c r="AL8">
        <f>SUMIFS('Tenant Data'!$E$2:$E$4674,'Tenant Data'!$A$2:$A$4674,"Briarwood Mall",'Tenant Data'!$D$2:$D$4674,"Apparel",'Tenant Data'!$F$2:$F$4674,"&gt;0",'Tenant Data'!$E$2:$E$4674,"&lt;10000")</f>
        <v>98694</v>
      </c>
      <c r="AM8">
        <f>SUMIFS('Tenant Data'!$E$2:$E$4674,'Tenant Data'!$A$2:$A$4674,"Briarwood Mall",'Tenant Data'!$D$2:$D$4674,"Shoes",'Tenant Data'!$F$2:$F$4674,"&gt;0",'Tenant Data'!$E$2:$E$4674,"&lt;10000")</f>
        <v>22730</v>
      </c>
      <c r="AN8">
        <f>SUMIFS('Tenant Data'!$E$2:$E$4674,'Tenant Data'!$A$2:$A$4674,"Briarwood Mall",'Tenant Data'!$D$2:$D$4674,"Jewelry",'Tenant Data'!$F$2:$F$4674,"&gt;0",'Tenant Data'!$E$2:$E$4674,"&lt;10000")</f>
        <v>11573</v>
      </c>
      <c r="AO8">
        <f>SUMIFS('Tenant Data'!$E$2:$E$4674,'Tenant Data'!$A$2:$A$4674,"Briarwood Mall",'Tenant Data'!$D$2:$D$4674,"Health &amp; Beauty",'Tenant Data'!$F$2:$F$4674,"&gt;0",'Tenant Data'!$E$2:$E$4674,"&lt;10000")</f>
        <v>10299</v>
      </c>
      <c r="AP8">
        <f>SUMIFS('Tenant Data'!$E$2:$E$4674,'Tenant Data'!$A$2:$A$4674,"Briarwood Mall",'Tenant Data'!$D$2:$D$4674,"Food &amp; Beverage",'Tenant Data'!$F$2:$F$4674,"&gt;0",'Tenant Data'!$E$2:$E$4674,"&lt;10000")</f>
        <v>3711</v>
      </c>
      <c r="AQ8">
        <f>SUMIFS('Tenant Data'!$E$2:$E$4674,'Tenant Data'!$A$2:$A$4674,"Briarwood Mall",'Tenant Data'!$D$2:$D$4674,"Restaurant",'Tenant Data'!$F$2:$F$4674,"&gt;0",'Tenant Data'!$E$2:$E$4674,"&lt;10000")</f>
        <v>13686</v>
      </c>
      <c r="AR8">
        <f>SUMIFS('Tenant Data'!$E$2:$E$4674,'Tenant Data'!$A$2:$A$4674,"Briarwood Mall",'Tenant Data'!$D$2:$D$4674,"Hobby &amp; Novelty",'Tenant Data'!$F$2:$F$4674,"&gt;0",'Tenant Data'!$E$2:$E$4674,"&lt;10000")</f>
        <v>3464</v>
      </c>
      <c r="AS8">
        <f>SUMIFS('Tenant Data'!$E$2:$E$4674,'Tenant Data'!$A$2:$A$4674,"Briarwood Mall",'Tenant Data'!$D$2:$D$4674,"Service",'Tenant Data'!$F$2:$F$4674,"&gt;0",'Tenant Data'!$E$2:$E$4674,"&lt;10000")</f>
        <v>22094</v>
      </c>
      <c r="AT8">
        <f>SUMIFS('Tenant Data'!$E$2:$E$4674,'Tenant Data'!$A$2:$A$4674,"Briarwood Mall",'Tenant Data'!$D$2:$D$4674,"Tech",'Tenant Data'!$F$2:$F$4674,"&gt;0",'Tenant Data'!$E$2:$E$4674,"&lt;10000")</f>
        <v>2785</v>
      </c>
      <c r="AU8">
        <f>SUMIFS('Tenant Data'!$E$2:$E$4674,'Tenant Data'!$A$2:$A$4674,"Briarwood Mall",'Tenant Data'!$D$2:$D$4674,"Major",'Tenant Data'!$F$2:$F$4674,"&gt;0",'Tenant Data'!$E$2:$E$4674,"&lt;10000")</f>
        <v>0</v>
      </c>
      <c r="AV8">
        <f>SUMIFS('Tenant Data'!$E$2:$E$4674,'Tenant Data'!$A$2:$A$4674,"Briarwood Mall",'Tenant Data'!$D$2:$D$4674,"Anchor",'Tenant Data'!$F$2:$F$4674,"&gt;0",'Tenant Data'!$E$2:$E$4674,"&lt;10000")</f>
        <v>0</v>
      </c>
      <c r="AW8">
        <f>SUMIFS('Tenant Data'!$E$2:$E$4674,'Tenant Data'!$A$2:$A$4674,"Briarwood Mall",'Tenant Data'!$D$2:$D$4674,"Apple",'Tenant Data'!$F$2:$F$4674,"&gt;0",'Tenant Data'!$E$2:$E$4674,"&lt;10000")</f>
        <v>4496</v>
      </c>
      <c r="AX8">
        <v>1</v>
      </c>
      <c r="AY8" t="str">
        <f>'Property Summary'!B8</f>
        <v>Y</v>
      </c>
      <c r="AZ8">
        <f t="shared" si="12"/>
        <v>193532</v>
      </c>
    </row>
    <row r="9" spans="1:52" x14ac:dyDescent="0.2">
      <c r="A9" t="s">
        <v>23</v>
      </c>
      <c r="B9">
        <f t="shared" si="0"/>
        <v>424.38397736866273</v>
      </c>
      <c r="C9" t="str">
        <f t="shared" si="1"/>
        <v/>
      </c>
      <c r="D9">
        <f t="shared" si="2"/>
        <v>1016.9753377828423</v>
      </c>
      <c r="E9">
        <f t="shared" si="3"/>
        <v>1187.2914623272402</v>
      </c>
      <c r="F9">
        <f t="shared" si="4"/>
        <v>582.62150089338888</v>
      </c>
      <c r="G9">
        <f t="shared" si="5"/>
        <v>719.96825419929553</v>
      </c>
      <c r="H9">
        <f t="shared" si="6"/>
        <v>119.72811143270623</v>
      </c>
      <c r="I9">
        <f t="shared" si="7"/>
        <v>257.09965102753006</v>
      </c>
      <c r="J9" t="str">
        <f t="shared" si="8"/>
        <v/>
      </c>
      <c r="K9" t="str">
        <f t="shared" si="9"/>
        <v/>
      </c>
      <c r="L9" t="str">
        <f t="shared" si="10"/>
        <v/>
      </c>
      <c r="M9">
        <f t="shared" si="11"/>
        <v>7507.4927729597512</v>
      </c>
      <c r="N9">
        <f>IFERROR(SUMPRODUCT(('Tenant Data'!$A$2:$A$4674="Bridge Street Towne Centre")*('Tenant Data'!$D$2:$D$4674="Apparel")*('Tenant Data'!$F$2:$F$4674&gt;0)*('Tenant Data'!$E$2:$E$4674&lt;10000)*'Tenant Data'!$J$2:$J$4674*'Tenant Data'!$E$2:$E$4674)/SUMPRODUCT(('Tenant Data'!$A$2:$A$4674="Bridge Street Towne Centre")*('Tenant Data'!$D$2:$D$4674="Apparel")*('Tenant Data'!$F$2:$F$4674&gt;0)*('Tenant Data'!$E$2:$E$4674&lt;10000)*'Tenant Data'!$E$2:$E$4674),"")</f>
        <v>0.12498834183128779</v>
      </c>
      <c r="O9" t="str">
        <f>IFERROR(SUMPRODUCT(('Tenant Data'!$A$2:$A$4674="Bridge Street Towne Centre")*('Tenant Data'!$D$2:$D$4674="Shoes")*('Tenant Data'!$F$2:$F$4674&gt;0)*('Tenant Data'!$E$2:$E$4674&lt;10000)*'Tenant Data'!$J$2:$J$4674*'Tenant Data'!$E$2:$E$4674)/SUMPRODUCT(('Tenant Data'!$A$2:$A$4674="Bridge Street Towne Centre")*('Tenant Data'!$D$2:$D$4674="Shoes")*('Tenant Data'!$F$2:$F$4674&gt;0)*('Tenant Data'!$E$2:$E$4674&lt;10000)*'Tenant Data'!$E$2:$E$4674),"")</f>
        <v/>
      </c>
      <c r="P9">
        <f>IFERROR(SUMPRODUCT(('Tenant Data'!$A$2:$A$4674="Bridge Street Towne Centre")*('Tenant Data'!$D$2:$D$4674="Jewelry")*('Tenant Data'!$F$2:$F$4674&gt;0)*('Tenant Data'!$E$2:$E$4674&lt;10000)*'Tenant Data'!$J$2:$J$4674*'Tenant Data'!$E$2:$E$4674)/SUMPRODUCT(('Tenant Data'!$A$2:$A$4674="Bridge Street Towne Centre")*('Tenant Data'!$D$2:$D$4674="Jewelry")*('Tenant Data'!$F$2:$F$4674&gt;0)*('Tenant Data'!$E$2:$E$4674&lt;10000)*'Tenant Data'!$E$2:$E$4674),"")</f>
        <v>8.5920767777583659E-2</v>
      </c>
      <c r="Q9">
        <f>IFERROR(SUMPRODUCT(('Tenant Data'!$A$2:$A$4674="Bridge Street Towne Centre")*('Tenant Data'!$D$2:$D$4674="Health &amp; Beauty")*('Tenant Data'!$F$2:$F$4674&gt;0)*('Tenant Data'!$E$2:$E$4674&lt;10000)*'Tenant Data'!$J$2:$J$4674*'Tenant Data'!$E$2:$E$4674)/SUMPRODUCT(('Tenant Data'!$A$2:$A$4674="Bridge Street Towne Centre")*('Tenant Data'!$D$2:$D$4674="Health &amp; Beauty")*('Tenant Data'!$F$2:$F$4674&gt;0)*('Tenant Data'!$E$2:$E$4674&lt;10000)*'Tenant Data'!$E$2:$E$4674),"")</f>
        <v>6.4822780750107292E-2</v>
      </c>
      <c r="R9">
        <f>IFERROR(SUMPRODUCT(('Tenant Data'!$A$2:$A$4674="Bridge Street Towne Centre")*('Tenant Data'!$D$2:$D$4674="Food &amp; Beverage")*('Tenant Data'!$F$2:$F$4674&gt;0)*('Tenant Data'!$E$2:$E$4674&lt;10000)*'Tenant Data'!$J$2:$J$4674*'Tenant Data'!$E$2:$E$4674)/SUMPRODUCT(('Tenant Data'!$A$2:$A$4674="Bridge Street Towne Centre")*('Tenant Data'!$D$2:$D$4674="Food &amp; Beverage")*('Tenant Data'!$F$2:$F$4674&gt;0)*('Tenant Data'!$E$2:$E$4674&lt;10000)*'Tenant Data'!$E$2:$E$4674),"")</f>
        <v>0.10761017551091458</v>
      </c>
      <c r="S9">
        <f>IFERROR(SUMPRODUCT(('Tenant Data'!$A$2:$A$4674="Bridge Street Towne Centre")*('Tenant Data'!$D$2:$D$4674="Restaurant")*('Tenant Data'!$F$2:$F$4674&gt;0)*('Tenant Data'!$E$2:$E$4674&lt;10000)*'Tenant Data'!$J$2:$J$4674*'Tenant Data'!$E$2:$E$4674)/SUMPRODUCT(('Tenant Data'!$A$2:$A$4674="Bridge Street Towne Centre")*('Tenant Data'!$D$2:$D$4674="Restaurant")*('Tenant Data'!$F$2:$F$4674&gt;0)*('Tenant Data'!$E$2:$E$4674&lt;10000)*'Tenant Data'!$E$2:$E$4674),"")</f>
        <v>8.9384866429292317E-2</v>
      </c>
      <c r="T9">
        <f>IFERROR(SUMPRODUCT(('Tenant Data'!$A$2:$A$4674="Bridge Street Towne Centre")*('Tenant Data'!$D$2:$D$4674="Hobby &amp; Novelty")*('Tenant Data'!$F$2:$F$4674&gt;0)*('Tenant Data'!$E$2:$E$4674&lt;10000)*'Tenant Data'!$J$2:$J$4674*'Tenant Data'!$E$2:$E$4674)/SUMPRODUCT(('Tenant Data'!$A$2:$A$4674="Bridge Street Towne Centre")*('Tenant Data'!$D$2:$D$4674="Hobby &amp; Novelty")*('Tenant Data'!$F$2:$F$4674&gt;0)*('Tenant Data'!$E$2:$E$4674&lt;10000)*'Tenant Data'!$E$2:$E$4674),"")</f>
        <v>0.21756965628527014</v>
      </c>
      <c r="U9">
        <f>IFERROR(SUMPRODUCT(('Tenant Data'!$A$2:$A$4674="Bridge Street Towne Centre")*('Tenant Data'!$D$2:$D$4674="Service")*('Tenant Data'!$F$2:$F$4674&gt;0)*('Tenant Data'!$E$2:$E$4674&lt;10000)*'Tenant Data'!$J$2:$J$4674*'Tenant Data'!$E$2:$E$4674)/SUMPRODUCT(('Tenant Data'!$A$2:$A$4674="Bridge Street Towne Centre")*('Tenant Data'!$D$2:$D$4674="Service")*('Tenant Data'!$F$2:$F$4674&gt;0)*('Tenant Data'!$E$2:$E$4674&lt;10000)*'Tenant Data'!$E$2:$E$4674),"")</f>
        <v>0.24189364192088553</v>
      </c>
      <c r="V9" t="str">
        <f>IFERROR(SUMPRODUCT(('Tenant Data'!$A$2:$A$4674="Bridge Street Towne Centre")*('Tenant Data'!$D$2:$D$4674="Tech")*('Tenant Data'!$F$2:$F$4674&gt;0)*('Tenant Data'!$E$2:$E$4674&lt;10000)*'Tenant Data'!$J$2:$J$4674*'Tenant Data'!$E$2:$E$4674)/SUMPRODUCT(('Tenant Data'!$A$2:$A$4674="Bridge Street Towne Centre")*('Tenant Data'!$D$2:$D$4674="Tech")*('Tenant Data'!$F$2:$F$4674&gt;0)*('Tenant Data'!$E$2:$E$4674&lt;10000)*'Tenant Data'!$E$2:$E$4674),"")</f>
        <v/>
      </c>
      <c r="W9" t="str">
        <f>IFERROR(SUMPRODUCT(('Tenant Data'!$A$2:$A$4674="Bridge Street Towne Centre")*('Tenant Data'!$D$2:$D$4674="Major")*('Tenant Data'!$F$2:$F$4674&gt;0)*('Tenant Data'!$E$2:$E$4674&lt;10000)*'Tenant Data'!$J$2:$J$4674*'Tenant Data'!$E$2:$E$4674)/SUMPRODUCT(('Tenant Data'!$A$2:$A$4674="Bridge Street Towne Centre")*('Tenant Data'!$D$2:$D$4674="Major")*('Tenant Data'!$F$2:$F$4674&gt;0)*('Tenant Data'!$E$2:$E$4674&lt;10000)*'Tenant Data'!$E$2:$E$4674),"")</f>
        <v/>
      </c>
      <c r="X9" t="str">
        <f>IFERROR(SUMPRODUCT(('Tenant Data'!$A$2:$A$4674="Bridge Street Towne Centre")*('Tenant Data'!$D$2:$D$4674="Anchor")*('Tenant Data'!$F$2:$F$4674&gt;0)*('Tenant Data'!$E$2:$E$4674&lt;10000)*'Tenant Data'!$J$2:$J$4674*'Tenant Data'!$E$2:$E$4674)/SUMPRODUCT(('Tenant Data'!$A$2:$A$4674="Bridge Street Towne Centre")*('Tenant Data'!$D$2:$D$4674="Anchor")*('Tenant Data'!$F$2:$F$4674&gt;0)*('Tenant Data'!$E$2:$E$4674&lt;10000)*'Tenant Data'!$E$2:$E$4674),"")</f>
        <v/>
      </c>
      <c r="Y9">
        <f>IFERROR(SUMPRODUCT(('Tenant Data'!$A$2:$A$4674="Bridge Street Towne Centre")*('Tenant Data'!$D$2:$D$4674="Apple")*('Tenant Data'!$F$2:$F$4674&gt;0)*('Tenant Data'!$E$2:$E$4674&lt;10000)*'Tenant Data'!$J$2:$J$4674*'Tenant Data'!$E$2:$E$4674)/SUMPRODUCT(('Tenant Data'!$A$2:$A$4674="Bridge Street Towne Centre")*('Tenant Data'!$D$2:$D$4674="Apple")*('Tenant Data'!$F$2:$F$4674&gt;0)*('Tenant Data'!$E$2:$E$4674&lt;10000)*'Tenant Data'!$E$2:$E$4674),"")</f>
        <v>6.0968221059710713E-3</v>
      </c>
      <c r="Z9">
        <f>SUMIFS('Tenant Data'!$F$2:$F$4674,'Tenant Data'!$A$2:$A$4674,"Bridge Street Towne Centre",'Tenant Data'!$D$2:$D$4674,"Apparel",'Tenant Data'!$E$2:$E$4674,"&lt;10000")</f>
        <v>28653133</v>
      </c>
      <c r="AA9">
        <f>SUMIFS('Tenant Data'!$F$2:$F$4674,'Tenant Data'!$A$2:$A$4674,"Bridge Street Towne Centre",'Tenant Data'!$D$2:$D$4674,"Shoes",'Tenant Data'!$E$2:$E$4674,"&lt;10000")</f>
        <v>0</v>
      </c>
      <c r="AB9">
        <f>SUMIFS('Tenant Data'!$F$2:$F$4674,'Tenant Data'!$A$2:$A$4674,"Bridge Street Towne Centre",'Tenant Data'!$D$2:$D$4674,"Jewelry",'Tenant Data'!$E$2:$E$4674,"&lt;10000")</f>
        <v>12494559</v>
      </c>
      <c r="AC9">
        <f>SUMIFS('Tenant Data'!$F$2:$F$4674,'Tenant Data'!$A$2:$A$4674,"Bridge Street Towne Centre",'Tenant Data'!$D$2:$D$4674,"Health &amp; Beauty",'Tenant Data'!$E$2:$E$4674,"&lt;10000")</f>
        <v>10652379</v>
      </c>
      <c r="AD9">
        <f>SUMIFS('Tenant Data'!$F$2:$F$4674,'Tenant Data'!$A$2:$A$4674,"Bridge Street Towne Centre",'Tenant Data'!$D$2:$D$4674,"Food &amp; Beverage",'Tenant Data'!$E$2:$E$4674,"&lt;10000")</f>
        <v>9782215</v>
      </c>
      <c r="AE9">
        <f>SUMIFS('Tenant Data'!$F$2:$F$4674,'Tenant Data'!$A$2:$A$4674,"Bridge Street Towne Centre",'Tenant Data'!$D$2:$D$4674,"Restaurant",'Tenant Data'!$E$2:$E$4674,"&lt;10000")</f>
        <v>49463259</v>
      </c>
      <c r="AF9">
        <f>SUMIFS('Tenant Data'!$F$2:$F$4674,'Tenant Data'!$A$2:$A$4674,"Bridge Street Towne Centre",'Tenant Data'!$D$2:$D$4674,"Hobby &amp; Novelty",'Tenant Data'!$E$2:$E$4674,"&lt;10000")</f>
        <v>661857</v>
      </c>
      <c r="AG9">
        <f>SUMIFS('Tenant Data'!$F$2:$F$4674,'Tenant Data'!$A$2:$A$4674,"Bridge Street Towne Centre",'Tenant Data'!$D$2:$D$4674,"Service",'Tenant Data'!$E$2:$E$4674,"&lt;10000")</f>
        <v>1989180</v>
      </c>
      <c r="AH9">
        <f>SUMIFS('Tenant Data'!$F$2:$F$4674,'Tenant Data'!$A$2:$A$4674,"Bridge Street Towne Centre",'Tenant Data'!$D$2:$D$4674,"Tech",'Tenant Data'!$E$2:$E$4674,"&lt;10000")</f>
        <v>0</v>
      </c>
      <c r="AI9">
        <f>SUMIFS('Tenant Data'!$F$2:$F$4674,'Tenant Data'!$A$2:$A$4674,"Bridge Street Towne Centre",'Tenant Data'!$D$2:$D$4674,"Major",'Tenant Data'!$E$2:$E$4674,"&lt;10000")</f>
        <v>0</v>
      </c>
      <c r="AJ9">
        <f>SUMIFS('Tenant Data'!$F$2:$F$4674,'Tenant Data'!$A$2:$A$4674,"Bridge Street Towne Centre",'Tenant Data'!$D$2:$D$4674,"Anchor",'Tenant Data'!$E$2:$E$4674,"&lt;10000")</f>
        <v>0</v>
      </c>
      <c r="AK9">
        <f>SUMIFS('Tenant Data'!$F$2:$F$4674,'Tenant Data'!$A$2:$A$4674,"Bridge Street Towne Centre",'Tenant Data'!$D$2:$D$4674,"Apple",'Tenant Data'!$E$2:$E$4674,"&lt;10000")</f>
        <v>33761195</v>
      </c>
      <c r="AL9">
        <f>SUMIFS('Tenant Data'!$E$2:$E$4674,'Tenant Data'!$A$2:$A$4674,"Bridge Street Towne Centre",'Tenant Data'!$D$2:$D$4674,"Apparel",'Tenant Data'!$F$2:$F$4674,"&gt;0",'Tenant Data'!$E$2:$E$4674,"&lt;10000")</f>
        <v>67517</v>
      </c>
      <c r="AM9">
        <f>SUMIFS('Tenant Data'!$E$2:$E$4674,'Tenant Data'!$A$2:$A$4674,"Bridge Street Towne Centre",'Tenant Data'!$D$2:$D$4674,"Shoes",'Tenant Data'!$F$2:$F$4674,"&gt;0",'Tenant Data'!$E$2:$E$4674,"&lt;10000")</f>
        <v>0</v>
      </c>
      <c r="AN9">
        <f>SUMIFS('Tenant Data'!$E$2:$E$4674,'Tenant Data'!$A$2:$A$4674,"Bridge Street Towne Centre",'Tenant Data'!$D$2:$D$4674,"Jewelry",'Tenant Data'!$F$2:$F$4674,"&gt;0",'Tenant Data'!$E$2:$E$4674,"&lt;10000")</f>
        <v>12286</v>
      </c>
      <c r="AO9">
        <f>SUMIFS('Tenant Data'!$E$2:$E$4674,'Tenant Data'!$A$2:$A$4674,"Bridge Street Towne Centre",'Tenant Data'!$D$2:$D$4674,"Health &amp; Beauty",'Tenant Data'!$F$2:$F$4674,"&gt;0",'Tenant Data'!$E$2:$E$4674,"&lt;10000")</f>
        <v>8972</v>
      </c>
      <c r="AP9">
        <f>SUMIFS('Tenant Data'!$E$2:$E$4674,'Tenant Data'!$A$2:$A$4674,"Bridge Street Towne Centre",'Tenant Data'!$D$2:$D$4674,"Food &amp; Beverage",'Tenant Data'!$F$2:$F$4674,"&gt;0",'Tenant Data'!$E$2:$E$4674,"&lt;10000")</f>
        <v>16790</v>
      </c>
      <c r="AQ9">
        <f>SUMIFS('Tenant Data'!$E$2:$E$4674,'Tenant Data'!$A$2:$A$4674,"Bridge Street Towne Centre",'Tenant Data'!$D$2:$D$4674,"Restaurant",'Tenant Data'!$F$2:$F$4674,"&gt;0",'Tenant Data'!$E$2:$E$4674,"&lt;10000")</f>
        <v>68702</v>
      </c>
      <c r="AR9">
        <f>SUMIFS('Tenant Data'!$E$2:$E$4674,'Tenant Data'!$A$2:$A$4674,"Bridge Street Towne Centre",'Tenant Data'!$D$2:$D$4674,"Hobby &amp; Novelty",'Tenant Data'!$F$2:$F$4674,"&gt;0",'Tenant Data'!$E$2:$E$4674,"&lt;10000")</f>
        <v>5528</v>
      </c>
      <c r="AS9">
        <f>SUMIFS('Tenant Data'!$E$2:$E$4674,'Tenant Data'!$A$2:$A$4674,"Bridge Street Towne Centre",'Tenant Data'!$D$2:$D$4674,"Service",'Tenant Data'!$F$2:$F$4674,"&gt;0",'Tenant Data'!$E$2:$E$4674,"&lt;10000")</f>
        <v>7737</v>
      </c>
      <c r="AT9">
        <f>SUMIFS('Tenant Data'!$E$2:$E$4674,'Tenant Data'!$A$2:$A$4674,"Bridge Street Towne Centre",'Tenant Data'!$D$2:$D$4674,"Tech",'Tenant Data'!$F$2:$F$4674,"&gt;0",'Tenant Data'!$E$2:$E$4674,"&lt;10000")</f>
        <v>0</v>
      </c>
      <c r="AU9">
        <f>SUMIFS('Tenant Data'!$E$2:$E$4674,'Tenant Data'!$A$2:$A$4674,"Bridge Street Towne Centre",'Tenant Data'!$D$2:$D$4674,"Major",'Tenant Data'!$F$2:$F$4674,"&gt;0",'Tenant Data'!$E$2:$E$4674,"&lt;10000")</f>
        <v>0</v>
      </c>
      <c r="AV9">
        <f>SUMIFS('Tenant Data'!$E$2:$E$4674,'Tenant Data'!$A$2:$A$4674,"Bridge Street Towne Centre",'Tenant Data'!$D$2:$D$4674,"Anchor",'Tenant Data'!$F$2:$F$4674,"&gt;0",'Tenant Data'!$E$2:$E$4674,"&lt;10000")</f>
        <v>0</v>
      </c>
      <c r="AW9">
        <f>SUMIFS('Tenant Data'!$E$2:$E$4674,'Tenant Data'!$A$2:$A$4674,"Bridge Street Towne Centre",'Tenant Data'!$D$2:$D$4674,"Apple",'Tenant Data'!$F$2:$F$4674,"&gt;0",'Tenant Data'!$E$2:$E$4674,"&lt;10000")</f>
        <v>4497</v>
      </c>
      <c r="AX9">
        <v>0</v>
      </c>
      <c r="AY9" t="str">
        <f>'Property Summary'!B9</f>
        <v>Y</v>
      </c>
      <c r="AZ9">
        <f t="shared" si="12"/>
        <v>192029</v>
      </c>
    </row>
    <row r="10" spans="1:52" x14ac:dyDescent="0.2">
      <c r="A10" t="s">
        <v>53</v>
      </c>
      <c r="B10">
        <f t="shared" si="0"/>
        <v>455.56222247874098</v>
      </c>
      <c r="C10">
        <f t="shared" si="1"/>
        <v>544.04885085574574</v>
      </c>
      <c r="D10">
        <f t="shared" si="2"/>
        <v>1005.4033959610168</v>
      </c>
      <c r="E10">
        <f t="shared" si="3"/>
        <v>968.10825506673257</v>
      </c>
      <c r="F10">
        <f t="shared" si="4"/>
        <v>1135.5649479714721</v>
      </c>
      <c r="G10">
        <f t="shared" si="5"/>
        <v>778.49916752556885</v>
      </c>
      <c r="H10">
        <f t="shared" si="6"/>
        <v>421.86481189553064</v>
      </c>
      <c r="I10">
        <f t="shared" si="7"/>
        <v>693.60947616244846</v>
      </c>
      <c r="J10">
        <f t="shared" si="8"/>
        <v>778.45569620253161</v>
      </c>
      <c r="K10">
        <f t="shared" si="9"/>
        <v>793.08266860043511</v>
      </c>
      <c r="L10" t="str">
        <f t="shared" si="10"/>
        <v/>
      </c>
      <c r="M10">
        <f t="shared" si="11"/>
        <v>5323.5169451635675</v>
      </c>
      <c r="N10">
        <f>IFERROR(SUMPRODUCT(('Tenant Data'!$A$2:$A$4674="Bridgewater Commons")*('Tenant Data'!$D$2:$D$4674="Apparel")*('Tenant Data'!$F$2:$F$4674&gt;0)*('Tenant Data'!$E$2:$E$4674&lt;10000)*'Tenant Data'!$J$2:$J$4674*'Tenant Data'!$E$2:$E$4674)/SUMPRODUCT(('Tenant Data'!$A$2:$A$4674="Bridgewater Commons")*('Tenant Data'!$D$2:$D$4674="Apparel")*('Tenant Data'!$F$2:$F$4674&gt;0)*('Tenant Data'!$E$2:$E$4674&lt;10000)*'Tenant Data'!$E$2:$E$4674),"")</f>
        <v>0.1835218860490756</v>
      </c>
      <c r="O10">
        <f>IFERROR(SUMPRODUCT(('Tenant Data'!$A$2:$A$4674="Bridgewater Commons")*('Tenant Data'!$D$2:$D$4674="Shoes")*('Tenant Data'!$F$2:$F$4674&gt;0)*('Tenant Data'!$E$2:$E$4674&lt;10000)*'Tenant Data'!$J$2:$J$4674*'Tenant Data'!$E$2:$E$4674)/SUMPRODUCT(('Tenant Data'!$A$2:$A$4674="Bridgewater Commons")*('Tenant Data'!$D$2:$D$4674="Shoes")*('Tenant Data'!$F$2:$F$4674&gt;0)*('Tenant Data'!$E$2:$E$4674&lt;10000)*'Tenant Data'!$E$2:$E$4674),"")</f>
        <v>0.27216781219454078</v>
      </c>
      <c r="P10">
        <f>IFERROR(SUMPRODUCT(('Tenant Data'!$A$2:$A$4674="Bridgewater Commons")*('Tenant Data'!$D$2:$D$4674="Jewelry")*('Tenant Data'!$F$2:$F$4674&gt;0)*('Tenant Data'!$E$2:$E$4674&lt;10000)*'Tenant Data'!$J$2:$J$4674*'Tenant Data'!$E$2:$E$4674)/SUMPRODUCT(('Tenant Data'!$A$2:$A$4674="Bridgewater Commons")*('Tenant Data'!$D$2:$D$4674="Jewelry")*('Tenant Data'!$F$2:$F$4674&gt;0)*('Tenant Data'!$E$2:$E$4674&lt;10000)*'Tenant Data'!$E$2:$E$4674),"")</f>
        <v>0.21085625804007693</v>
      </c>
      <c r="Q10">
        <f>IFERROR(SUMPRODUCT(('Tenant Data'!$A$2:$A$4674="Bridgewater Commons")*('Tenant Data'!$D$2:$D$4674="Health &amp; Beauty")*('Tenant Data'!$F$2:$F$4674&gt;0)*('Tenant Data'!$E$2:$E$4674&lt;10000)*'Tenant Data'!$J$2:$J$4674*'Tenant Data'!$E$2:$E$4674)/SUMPRODUCT(('Tenant Data'!$A$2:$A$4674="Bridgewater Commons")*('Tenant Data'!$D$2:$D$4674="Health &amp; Beauty")*('Tenant Data'!$F$2:$F$4674&gt;0)*('Tenant Data'!$E$2:$E$4674&lt;10000)*'Tenant Data'!$E$2:$E$4674),"")</f>
        <v>0.13293194991587307</v>
      </c>
      <c r="R10">
        <f>IFERROR(SUMPRODUCT(('Tenant Data'!$A$2:$A$4674="Bridgewater Commons")*('Tenant Data'!$D$2:$D$4674="Food &amp; Beverage")*('Tenant Data'!$F$2:$F$4674&gt;0)*('Tenant Data'!$E$2:$E$4674&lt;10000)*'Tenant Data'!$J$2:$J$4674*'Tenant Data'!$E$2:$E$4674)/SUMPRODUCT(('Tenant Data'!$A$2:$A$4674="Bridgewater Commons")*('Tenant Data'!$D$2:$D$4674="Food &amp; Beverage")*('Tenant Data'!$F$2:$F$4674&gt;0)*('Tenant Data'!$E$2:$E$4674&lt;10000)*'Tenant Data'!$E$2:$E$4674),"")</f>
        <v>0.15089168734490982</v>
      </c>
      <c r="S10">
        <f>IFERROR(SUMPRODUCT(('Tenant Data'!$A$2:$A$4674="Bridgewater Commons")*('Tenant Data'!$D$2:$D$4674="Restaurant")*('Tenant Data'!$F$2:$F$4674&gt;0)*('Tenant Data'!$E$2:$E$4674&lt;10000)*'Tenant Data'!$J$2:$J$4674*'Tenant Data'!$E$2:$E$4674)/SUMPRODUCT(('Tenant Data'!$A$2:$A$4674="Bridgewater Commons")*('Tenant Data'!$D$2:$D$4674="Restaurant")*('Tenant Data'!$F$2:$F$4674&gt;0)*('Tenant Data'!$E$2:$E$4674&lt;10000)*'Tenant Data'!$E$2:$E$4674),"")</f>
        <v>8.6670897124905777E-2</v>
      </c>
      <c r="T10">
        <f>IFERROR(SUMPRODUCT(('Tenant Data'!$A$2:$A$4674="Bridgewater Commons")*('Tenant Data'!$D$2:$D$4674="Hobby &amp; Novelty")*('Tenant Data'!$F$2:$F$4674&gt;0)*('Tenant Data'!$E$2:$E$4674&lt;10000)*'Tenant Data'!$J$2:$J$4674*'Tenant Data'!$E$2:$E$4674)/SUMPRODUCT(('Tenant Data'!$A$2:$A$4674="Bridgewater Commons")*('Tenant Data'!$D$2:$D$4674="Hobby &amp; Novelty")*('Tenant Data'!$F$2:$F$4674&gt;0)*('Tenant Data'!$E$2:$E$4674&lt;10000)*'Tenant Data'!$E$2:$E$4674),"")</f>
        <v>6.6134680777082386E-2</v>
      </c>
      <c r="U10">
        <f>IFERROR(SUMPRODUCT(('Tenant Data'!$A$2:$A$4674="Bridgewater Commons")*('Tenant Data'!$D$2:$D$4674="Service")*('Tenant Data'!$F$2:$F$4674&gt;0)*('Tenant Data'!$E$2:$E$4674&lt;10000)*'Tenant Data'!$J$2:$J$4674*'Tenant Data'!$E$2:$E$4674)/SUMPRODUCT(('Tenant Data'!$A$2:$A$4674="Bridgewater Commons")*('Tenant Data'!$D$2:$D$4674="Service")*('Tenant Data'!$F$2:$F$4674&gt;0)*('Tenant Data'!$E$2:$E$4674&lt;10000)*'Tenant Data'!$E$2:$E$4674),"")</f>
        <v>0.21174340285784754</v>
      </c>
      <c r="V10">
        <f>IFERROR(SUMPRODUCT(('Tenant Data'!$A$2:$A$4674="Bridgewater Commons")*('Tenant Data'!$D$2:$D$4674="Tech")*('Tenant Data'!$F$2:$F$4674&gt;0)*('Tenant Data'!$E$2:$E$4674&lt;10000)*'Tenant Data'!$J$2:$J$4674*'Tenant Data'!$E$2:$E$4674)/SUMPRODUCT(('Tenant Data'!$A$2:$A$4674="Bridgewater Commons")*('Tenant Data'!$D$2:$D$4674="Tech")*('Tenant Data'!$F$2:$F$4674&gt;0)*('Tenant Data'!$E$2:$E$4674&lt;10000)*'Tenant Data'!$E$2:$E$4674),"")</f>
        <v>6.4757112183144852E-2</v>
      </c>
      <c r="W10">
        <f>IFERROR(SUMPRODUCT(('Tenant Data'!$A$2:$A$4674="Bridgewater Commons")*('Tenant Data'!$D$2:$D$4674="Major")*('Tenant Data'!$F$2:$F$4674&gt;0)*('Tenant Data'!$E$2:$E$4674&lt;10000)*'Tenant Data'!$J$2:$J$4674*'Tenant Data'!$E$2:$E$4674)/SUMPRODUCT(('Tenant Data'!$A$2:$A$4674="Bridgewater Commons")*('Tenant Data'!$D$2:$D$4674="Major")*('Tenant Data'!$F$2:$F$4674&gt;0)*('Tenant Data'!$E$2:$E$4674&lt;10000)*'Tenant Data'!$E$2:$E$4674),"")</f>
        <v>0.2050436562890891</v>
      </c>
      <c r="X10" t="str">
        <f>IFERROR(SUMPRODUCT(('Tenant Data'!$A$2:$A$4674="Bridgewater Commons")*('Tenant Data'!$D$2:$D$4674="Anchor")*('Tenant Data'!$F$2:$F$4674&gt;0)*('Tenant Data'!$E$2:$E$4674&lt;10000)*'Tenant Data'!$J$2:$J$4674*'Tenant Data'!$E$2:$E$4674)/SUMPRODUCT(('Tenant Data'!$A$2:$A$4674="Bridgewater Commons")*('Tenant Data'!$D$2:$D$4674="Anchor")*('Tenant Data'!$F$2:$F$4674&gt;0)*('Tenant Data'!$E$2:$E$4674&lt;10000)*'Tenant Data'!$E$2:$E$4674),"")</f>
        <v/>
      </c>
      <c r="Y10">
        <f>IFERROR(SUMPRODUCT(('Tenant Data'!$A$2:$A$4674="Bridgewater Commons")*('Tenant Data'!$D$2:$D$4674="Apple")*('Tenant Data'!$F$2:$F$4674&gt;0)*('Tenant Data'!$E$2:$E$4674&lt;10000)*'Tenant Data'!$J$2:$J$4674*'Tenant Data'!$E$2:$E$4674)/SUMPRODUCT(('Tenant Data'!$A$2:$A$4674="Bridgewater Commons")*('Tenant Data'!$D$2:$D$4674="Apple")*('Tenant Data'!$F$2:$F$4674&gt;0)*('Tenant Data'!$E$2:$E$4674&lt;10000)*'Tenant Data'!$E$2:$E$4674),"")</f>
        <v>1.3717291978798851E-2</v>
      </c>
      <c r="Z10">
        <f>SUMIFS('Tenant Data'!$F$2:$F$4674,'Tenant Data'!$A$2:$A$4674,"Bridgewater Commons",'Tenant Data'!$D$2:$D$4674,"Apparel",'Tenant Data'!$E$2:$E$4674,"&lt;10000")</f>
        <v>59198033</v>
      </c>
      <c r="AA10">
        <f>SUMIFS('Tenant Data'!$F$2:$F$4674,'Tenant Data'!$A$2:$A$4674,"Bridgewater Commons",'Tenant Data'!$D$2:$D$4674,"Shoes",'Tenant Data'!$E$2:$E$4674,"&lt;10000")</f>
        <v>11125799</v>
      </c>
      <c r="AB10">
        <f>SUMIFS('Tenant Data'!$F$2:$F$4674,'Tenant Data'!$A$2:$A$4674,"Bridgewater Commons",'Tenant Data'!$D$2:$D$4674,"Jewelry",'Tenant Data'!$E$2:$E$4674,"&lt;10000")</f>
        <v>10006780</v>
      </c>
      <c r="AC10">
        <f>SUMIFS('Tenant Data'!$F$2:$F$4674,'Tenant Data'!$A$2:$A$4674,"Bridgewater Commons",'Tenant Data'!$D$2:$D$4674,"Health &amp; Beauty",'Tenant Data'!$E$2:$E$4674,"&lt;10000")</f>
        <v>13709381</v>
      </c>
      <c r="AD10">
        <f>SUMIFS('Tenant Data'!$F$2:$F$4674,'Tenant Data'!$A$2:$A$4674,"Bridgewater Commons",'Tenant Data'!$D$2:$D$4674,"Food &amp; Beverage",'Tenant Data'!$E$2:$E$4674,"&lt;10000")</f>
        <v>9712487</v>
      </c>
      <c r="AE10">
        <f>SUMIFS('Tenant Data'!$F$2:$F$4674,'Tenant Data'!$A$2:$A$4674,"Bridgewater Commons",'Tenant Data'!$D$2:$D$4674,"Restaurant",'Tenant Data'!$E$2:$E$4674,"&lt;10000")</f>
        <v>39276840</v>
      </c>
      <c r="AF10">
        <f>SUMIFS('Tenant Data'!$F$2:$F$4674,'Tenant Data'!$A$2:$A$4674,"Bridgewater Commons",'Tenant Data'!$D$2:$D$4674,"Hobby &amp; Novelty",'Tenant Data'!$E$2:$E$4674,"&lt;10000")</f>
        <v>9901589</v>
      </c>
      <c r="AG10">
        <f>SUMIFS('Tenant Data'!$F$2:$F$4674,'Tenant Data'!$A$2:$A$4674,"Bridgewater Commons",'Tenant Data'!$D$2:$D$4674,"Service",'Tenant Data'!$E$2:$E$4674,"&lt;10000")</f>
        <v>9427540</v>
      </c>
      <c r="AH10">
        <f>SUMIFS('Tenant Data'!$F$2:$F$4674,'Tenant Data'!$A$2:$A$4674,"Bridgewater Commons",'Tenant Data'!$D$2:$D$4674,"Tech",'Tenant Data'!$E$2:$E$4674,"&lt;10000")</f>
        <v>2336924</v>
      </c>
      <c r="AI10">
        <f>SUMIFS('Tenant Data'!$F$2:$F$4674,'Tenant Data'!$A$2:$A$4674,"Bridgewater Commons",'Tenant Data'!$D$2:$D$4674,"Major",'Tenant Data'!$E$2:$E$4674,"&lt;10000")</f>
        <v>5468305</v>
      </c>
      <c r="AJ10">
        <f>SUMIFS('Tenant Data'!$F$2:$F$4674,'Tenant Data'!$A$2:$A$4674,"Bridgewater Commons",'Tenant Data'!$D$2:$D$4674,"Anchor",'Tenant Data'!$E$2:$E$4674,"&lt;10000")</f>
        <v>0</v>
      </c>
      <c r="AK10">
        <f>SUMIFS('Tenant Data'!$F$2:$F$4674,'Tenant Data'!$A$2:$A$4674,"Bridgewater Commons",'Tenant Data'!$D$2:$D$4674,"Apple",'Tenant Data'!$E$2:$E$4674,"&lt;10000")</f>
        <v>45239247</v>
      </c>
      <c r="AL10">
        <f>SUMIFS('Tenant Data'!$E$2:$E$4674,'Tenant Data'!$A$2:$A$4674,"Bridgewater Commons",'Tenant Data'!$D$2:$D$4674,"Apparel",'Tenant Data'!$F$2:$F$4674,"&gt;0",'Tenant Data'!$E$2:$E$4674,"&lt;10000")</f>
        <v>129945</v>
      </c>
      <c r="AM10">
        <f>SUMIFS('Tenant Data'!$E$2:$E$4674,'Tenant Data'!$A$2:$A$4674,"Bridgewater Commons",'Tenant Data'!$D$2:$D$4674,"Shoes",'Tenant Data'!$F$2:$F$4674,"&gt;0",'Tenant Data'!$E$2:$E$4674,"&lt;10000")</f>
        <v>20450</v>
      </c>
      <c r="AN10">
        <f>SUMIFS('Tenant Data'!$E$2:$E$4674,'Tenant Data'!$A$2:$A$4674,"Bridgewater Commons",'Tenant Data'!$D$2:$D$4674,"Jewelry",'Tenant Data'!$F$2:$F$4674,"&gt;0",'Tenant Data'!$E$2:$E$4674,"&lt;10000")</f>
        <v>9953</v>
      </c>
      <c r="AO10">
        <f>SUMIFS('Tenant Data'!$E$2:$E$4674,'Tenant Data'!$A$2:$A$4674,"Bridgewater Commons",'Tenant Data'!$D$2:$D$4674,"Health &amp; Beauty",'Tenant Data'!$F$2:$F$4674,"&gt;0",'Tenant Data'!$E$2:$E$4674,"&lt;10000")</f>
        <v>14161</v>
      </c>
      <c r="AP10">
        <f>SUMIFS('Tenant Data'!$E$2:$E$4674,'Tenant Data'!$A$2:$A$4674,"Bridgewater Commons",'Tenant Data'!$D$2:$D$4674,"Food &amp; Beverage",'Tenant Data'!$F$2:$F$4674,"&gt;0",'Tenant Data'!$E$2:$E$4674,"&lt;10000")</f>
        <v>8553</v>
      </c>
      <c r="AQ10">
        <f>SUMIFS('Tenant Data'!$E$2:$E$4674,'Tenant Data'!$A$2:$A$4674,"Bridgewater Commons",'Tenant Data'!$D$2:$D$4674,"Restaurant",'Tenant Data'!$F$2:$F$4674,"&gt;0",'Tenant Data'!$E$2:$E$4674,"&lt;10000")</f>
        <v>50452</v>
      </c>
      <c r="AR10">
        <f>SUMIFS('Tenant Data'!$E$2:$E$4674,'Tenant Data'!$A$2:$A$4674,"Bridgewater Commons",'Tenant Data'!$D$2:$D$4674,"Hobby &amp; Novelty",'Tenant Data'!$F$2:$F$4674,"&gt;0",'Tenant Data'!$E$2:$E$4674,"&lt;10000")</f>
        <v>23471</v>
      </c>
      <c r="AS10">
        <f>SUMIFS('Tenant Data'!$E$2:$E$4674,'Tenant Data'!$A$2:$A$4674,"Bridgewater Commons",'Tenant Data'!$D$2:$D$4674,"Service",'Tenant Data'!$F$2:$F$4674,"&gt;0",'Tenant Data'!$E$2:$E$4674,"&lt;10000")</f>
        <v>13592</v>
      </c>
      <c r="AT10">
        <f>SUMIFS('Tenant Data'!$E$2:$E$4674,'Tenant Data'!$A$2:$A$4674,"Bridgewater Commons",'Tenant Data'!$D$2:$D$4674,"Tech",'Tenant Data'!$F$2:$F$4674,"&gt;0",'Tenant Data'!$E$2:$E$4674,"&lt;10000")</f>
        <v>3002</v>
      </c>
      <c r="AU10">
        <f>SUMIFS('Tenant Data'!$E$2:$E$4674,'Tenant Data'!$A$2:$A$4674,"Bridgewater Commons",'Tenant Data'!$D$2:$D$4674,"Major",'Tenant Data'!$F$2:$F$4674,"&gt;0",'Tenant Data'!$E$2:$E$4674,"&lt;10000")</f>
        <v>6895</v>
      </c>
      <c r="AV10">
        <f>SUMIFS('Tenant Data'!$E$2:$E$4674,'Tenant Data'!$A$2:$A$4674,"Bridgewater Commons",'Tenant Data'!$D$2:$D$4674,"Anchor",'Tenant Data'!$F$2:$F$4674,"&gt;0",'Tenant Data'!$E$2:$E$4674,"&lt;10000")</f>
        <v>0</v>
      </c>
      <c r="AW10">
        <f>SUMIFS('Tenant Data'!$E$2:$E$4674,'Tenant Data'!$A$2:$A$4674,"Bridgewater Commons",'Tenant Data'!$D$2:$D$4674,"Apple",'Tenant Data'!$F$2:$F$4674,"&gt;0",'Tenant Data'!$E$2:$E$4674,"&lt;10000")</f>
        <v>8498</v>
      </c>
      <c r="AX10">
        <v>1</v>
      </c>
      <c r="AY10" t="str">
        <f>'Property Summary'!B10</f>
        <v>Y</v>
      </c>
      <c r="AZ10">
        <f t="shared" si="12"/>
        <v>288972</v>
      </c>
    </row>
    <row r="11" spans="1:52" x14ac:dyDescent="0.2">
      <c r="A11" t="s">
        <v>45</v>
      </c>
      <c r="B11">
        <f t="shared" si="0"/>
        <v>347.92987488946397</v>
      </c>
      <c r="C11">
        <f t="shared" si="1"/>
        <v>498.63426644906383</v>
      </c>
      <c r="D11">
        <f t="shared" si="2"/>
        <v>1209.6678226857885</v>
      </c>
      <c r="E11">
        <f t="shared" si="3"/>
        <v>551.7905841293167</v>
      </c>
      <c r="F11">
        <f t="shared" si="4"/>
        <v>738.34120268410186</v>
      </c>
      <c r="G11">
        <f t="shared" si="5"/>
        <v>322.75701170009557</v>
      </c>
      <c r="H11">
        <f t="shared" si="6"/>
        <v>371.31255906136039</v>
      </c>
      <c r="I11">
        <f t="shared" si="7"/>
        <v>350.62834057649661</v>
      </c>
      <c r="J11">
        <f t="shared" si="8"/>
        <v>467.14026151930267</v>
      </c>
      <c r="K11" t="str">
        <f t="shared" si="9"/>
        <v/>
      </c>
      <c r="L11" t="str">
        <f t="shared" si="10"/>
        <v/>
      </c>
      <c r="M11" t="str">
        <f t="shared" si="11"/>
        <v/>
      </c>
      <c r="N11">
        <f>IFERROR(SUMPRODUCT(('Tenant Data'!$A$2:$A$4674="Capital City Mall")*('Tenant Data'!$D$2:$D$4674="Apparel")*('Tenant Data'!$F$2:$F$4674&gt;0)*('Tenant Data'!$E$2:$E$4674&lt;10000)*'Tenant Data'!$J$2:$J$4674*'Tenant Data'!$E$2:$E$4674)/SUMPRODUCT(('Tenant Data'!$A$2:$A$4674="Capital City Mall")*('Tenant Data'!$D$2:$D$4674="Apparel")*('Tenant Data'!$F$2:$F$4674&gt;0)*('Tenant Data'!$E$2:$E$4674&lt;10000)*'Tenant Data'!$E$2:$E$4674),"")</f>
        <v>0.12499222589271246</v>
      </c>
      <c r="O11">
        <f>IFERROR(SUMPRODUCT(('Tenant Data'!$A$2:$A$4674="Capital City Mall")*('Tenant Data'!$D$2:$D$4674="Shoes")*('Tenant Data'!$F$2:$F$4674&gt;0)*('Tenant Data'!$E$2:$E$4674&lt;10000)*'Tenant Data'!$J$2:$J$4674*'Tenant Data'!$E$2:$E$4674)/SUMPRODUCT(('Tenant Data'!$A$2:$A$4674="Capital City Mall")*('Tenant Data'!$D$2:$D$4674="Shoes")*('Tenant Data'!$F$2:$F$4674&gt;0)*('Tenant Data'!$E$2:$E$4674&lt;10000)*'Tenant Data'!$E$2:$E$4674),"")</f>
        <v>0.11914153505425912</v>
      </c>
      <c r="P11">
        <f>IFERROR(SUMPRODUCT(('Tenant Data'!$A$2:$A$4674="Capital City Mall")*('Tenant Data'!$D$2:$D$4674="Jewelry")*('Tenant Data'!$F$2:$F$4674&gt;0)*('Tenant Data'!$E$2:$E$4674&lt;10000)*'Tenant Data'!$J$2:$J$4674*'Tenant Data'!$E$2:$E$4674)/SUMPRODUCT(('Tenant Data'!$A$2:$A$4674="Capital City Mall")*('Tenant Data'!$D$2:$D$4674="Jewelry")*('Tenant Data'!$F$2:$F$4674&gt;0)*('Tenant Data'!$E$2:$E$4674&lt;10000)*'Tenant Data'!$E$2:$E$4674),"")</f>
        <v>0.13510634869982296</v>
      </c>
      <c r="Q11">
        <f>IFERROR(SUMPRODUCT(('Tenant Data'!$A$2:$A$4674="Capital City Mall")*('Tenant Data'!$D$2:$D$4674="Health &amp; Beauty")*('Tenant Data'!$F$2:$F$4674&gt;0)*('Tenant Data'!$E$2:$E$4674&lt;10000)*'Tenant Data'!$J$2:$J$4674*'Tenant Data'!$E$2:$E$4674)/SUMPRODUCT(('Tenant Data'!$A$2:$A$4674="Capital City Mall")*('Tenant Data'!$D$2:$D$4674="Health &amp; Beauty")*('Tenant Data'!$F$2:$F$4674&gt;0)*('Tenant Data'!$E$2:$E$4674&lt;10000)*'Tenant Data'!$E$2:$E$4674),"")</f>
        <v>0.20784614001975177</v>
      </c>
      <c r="R11">
        <f>IFERROR(SUMPRODUCT(('Tenant Data'!$A$2:$A$4674="Capital City Mall")*('Tenant Data'!$D$2:$D$4674="Food &amp; Beverage")*('Tenant Data'!$F$2:$F$4674&gt;0)*('Tenant Data'!$E$2:$E$4674&lt;10000)*'Tenant Data'!$J$2:$J$4674*'Tenant Data'!$E$2:$E$4674)/SUMPRODUCT(('Tenant Data'!$A$2:$A$4674="Capital City Mall")*('Tenant Data'!$D$2:$D$4674="Food &amp; Beverage")*('Tenant Data'!$F$2:$F$4674&gt;0)*('Tenant Data'!$E$2:$E$4674&lt;10000)*'Tenant Data'!$E$2:$E$4674),"")</f>
        <v>0.14559517998603291</v>
      </c>
      <c r="S11">
        <f>IFERROR(SUMPRODUCT(('Tenant Data'!$A$2:$A$4674="Capital City Mall")*('Tenant Data'!$D$2:$D$4674="Restaurant")*('Tenant Data'!$F$2:$F$4674&gt;0)*('Tenant Data'!$E$2:$E$4674&lt;10000)*'Tenant Data'!$J$2:$J$4674*'Tenant Data'!$E$2:$E$4674)/SUMPRODUCT(('Tenant Data'!$A$2:$A$4674="Capital City Mall")*('Tenant Data'!$D$2:$D$4674="Restaurant")*('Tenant Data'!$F$2:$F$4674&gt;0)*('Tenant Data'!$E$2:$E$4674&lt;10000)*'Tenant Data'!$E$2:$E$4674),"")</f>
        <v>0.1626379389188477</v>
      </c>
      <c r="T11">
        <f>IFERROR(SUMPRODUCT(('Tenant Data'!$A$2:$A$4674="Capital City Mall")*('Tenant Data'!$D$2:$D$4674="Hobby &amp; Novelty")*('Tenant Data'!$F$2:$F$4674&gt;0)*('Tenant Data'!$E$2:$E$4674&lt;10000)*'Tenant Data'!$J$2:$J$4674*'Tenant Data'!$E$2:$E$4674)/SUMPRODUCT(('Tenant Data'!$A$2:$A$4674="Capital City Mall")*('Tenant Data'!$D$2:$D$4674="Hobby &amp; Novelty")*('Tenant Data'!$F$2:$F$4674&gt;0)*('Tenant Data'!$E$2:$E$4674&lt;10000)*'Tenant Data'!$E$2:$E$4674),"")</f>
        <v>0.16790479859808222</v>
      </c>
      <c r="U11">
        <f>IFERROR(SUMPRODUCT(('Tenant Data'!$A$2:$A$4674="Capital City Mall")*('Tenant Data'!$D$2:$D$4674="Service")*('Tenant Data'!$F$2:$F$4674&gt;0)*('Tenant Data'!$E$2:$E$4674&lt;10000)*'Tenant Data'!$J$2:$J$4674*'Tenant Data'!$E$2:$E$4674)/SUMPRODUCT(('Tenant Data'!$A$2:$A$4674="Capital City Mall")*('Tenant Data'!$D$2:$D$4674="Service")*('Tenant Data'!$F$2:$F$4674&gt;0)*('Tenant Data'!$E$2:$E$4674&lt;10000)*'Tenant Data'!$E$2:$E$4674),"")</f>
        <v>0.154665357330703</v>
      </c>
      <c r="V11">
        <f>IFERROR(SUMPRODUCT(('Tenant Data'!$A$2:$A$4674="Capital City Mall")*('Tenant Data'!$D$2:$D$4674="Tech")*('Tenant Data'!$F$2:$F$4674&gt;0)*('Tenant Data'!$E$2:$E$4674&lt;10000)*'Tenant Data'!$J$2:$J$4674*'Tenant Data'!$E$2:$E$4674)/SUMPRODUCT(('Tenant Data'!$A$2:$A$4674="Capital City Mall")*('Tenant Data'!$D$2:$D$4674="Tech")*('Tenant Data'!$F$2:$F$4674&gt;0)*('Tenant Data'!$E$2:$E$4674&lt;10000)*'Tenant Data'!$E$2:$E$4674),"")</f>
        <v>0.32178667752538531</v>
      </c>
      <c r="W11" t="str">
        <f>IFERROR(SUMPRODUCT(('Tenant Data'!$A$2:$A$4674="Capital City Mall")*('Tenant Data'!$D$2:$D$4674="Major")*('Tenant Data'!$F$2:$F$4674&gt;0)*('Tenant Data'!$E$2:$E$4674&lt;10000)*'Tenant Data'!$J$2:$J$4674*'Tenant Data'!$E$2:$E$4674)/SUMPRODUCT(('Tenant Data'!$A$2:$A$4674="Capital City Mall")*('Tenant Data'!$D$2:$D$4674="Major")*('Tenant Data'!$F$2:$F$4674&gt;0)*('Tenant Data'!$E$2:$E$4674&lt;10000)*'Tenant Data'!$E$2:$E$4674),"")</f>
        <v/>
      </c>
      <c r="X11" t="str">
        <f>IFERROR(SUMPRODUCT(('Tenant Data'!$A$2:$A$4674="Capital City Mall")*('Tenant Data'!$D$2:$D$4674="Anchor")*('Tenant Data'!$F$2:$F$4674&gt;0)*('Tenant Data'!$E$2:$E$4674&lt;10000)*'Tenant Data'!$J$2:$J$4674*'Tenant Data'!$E$2:$E$4674)/SUMPRODUCT(('Tenant Data'!$A$2:$A$4674="Capital City Mall")*('Tenant Data'!$D$2:$D$4674="Anchor")*('Tenant Data'!$F$2:$F$4674&gt;0)*('Tenant Data'!$E$2:$E$4674&lt;10000)*'Tenant Data'!$E$2:$E$4674),"")</f>
        <v/>
      </c>
      <c r="Y11" t="str">
        <f>IFERROR(SUMPRODUCT(('Tenant Data'!$A$2:$A$4674="Capital City Mall")*('Tenant Data'!$D$2:$D$4674="Apple")*('Tenant Data'!$F$2:$F$4674&gt;0)*('Tenant Data'!$E$2:$E$4674&lt;10000)*'Tenant Data'!$J$2:$J$4674*'Tenant Data'!$E$2:$E$4674)/SUMPRODUCT(('Tenant Data'!$A$2:$A$4674="Capital City Mall")*('Tenant Data'!$D$2:$D$4674="Apple")*('Tenant Data'!$F$2:$F$4674&gt;0)*('Tenant Data'!$E$2:$E$4674&lt;10000)*'Tenant Data'!$E$2:$E$4674),"")</f>
        <v/>
      </c>
      <c r="Z11">
        <f>SUMIFS('Tenant Data'!$F$2:$F$4674,'Tenant Data'!$A$2:$A$4674,"Capital City Mall",'Tenant Data'!$D$2:$D$4674,"Apparel",'Tenant Data'!$E$2:$E$4674,"&lt;10000")</f>
        <v>21246685.740000006</v>
      </c>
      <c r="AA11">
        <f>SUMIFS('Tenant Data'!$F$2:$F$4674,'Tenant Data'!$A$2:$A$4674,"Capital City Mall",'Tenant Data'!$D$2:$D$4674,"Shoes",'Tenant Data'!$E$2:$E$4674,"&lt;10000")</f>
        <v>11610200.260000002</v>
      </c>
      <c r="AB11">
        <f>SUMIFS('Tenant Data'!$F$2:$F$4674,'Tenant Data'!$A$2:$A$4674,"Capital City Mall",'Tenant Data'!$D$2:$D$4674,"Jewelry",'Tenant Data'!$E$2:$E$4674,"&lt;10000")</f>
        <v>10205967.419999998</v>
      </c>
      <c r="AC11">
        <f>SUMIFS('Tenant Data'!$F$2:$F$4674,'Tenant Data'!$A$2:$A$4674,"Capital City Mall",'Tenant Data'!$D$2:$D$4674,"Health &amp; Beauty",'Tenant Data'!$E$2:$E$4674,"&lt;10000")</f>
        <v>6007895.8800000008</v>
      </c>
      <c r="AD11">
        <f>SUMIFS('Tenant Data'!$F$2:$F$4674,'Tenant Data'!$A$2:$A$4674,"Capital City Mall",'Tenant Data'!$D$2:$D$4674,"Food &amp; Beverage",'Tenant Data'!$E$2:$E$4674,"&lt;10000")</f>
        <v>8582478.1400000006</v>
      </c>
      <c r="AE11">
        <f>SUMIFS('Tenant Data'!$F$2:$F$4674,'Tenant Data'!$A$2:$A$4674,"Capital City Mall",'Tenant Data'!$D$2:$D$4674,"Restaurant",'Tenant Data'!$E$2:$E$4674,"&lt;10000")</f>
        <v>2703412.7300000004</v>
      </c>
      <c r="AF11">
        <f>SUMIFS('Tenant Data'!$F$2:$F$4674,'Tenant Data'!$A$2:$A$4674,"Capital City Mall",'Tenant Data'!$D$2:$D$4674,"Hobby &amp; Novelty",'Tenant Data'!$E$2:$E$4674,"&lt;10000")</f>
        <v>4683736.62</v>
      </c>
      <c r="AG11">
        <f>SUMIFS('Tenant Data'!$F$2:$F$4674,'Tenant Data'!$A$2:$A$4674,"Capital City Mall",'Tenant Data'!$D$2:$D$4674,"Service",'Tenant Data'!$E$2:$E$4674,"&lt;10000")</f>
        <v>3953334.5399999996</v>
      </c>
      <c r="AH11">
        <f>SUMIFS('Tenant Data'!$F$2:$F$4674,'Tenant Data'!$A$2:$A$4674,"Capital City Mall",'Tenant Data'!$D$2:$D$4674,"Tech",'Tenant Data'!$E$2:$E$4674,"&lt;10000")</f>
        <v>375113.63000000006</v>
      </c>
      <c r="AI11">
        <f>SUMIFS('Tenant Data'!$F$2:$F$4674,'Tenant Data'!$A$2:$A$4674,"Capital City Mall",'Tenant Data'!$D$2:$D$4674,"Major",'Tenant Data'!$E$2:$E$4674,"&lt;10000")</f>
        <v>0</v>
      </c>
      <c r="AJ11">
        <f>SUMIFS('Tenant Data'!$F$2:$F$4674,'Tenant Data'!$A$2:$A$4674,"Capital City Mall",'Tenant Data'!$D$2:$D$4674,"Anchor",'Tenant Data'!$E$2:$E$4674,"&lt;10000")</f>
        <v>0</v>
      </c>
      <c r="AK11">
        <f>SUMIFS('Tenant Data'!$F$2:$F$4674,'Tenant Data'!$A$2:$A$4674,"Capital City Mall",'Tenant Data'!$D$2:$D$4674,"Apple",'Tenant Data'!$E$2:$E$4674,"&lt;10000")</f>
        <v>0</v>
      </c>
      <c r="AL11">
        <f>SUMIFS('Tenant Data'!$E$2:$E$4674,'Tenant Data'!$A$2:$A$4674,"Capital City Mall",'Tenant Data'!$D$2:$D$4674,"Apparel",'Tenant Data'!$F$2:$F$4674,"&gt;0",'Tenant Data'!$E$2:$E$4674,"&lt;10000")</f>
        <v>61066</v>
      </c>
      <c r="AM11">
        <f>SUMIFS('Tenant Data'!$E$2:$E$4674,'Tenant Data'!$A$2:$A$4674,"Capital City Mall",'Tenant Data'!$D$2:$D$4674,"Shoes",'Tenant Data'!$F$2:$F$4674,"&gt;0",'Tenant Data'!$E$2:$E$4674,"&lt;10000")</f>
        <v>23284</v>
      </c>
      <c r="AN11">
        <f>SUMIFS('Tenant Data'!$E$2:$E$4674,'Tenant Data'!$A$2:$A$4674,"Capital City Mall",'Tenant Data'!$D$2:$D$4674,"Jewelry",'Tenant Data'!$F$2:$F$4674,"&gt;0",'Tenant Data'!$E$2:$E$4674,"&lt;10000")</f>
        <v>8437</v>
      </c>
      <c r="AO11">
        <f>SUMIFS('Tenant Data'!$E$2:$E$4674,'Tenant Data'!$A$2:$A$4674,"Capital City Mall",'Tenant Data'!$D$2:$D$4674,"Health &amp; Beauty",'Tenant Data'!$F$2:$F$4674,"&gt;0",'Tenant Data'!$E$2:$E$4674,"&lt;10000")</f>
        <v>10888</v>
      </c>
      <c r="AP11">
        <f>SUMIFS('Tenant Data'!$E$2:$E$4674,'Tenant Data'!$A$2:$A$4674,"Capital City Mall",'Tenant Data'!$D$2:$D$4674,"Food &amp; Beverage",'Tenant Data'!$F$2:$F$4674,"&gt;0",'Tenant Data'!$E$2:$E$4674,"&lt;10000")</f>
        <v>11624</v>
      </c>
      <c r="AQ11">
        <f>SUMIFS('Tenant Data'!$E$2:$E$4674,'Tenant Data'!$A$2:$A$4674,"Capital City Mall",'Tenant Data'!$D$2:$D$4674,"Restaurant",'Tenant Data'!$F$2:$F$4674,"&gt;0",'Tenant Data'!$E$2:$E$4674,"&lt;10000")</f>
        <v>8376</v>
      </c>
      <c r="AR11">
        <f>SUMIFS('Tenant Data'!$E$2:$E$4674,'Tenant Data'!$A$2:$A$4674,"Capital City Mall",'Tenant Data'!$D$2:$D$4674,"Hobby &amp; Novelty",'Tenant Data'!$F$2:$F$4674,"&gt;0",'Tenant Data'!$E$2:$E$4674,"&lt;10000")</f>
        <v>12614</v>
      </c>
      <c r="AS11">
        <f>SUMIFS('Tenant Data'!$E$2:$E$4674,'Tenant Data'!$A$2:$A$4674,"Capital City Mall",'Tenant Data'!$D$2:$D$4674,"Service",'Tenant Data'!$F$2:$F$4674,"&gt;0",'Tenant Data'!$E$2:$E$4674,"&lt;10000")</f>
        <v>11275</v>
      </c>
      <c r="AT11">
        <f>SUMIFS('Tenant Data'!$E$2:$E$4674,'Tenant Data'!$A$2:$A$4674,"Capital City Mall",'Tenant Data'!$D$2:$D$4674,"Tech",'Tenant Data'!$F$2:$F$4674,"&gt;0",'Tenant Data'!$E$2:$E$4674,"&lt;10000")</f>
        <v>803</v>
      </c>
      <c r="AU11">
        <f>SUMIFS('Tenant Data'!$E$2:$E$4674,'Tenant Data'!$A$2:$A$4674,"Capital City Mall",'Tenant Data'!$D$2:$D$4674,"Major",'Tenant Data'!$F$2:$F$4674,"&gt;0",'Tenant Data'!$E$2:$E$4674,"&lt;10000")</f>
        <v>0</v>
      </c>
      <c r="AV11">
        <f>SUMIFS('Tenant Data'!$E$2:$E$4674,'Tenant Data'!$A$2:$A$4674,"Capital City Mall",'Tenant Data'!$D$2:$D$4674,"Anchor",'Tenant Data'!$F$2:$F$4674,"&gt;0",'Tenant Data'!$E$2:$E$4674,"&lt;10000")</f>
        <v>0</v>
      </c>
      <c r="AW11">
        <f>SUMIFS('Tenant Data'!$E$2:$E$4674,'Tenant Data'!$A$2:$A$4674,"Capital City Mall",'Tenant Data'!$D$2:$D$4674,"Apple",'Tenant Data'!$F$2:$F$4674,"&gt;0",'Tenant Data'!$E$2:$E$4674,"&lt;10000")</f>
        <v>0</v>
      </c>
      <c r="AX11">
        <v>1</v>
      </c>
      <c r="AY11" t="str">
        <f>'Property Summary'!B11</f>
        <v>Y</v>
      </c>
      <c r="AZ11">
        <f t="shared" si="12"/>
        <v>148367</v>
      </c>
    </row>
    <row r="12" spans="1:52" x14ac:dyDescent="0.2">
      <c r="A12" t="s">
        <v>42</v>
      </c>
      <c r="B12">
        <f t="shared" si="0"/>
        <v>301.59057844260809</v>
      </c>
      <c r="C12">
        <f t="shared" si="1"/>
        <v>367.36204514929233</v>
      </c>
      <c r="D12">
        <f t="shared" si="2"/>
        <v>1131.6186149647488</v>
      </c>
      <c r="E12">
        <f t="shared" si="3"/>
        <v>640.1404231830727</v>
      </c>
      <c r="F12">
        <f t="shared" si="4"/>
        <v>709.70259055019426</v>
      </c>
      <c r="G12">
        <f t="shared" si="5"/>
        <v>607.76945544554462</v>
      </c>
      <c r="H12">
        <f t="shared" si="6"/>
        <v>312.04255344536142</v>
      </c>
      <c r="I12">
        <f t="shared" si="7"/>
        <v>485.39814994279561</v>
      </c>
      <c r="J12">
        <f t="shared" si="8"/>
        <v>630.31481481481478</v>
      </c>
      <c r="K12">
        <f t="shared" si="9"/>
        <v>1074.7352855302704</v>
      </c>
      <c r="L12" t="str">
        <f t="shared" si="10"/>
        <v/>
      </c>
      <c r="M12" t="str">
        <f t="shared" si="11"/>
        <v/>
      </c>
      <c r="N12">
        <f>IFERROR(SUMPRODUCT(('Tenant Data'!$A$2:$A$4674="Coastal Grand Mall")*('Tenant Data'!$D$2:$D$4674="Apparel")*('Tenant Data'!$F$2:$F$4674&gt;0)*('Tenant Data'!$E$2:$E$4674&lt;10000)*'Tenant Data'!$J$2:$J$4674*'Tenant Data'!$E$2:$E$4674)/SUMPRODUCT(('Tenant Data'!$A$2:$A$4674="Coastal Grand Mall")*('Tenant Data'!$D$2:$D$4674="Apparel")*('Tenant Data'!$F$2:$F$4674&gt;0)*('Tenant Data'!$E$2:$E$4674&lt;10000)*'Tenant Data'!$E$2:$E$4674),"")</f>
        <v>0.12800731176277083</v>
      </c>
      <c r="O12">
        <f>IFERROR(SUMPRODUCT(('Tenant Data'!$A$2:$A$4674="Coastal Grand Mall")*('Tenant Data'!$D$2:$D$4674="Shoes")*('Tenant Data'!$F$2:$F$4674&gt;0)*('Tenant Data'!$E$2:$E$4674&lt;10000)*'Tenant Data'!$J$2:$J$4674*'Tenant Data'!$E$2:$E$4674)/SUMPRODUCT(('Tenant Data'!$A$2:$A$4674="Coastal Grand Mall")*('Tenant Data'!$D$2:$D$4674="Shoes")*('Tenant Data'!$F$2:$F$4674&gt;0)*('Tenant Data'!$E$2:$E$4674&lt;10000)*'Tenant Data'!$E$2:$E$4674),"")</f>
        <v>0.15578307893053364</v>
      </c>
      <c r="P12">
        <f>IFERROR(SUMPRODUCT(('Tenant Data'!$A$2:$A$4674="Coastal Grand Mall")*('Tenant Data'!$D$2:$D$4674="Jewelry")*('Tenant Data'!$F$2:$F$4674&gt;0)*('Tenant Data'!$E$2:$E$4674&lt;10000)*'Tenant Data'!$J$2:$J$4674*'Tenant Data'!$E$2:$E$4674)/SUMPRODUCT(('Tenant Data'!$A$2:$A$4674="Coastal Grand Mall")*('Tenant Data'!$D$2:$D$4674="Jewelry")*('Tenant Data'!$F$2:$F$4674&gt;0)*('Tenant Data'!$E$2:$E$4674&lt;10000)*'Tenant Data'!$E$2:$E$4674),"")</f>
        <v>0.13264456988231402</v>
      </c>
      <c r="Q12">
        <f>IFERROR(SUMPRODUCT(('Tenant Data'!$A$2:$A$4674="Coastal Grand Mall")*('Tenant Data'!$D$2:$D$4674="Health &amp; Beauty")*('Tenant Data'!$F$2:$F$4674&gt;0)*('Tenant Data'!$E$2:$E$4674&lt;10000)*'Tenant Data'!$J$2:$J$4674*'Tenant Data'!$E$2:$E$4674)/SUMPRODUCT(('Tenant Data'!$A$2:$A$4674="Coastal Grand Mall")*('Tenant Data'!$D$2:$D$4674="Health &amp; Beauty")*('Tenant Data'!$F$2:$F$4674&gt;0)*('Tenant Data'!$E$2:$E$4674&lt;10000)*'Tenant Data'!$E$2:$E$4674),"")</f>
        <v>0.17786922668276056</v>
      </c>
      <c r="R12">
        <f>IFERROR(SUMPRODUCT(('Tenant Data'!$A$2:$A$4674="Coastal Grand Mall")*('Tenant Data'!$D$2:$D$4674="Food &amp; Beverage")*('Tenant Data'!$F$2:$F$4674&gt;0)*('Tenant Data'!$E$2:$E$4674&lt;10000)*'Tenant Data'!$J$2:$J$4674*'Tenant Data'!$E$2:$E$4674)/SUMPRODUCT(('Tenant Data'!$A$2:$A$4674="Coastal Grand Mall")*('Tenant Data'!$D$2:$D$4674="Food &amp; Beverage")*('Tenant Data'!$F$2:$F$4674&gt;0)*('Tenant Data'!$E$2:$E$4674&lt;10000)*'Tenant Data'!$E$2:$E$4674),"")</f>
        <v>0.33890757320563258</v>
      </c>
      <c r="S12">
        <f>IFERROR(SUMPRODUCT(('Tenant Data'!$A$2:$A$4674="Coastal Grand Mall")*('Tenant Data'!$D$2:$D$4674="Restaurant")*('Tenant Data'!$F$2:$F$4674&gt;0)*('Tenant Data'!$E$2:$E$4674&lt;10000)*'Tenant Data'!$J$2:$J$4674*'Tenant Data'!$E$2:$E$4674)/SUMPRODUCT(('Tenant Data'!$A$2:$A$4674="Coastal Grand Mall")*('Tenant Data'!$D$2:$D$4674="Restaurant")*('Tenant Data'!$F$2:$F$4674&gt;0)*('Tenant Data'!$E$2:$E$4674&lt;10000)*'Tenant Data'!$E$2:$E$4674),"")</f>
        <v>7.4625971185947618E-2</v>
      </c>
      <c r="T12">
        <f>IFERROR(SUMPRODUCT(('Tenant Data'!$A$2:$A$4674="Coastal Grand Mall")*('Tenant Data'!$D$2:$D$4674="Hobby &amp; Novelty")*('Tenant Data'!$F$2:$F$4674&gt;0)*('Tenant Data'!$E$2:$E$4674&lt;10000)*'Tenant Data'!$J$2:$J$4674*'Tenant Data'!$E$2:$E$4674)/SUMPRODUCT(('Tenant Data'!$A$2:$A$4674="Coastal Grand Mall")*('Tenant Data'!$D$2:$D$4674="Hobby &amp; Novelty")*('Tenant Data'!$F$2:$F$4674&gt;0)*('Tenant Data'!$E$2:$E$4674&lt;10000)*'Tenant Data'!$E$2:$E$4674),"")</f>
        <v>0.1266993633344552</v>
      </c>
      <c r="U12">
        <f>IFERROR(SUMPRODUCT(('Tenant Data'!$A$2:$A$4674="Coastal Grand Mall")*('Tenant Data'!$D$2:$D$4674="Service")*('Tenant Data'!$F$2:$F$4674&gt;0)*('Tenant Data'!$E$2:$E$4674&lt;10000)*'Tenant Data'!$J$2:$J$4674*'Tenant Data'!$E$2:$E$4674)/SUMPRODUCT(('Tenant Data'!$A$2:$A$4674="Coastal Grand Mall")*('Tenant Data'!$D$2:$D$4674="Service")*('Tenant Data'!$F$2:$F$4674&gt;0)*('Tenant Data'!$E$2:$E$4674&lt;10000)*'Tenant Data'!$E$2:$E$4674),"")</f>
        <v>9.1981768074723427E-2</v>
      </c>
      <c r="V12">
        <f>IFERROR(SUMPRODUCT(('Tenant Data'!$A$2:$A$4674="Coastal Grand Mall")*('Tenant Data'!$D$2:$D$4674="Tech")*('Tenant Data'!$F$2:$F$4674&gt;0)*('Tenant Data'!$E$2:$E$4674&lt;10000)*'Tenant Data'!$J$2:$J$4674*'Tenant Data'!$E$2:$E$4674)/SUMPRODUCT(('Tenant Data'!$A$2:$A$4674="Coastal Grand Mall")*('Tenant Data'!$D$2:$D$4674="Tech")*('Tenant Data'!$F$2:$F$4674&gt;0)*('Tenant Data'!$E$2:$E$4674&lt;10000)*'Tenant Data'!$E$2:$E$4674),"")</f>
        <v>0.5405988543992839</v>
      </c>
      <c r="W12">
        <f>IFERROR(SUMPRODUCT(('Tenant Data'!$A$2:$A$4674="Coastal Grand Mall")*('Tenant Data'!$D$2:$D$4674="Major")*('Tenant Data'!$F$2:$F$4674&gt;0)*('Tenant Data'!$E$2:$E$4674&lt;10000)*'Tenant Data'!$J$2:$J$4674*'Tenant Data'!$E$2:$E$4674)/SUMPRODUCT(('Tenant Data'!$A$2:$A$4674="Coastal Grand Mall")*('Tenant Data'!$D$2:$D$4674="Major")*('Tenant Data'!$F$2:$F$4674&gt;0)*('Tenant Data'!$E$2:$E$4674&lt;10000)*'Tenant Data'!$E$2:$E$4674),"")</f>
        <v>0.10926060616849829</v>
      </c>
      <c r="X12" t="str">
        <f>IFERROR(SUMPRODUCT(('Tenant Data'!$A$2:$A$4674="Coastal Grand Mall")*('Tenant Data'!$D$2:$D$4674="Anchor")*('Tenant Data'!$F$2:$F$4674&gt;0)*('Tenant Data'!$E$2:$E$4674&lt;10000)*'Tenant Data'!$J$2:$J$4674*'Tenant Data'!$E$2:$E$4674)/SUMPRODUCT(('Tenant Data'!$A$2:$A$4674="Coastal Grand Mall")*('Tenant Data'!$D$2:$D$4674="Anchor")*('Tenant Data'!$F$2:$F$4674&gt;0)*('Tenant Data'!$E$2:$E$4674&lt;10000)*'Tenant Data'!$E$2:$E$4674),"")</f>
        <v/>
      </c>
      <c r="Y12" t="str">
        <f>IFERROR(SUMPRODUCT(('Tenant Data'!$A$2:$A$4674="Coastal Grand Mall")*('Tenant Data'!$D$2:$D$4674="Apple")*('Tenant Data'!$F$2:$F$4674&gt;0)*('Tenant Data'!$E$2:$E$4674&lt;10000)*'Tenant Data'!$J$2:$J$4674*'Tenant Data'!$E$2:$E$4674)/SUMPRODUCT(('Tenant Data'!$A$2:$A$4674="Coastal Grand Mall")*('Tenant Data'!$D$2:$D$4674="Apple")*('Tenant Data'!$F$2:$F$4674&gt;0)*('Tenant Data'!$E$2:$E$4674&lt;10000)*'Tenant Data'!$E$2:$E$4674),"")</f>
        <v/>
      </c>
      <c r="Z12">
        <f>SUMIFS('Tenant Data'!$F$2:$F$4674,'Tenant Data'!$A$2:$A$4674,"Coastal Grand Mall",'Tenant Data'!$D$2:$D$4674,"Apparel",'Tenant Data'!$E$2:$E$4674,"&lt;10000")</f>
        <v>30000421.199999999</v>
      </c>
      <c r="AA12">
        <f>SUMIFS('Tenant Data'!$F$2:$F$4674,'Tenant Data'!$A$2:$A$4674,"Coastal Grand Mall",'Tenant Data'!$D$2:$D$4674,"Shoes",'Tenant Data'!$E$2:$E$4674,"&lt;10000")</f>
        <v>14222788.940000001</v>
      </c>
      <c r="AB12">
        <f>SUMIFS('Tenant Data'!$F$2:$F$4674,'Tenant Data'!$A$2:$A$4674,"Coastal Grand Mall",'Tenant Data'!$D$2:$D$4674,"Jewelry",'Tenant Data'!$E$2:$E$4674,"&lt;10000")</f>
        <v>14927181.15</v>
      </c>
      <c r="AC12">
        <f>SUMIFS('Tenant Data'!$F$2:$F$4674,'Tenant Data'!$A$2:$A$4674,"Coastal Grand Mall",'Tenant Data'!$D$2:$D$4674,"Health &amp; Beauty",'Tenant Data'!$E$2:$E$4674,"&lt;10000")</f>
        <v>5566661.1200000001</v>
      </c>
      <c r="AD12">
        <f>SUMIFS('Tenant Data'!$F$2:$F$4674,'Tenant Data'!$A$2:$A$4674,"Coastal Grand Mall",'Tenant Data'!$D$2:$D$4674,"Food &amp; Beverage",'Tenant Data'!$E$2:$E$4674,"&lt;10000")</f>
        <v>5662716.9699999997</v>
      </c>
      <c r="AE12">
        <f>SUMIFS('Tenant Data'!$F$2:$F$4674,'Tenant Data'!$A$2:$A$4674,"Coastal Grand Mall",'Tenant Data'!$D$2:$D$4674,"Restaurant",'Tenant Data'!$E$2:$E$4674,"&lt;10000")</f>
        <v>9084937.8200000003</v>
      </c>
      <c r="AF12">
        <f>SUMIFS('Tenant Data'!$F$2:$F$4674,'Tenant Data'!$A$2:$A$4674,"Coastal Grand Mall",'Tenant Data'!$D$2:$D$4674,"Hobby &amp; Novelty",'Tenant Data'!$E$2:$E$4674,"&lt;10000")</f>
        <v>6276423.9199999999</v>
      </c>
      <c r="AG12">
        <f>SUMIFS('Tenant Data'!$F$2:$F$4674,'Tenant Data'!$A$2:$A$4674,"Coastal Grand Mall",'Tenant Data'!$D$2:$D$4674,"Service",'Tenant Data'!$E$2:$E$4674,"&lt;10000")</f>
        <v>7212531.1100000003</v>
      </c>
      <c r="AH12">
        <f>SUMIFS('Tenant Data'!$F$2:$F$4674,'Tenant Data'!$A$2:$A$4674,"Coastal Grand Mall",'Tenant Data'!$D$2:$D$4674,"Tech",'Tenant Data'!$E$2:$E$4674,"&lt;10000")</f>
        <v>170185</v>
      </c>
      <c r="AI12">
        <f>SUMIFS('Tenant Data'!$F$2:$F$4674,'Tenant Data'!$A$2:$A$4674,"Coastal Grand Mall",'Tenant Data'!$D$2:$D$4674,"Major",'Tenant Data'!$E$2:$E$4674,"&lt;10000")</f>
        <v>2503058.48</v>
      </c>
      <c r="AJ12">
        <f>SUMIFS('Tenant Data'!$F$2:$F$4674,'Tenant Data'!$A$2:$A$4674,"Coastal Grand Mall",'Tenant Data'!$D$2:$D$4674,"Anchor",'Tenant Data'!$E$2:$E$4674,"&lt;10000")</f>
        <v>0</v>
      </c>
      <c r="AK12">
        <f>SUMIFS('Tenant Data'!$F$2:$F$4674,'Tenant Data'!$A$2:$A$4674,"Coastal Grand Mall",'Tenant Data'!$D$2:$D$4674,"Apple",'Tenant Data'!$E$2:$E$4674,"&lt;10000")</f>
        <v>0</v>
      </c>
      <c r="AL12">
        <f>SUMIFS('Tenant Data'!$E$2:$E$4674,'Tenant Data'!$A$2:$A$4674,"Coastal Grand Mall",'Tenant Data'!$D$2:$D$4674,"Apparel",'Tenant Data'!$F$2:$F$4674,"&gt;0",'Tenant Data'!$E$2:$E$4674,"&lt;10000")</f>
        <v>99474</v>
      </c>
      <c r="AM12">
        <f>SUMIFS('Tenant Data'!$E$2:$E$4674,'Tenant Data'!$A$2:$A$4674,"Coastal Grand Mall",'Tenant Data'!$D$2:$D$4674,"Shoes",'Tenant Data'!$F$2:$F$4674,"&gt;0",'Tenant Data'!$E$2:$E$4674,"&lt;10000")</f>
        <v>38716</v>
      </c>
      <c r="AN12">
        <f>SUMIFS('Tenant Data'!$E$2:$E$4674,'Tenant Data'!$A$2:$A$4674,"Coastal Grand Mall",'Tenant Data'!$D$2:$D$4674,"Jewelry",'Tenant Data'!$F$2:$F$4674,"&gt;0",'Tenant Data'!$E$2:$E$4674,"&lt;10000")</f>
        <v>13191</v>
      </c>
      <c r="AO12">
        <f>SUMIFS('Tenant Data'!$E$2:$E$4674,'Tenant Data'!$A$2:$A$4674,"Coastal Grand Mall",'Tenant Data'!$D$2:$D$4674,"Health &amp; Beauty",'Tenant Data'!$F$2:$F$4674,"&gt;0",'Tenant Data'!$E$2:$E$4674,"&lt;10000")</f>
        <v>8696</v>
      </c>
      <c r="AP12">
        <f>SUMIFS('Tenant Data'!$E$2:$E$4674,'Tenant Data'!$A$2:$A$4674,"Coastal Grand Mall",'Tenant Data'!$D$2:$D$4674,"Food &amp; Beverage",'Tenant Data'!$F$2:$F$4674,"&gt;0",'Tenant Data'!$E$2:$E$4674,"&lt;10000")</f>
        <v>7979</v>
      </c>
      <c r="AQ12">
        <f>SUMIFS('Tenant Data'!$E$2:$E$4674,'Tenant Data'!$A$2:$A$4674,"Coastal Grand Mall",'Tenant Data'!$D$2:$D$4674,"Restaurant",'Tenant Data'!$F$2:$F$4674,"&gt;0",'Tenant Data'!$E$2:$E$4674,"&lt;10000")</f>
        <v>14948</v>
      </c>
      <c r="AR12">
        <f>SUMIFS('Tenant Data'!$E$2:$E$4674,'Tenant Data'!$A$2:$A$4674,"Coastal Grand Mall",'Tenant Data'!$D$2:$D$4674,"Hobby &amp; Novelty",'Tenant Data'!$F$2:$F$4674,"&gt;0",'Tenant Data'!$E$2:$E$4674,"&lt;10000")</f>
        <v>20114</v>
      </c>
      <c r="AS12">
        <f>SUMIFS('Tenant Data'!$E$2:$E$4674,'Tenant Data'!$A$2:$A$4674,"Coastal Grand Mall",'Tenant Data'!$D$2:$D$4674,"Service",'Tenant Data'!$F$2:$F$4674,"&gt;0",'Tenant Data'!$E$2:$E$4674,"&lt;10000")</f>
        <v>14859</v>
      </c>
      <c r="AT12">
        <f>SUMIFS('Tenant Data'!$E$2:$E$4674,'Tenant Data'!$A$2:$A$4674,"Coastal Grand Mall",'Tenant Data'!$D$2:$D$4674,"Tech",'Tenant Data'!$F$2:$F$4674,"&gt;0",'Tenant Data'!$E$2:$E$4674,"&lt;10000")</f>
        <v>270</v>
      </c>
      <c r="AU12">
        <f>SUMIFS('Tenant Data'!$E$2:$E$4674,'Tenant Data'!$A$2:$A$4674,"Coastal Grand Mall",'Tenant Data'!$D$2:$D$4674,"Major",'Tenant Data'!$F$2:$F$4674,"&gt;0",'Tenant Data'!$E$2:$E$4674,"&lt;10000")</f>
        <v>2329</v>
      </c>
      <c r="AV12">
        <f>SUMIFS('Tenant Data'!$E$2:$E$4674,'Tenant Data'!$A$2:$A$4674,"Coastal Grand Mall",'Tenant Data'!$D$2:$D$4674,"Anchor",'Tenant Data'!$F$2:$F$4674,"&gt;0",'Tenant Data'!$E$2:$E$4674,"&lt;10000")</f>
        <v>0</v>
      </c>
      <c r="AW12">
        <f>SUMIFS('Tenant Data'!$E$2:$E$4674,'Tenant Data'!$A$2:$A$4674,"Coastal Grand Mall",'Tenant Data'!$D$2:$D$4674,"Apple",'Tenant Data'!$F$2:$F$4674,"&gt;0",'Tenant Data'!$E$2:$E$4674,"&lt;10000")</f>
        <v>0</v>
      </c>
      <c r="AX12">
        <v>1</v>
      </c>
      <c r="AY12" t="str">
        <f>'Property Summary'!B12</f>
        <v>Y</v>
      </c>
      <c r="AZ12">
        <f t="shared" si="12"/>
        <v>220576</v>
      </c>
    </row>
    <row r="13" spans="1:52" x14ac:dyDescent="0.2">
      <c r="A13" t="s">
        <v>49</v>
      </c>
      <c r="B13">
        <f t="shared" si="0"/>
        <v>385.39606461157473</v>
      </c>
      <c r="C13">
        <f t="shared" si="1"/>
        <v>502.42189246389245</v>
      </c>
      <c r="D13">
        <f t="shared" si="2"/>
        <v>1075.8662240603687</v>
      </c>
      <c r="E13">
        <f t="shared" si="3"/>
        <v>989.13543513003071</v>
      </c>
      <c r="F13">
        <f t="shared" si="4"/>
        <v>944.93004396208289</v>
      </c>
      <c r="G13">
        <f t="shared" si="5"/>
        <v>806.28499374217779</v>
      </c>
      <c r="H13">
        <f t="shared" si="6"/>
        <v>624.74697142471575</v>
      </c>
      <c r="I13">
        <f t="shared" si="7"/>
        <v>557.44046128019852</v>
      </c>
      <c r="J13">
        <f t="shared" si="8"/>
        <v>909.2171428571429</v>
      </c>
      <c r="K13">
        <f t="shared" si="9"/>
        <v>377.59645983248788</v>
      </c>
      <c r="L13" t="str">
        <f t="shared" si="10"/>
        <v/>
      </c>
      <c r="M13">
        <f t="shared" si="11"/>
        <v>5650.6619554093568</v>
      </c>
      <c r="N13">
        <f>IFERROR(SUMPRODUCT(('Tenant Data'!$A$2:$A$4674="CoolSprings Galleria")*('Tenant Data'!$D$2:$D$4674="Apparel")*('Tenant Data'!$F$2:$F$4674&gt;0)*('Tenant Data'!$E$2:$E$4674&lt;10000)*'Tenant Data'!$J$2:$J$4674*'Tenant Data'!$E$2:$E$4674)/SUMPRODUCT(('Tenant Data'!$A$2:$A$4674="CoolSprings Galleria")*('Tenant Data'!$D$2:$D$4674="Apparel")*('Tenant Data'!$F$2:$F$4674&gt;0)*('Tenant Data'!$E$2:$E$4674&lt;10000)*'Tenant Data'!$E$2:$E$4674),"")</f>
        <v>0.1513343188217372</v>
      </c>
      <c r="O13">
        <f>IFERROR(SUMPRODUCT(('Tenant Data'!$A$2:$A$4674="CoolSprings Galleria")*('Tenant Data'!$D$2:$D$4674="Shoes")*('Tenant Data'!$F$2:$F$4674&gt;0)*('Tenant Data'!$E$2:$E$4674&lt;10000)*'Tenant Data'!$J$2:$J$4674*'Tenant Data'!$E$2:$E$4674)/SUMPRODUCT(('Tenant Data'!$A$2:$A$4674="CoolSprings Galleria")*('Tenant Data'!$D$2:$D$4674="Shoes")*('Tenant Data'!$F$2:$F$4674&gt;0)*('Tenant Data'!$E$2:$E$4674&lt;10000)*'Tenant Data'!$E$2:$E$4674),"")</f>
        <v>0.16538145135206594</v>
      </c>
      <c r="P13">
        <f>IFERROR(SUMPRODUCT(('Tenant Data'!$A$2:$A$4674="CoolSprings Galleria")*('Tenant Data'!$D$2:$D$4674="Jewelry")*('Tenant Data'!$F$2:$F$4674&gt;0)*('Tenant Data'!$E$2:$E$4674&lt;10000)*'Tenant Data'!$J$2:$J$4674*'Tenant Data'!$E$2:$E$4674)/SUMPRODUCT(('Tenant Data'!$A$2:$A$4674="CoolSprings Galleria")*('Tenant Data'!$D$2:$D$4674="Jewelry")*('Tenant Data'!$F$2:$F$4674&gt;0)*('Tenant Data'!$E$2:$E$4674&lt;10000)*'Tenant Data'!$E$2:$E$4674),"")</f>
        <v>0.11944175960685663</v>
      </c>
      <c r="Q13">
        <f>IFERROR(SUMPRODUCT(('Tenant Data'!$A$2:$A$4674="CoolSprings Galleria")*('Tenant Data'!$D$2:$D$4674="Health &amp; Beauty")*('Tenant Data'!$F$2:$F$4674&gt;0)*('Tenant Data'!$E$2:$E$4674&lt;10000)*'Tenant Data'!$J$2:$J$4674*'Tenant Data'!$E$2:$E$4674)/SUMPRODUCT(('Tenant Data'!$A$2:$A$4674="CoolSprings Galleria")*('Tenant Data'!$D$2:$D$4674="Health &amp; Beauty")*('Tenant Data'!$F$2:$F$4674&gt;0)*('Tenant Data'!$E$2:$E$4674&lt;10000)*'Tenant Data'!$E$2:$E$4674),"")</f>
        <v>0.26468383857181482</v>
      </c>
      <c r="R13">
        <f>IFERROR(SUMPRODUCT(('Tenant Data'!$A$2:$A$4674="CoolSprings Galleria")*('Tenant Data'!$D$2:$D$4674="Food &amp; Beverage")*('Tenant Data'!$F$2:$F$4674&gt;0)*('Tenant Data'!$E$2:$E$4674&lt;10000)*'Tenant Data'!$J$2:$J$4674*'Tenant Data'!$E$2:$E$4674)/SUMPRODUCT(('Tenant Data'!$A$2:$A$4674="CoolSprings Galleria")*('Tenant Data'!$D$2:$D$4674="Food &amp; Beverage")*('Tenant Data'!$F$2:$F$4674&gt;0)*('Tenant Data'!$E$2:$E$4674&lt;10000)*'Tenant Data'!$E$2:$E$4674),"")</f>
        <v>0.16829472402461493</v>
      </c>
      <c r="S13">
        <f>IFERROR(SUMPRODUCT(('Tenant Data'!$A$2:$A$4674="CoolSprings Galleria")*('Tenant Data'!$D$2:$D$4674="Restaurant")*('Tenant Data'!$F$2:$F$4674&gt;0)*('Tenant Data'!$E$2:$E$4674&lt;10000)*'Tenant Data'!$J$2:$J$4674*'Tenant Data'!$E$2:$E$4674)/SUMPRODUCT(('Tenant Data'!$A$2:$A$4674="CoolSprings Galleria")*('Tenant Data'!$D$2:$D$4674="Restaurant")*('Tenant Data'!$F$2:$F$4674&gt;0)*('Tenant Data'!$E$2:$E$4674&lt;10000)*'Tenant Data'!$E$2:$E$4674),"")</f>
        <v>0.10515129231781328</v>
      </c>
      <c r="T13">
        <f>IFERROR(SUMPRODUCT(('Tenant Data'!$A$2:$A$4674="CoolSprings Galleria")*('Tenant Data'!$D$2:$D$4674="Hobby &amp; Novelty")*('Tenant Data'!$F$2:$F$4674&gt;0)*('Tenant Data'!$E$2:$E$4674&lt;10000)*'Tenant Data'!$J$2:$J$4674*'Tenant Data'!$E$2:$E$4674)/SUMPRODUCT(('Tenant Data'!$A$2:$A$4674="CoolSprings Galleria")*('Tenant Data'!$D$2:$D$4674="Hobby &amp; Novelty")*('Tenant Data'!$F$2:$F$4674&gt;0)*('Tenant Data'!$E$2:$E$4674&lt;10000)*'Tenant Data'!$E$2:$E$4674),"")</f>
        <v>0.11168526076004086</v>
      </c>
      <c r="U13">
        <f>IFERROR(SUMPRODUCT(('Tenant Data'!$A$2:$A$4674="CoolSprings Galleria")*('Tenant Data'!$D$2:$D$4674="Service")*('Tenant Data'!$F$2:$F$4674&gt;0)*('Tenant Data'!$E$2:$E$4674&lt;10000)*'Tenant Data'!$J$2:$J$4674*'Tenant Data'!$E$2:$E$4674)/SUMPRODUCT(('Tenant Data'!$A$2:$A$4674="CoolSprings Galleria")*('Tenant Data'!$D$2:$D$4674="Service")*('Tenant Data'!$F$2:$F$4674&gt;0)*('Tenant Data'!$E$2:$E$4674&lt;10000)*'Tenant Data'!$E$2:$E$4674),"")</f>
        <v>0.14568613402399166</v>
      </c>
      <c r="V13">
        <f>IFERROR(SUMPRODUCT(('Tenant Data'!$A$2:$A$4674="CoolSprings Galleria")*('Tenant Data'!$D$2:$D$4674="Tech")*('Tenant Data'!$F$2:$F$4674&gt;0)*('Tenant Data'!$E$2:$E$4674&lt;10000)*'Tenant Data'!$J$2:$J$4674*'Tenant Data'!$E$2:$E$4674)/SUMPRODUCT(('Tenant Data'!$A$2:$A$4674="CoolSprings Galleria")*('Tenant Data'!$D$2:$D$4674="Tech")*('Tenant Data'!$F$2:$F$4674&gt;0)*('Tenant Data'!$E$2:$E$4674&lt;10000)*'Tenant Data'!$E$2:$E$4674),"")</f>
        <v>0.62055410010842971</v>
      </c>
      <c r="W13">
        <f>IFERROR(SUMPRODUCT(('Tenant Data'!$A$2:$A$4674="CoolSprings Galleria")*('Tenant Data'!$D$2:$D$4674="Major")*('Tenant Data'!$F$2:$F$4674&gt;0)*('Tenant Data'!$E$2:$E$4674&lt;10000)*'Tenant Data'!$J$2:$J$4674*'Tenant Data'!$E$2:$E$4674)/SUMPRODUCT(('Tenant Data'!$A$2:$A$4674="CoolSprings Galleria")*('Tenant Data'!$D$2:$D$4674="Major")*('Tenant Data'!$F$2:$F$4674&gt;0)*('Tenant Data'!$E$2:$E$4674&lt;10000)*'Tenant Data'!$E$2:$E$4674),"")</f>
        <v>0.10552372404422365</v>
      </c>
      <c r="X13" t="str">
        <f>IFERROR(SUMPRODUCT(('Tenant Data'!$A$2:$A$4674="CoolSprings Galleria")*('Tenant Data'!$D$2:$D$4674="Anchor")*('Tenant Data'!$F$2:$F$4674&gt;0)*('Tenant Data'!$E$2:$E$4674&lt;10000)*'Tenant Data'!$J$2:$J$4674*'Tenant Data'!$E$2:$E$4674)/SUMPRODUCT(('Tenant Data'!$A$2:$A$4674="CoolSprings Galleria")*('Tenant Data'!$D$2:$D$4674="Anchor")*('Tenant Data'!$F$2:$F$4674&gt;0)*('Tenant Data'!$E$2:$E$4674&lt;10000)*'Tenant Data'!$E$2:$E$4674),"")</f>
        <v/>
      </c>
      <c r="Y13">
        <f>IFERROR(SUMPRODUCT(('Tenant Data'!$A$2:$A$4674="CoolSprings Galleria")*('Tenant Data'!$D$2:$D$4674="Apple")*('Tenant Data'!$F$2:$F$4674&gt;0)*('Tenant Data'!$E$2:$E$4674&lt;10000)*'Tenant Data'!$J$2:$J$4674*'Tenant Data'!$E$2:$E$4674)/SUMPRODUCT(('Tenant Data'!$A$2:$A$4674="CoolSprings Galleria")*('Tenant Data'!$D$2:$D$4674="Apple")*('Tenant Data'!$F$2:$F$4674&gt;0)*('Tenant Data'!$E$2:$E$4674&lt;10000)*'Tenant Data'!$E$2:$E$4674),"")</f>
        <v>6.4682169789594809E-3</v>
      </c>
      <c r="Z13">
        <f>SUMIFS('Tenant Data'!$F$2:$F$4674,'Tenant Data'!$A$2:$A$4674,"CoolSprings Galleria",'Tenant Data'!$D$2:$D$4674,"Apparel",'Tenant Data'!$E$2:$E$4674,"&lt;10000")</f>
        <v>47933250.139999993</v>
      </c>
      <c r="AA13">
        <f>SUMIFS('Tenant Data'!$F$2:$F$4674,'Tenant Data'!$A$2:$A$4674,"CoolSprings Galleria",'Tenant Data'!$D$2:$D$4674,"Shoes",'Tenant Data'!$E$2:$E$4674,"&lt;10000")</f>
        <v>17567181.469999999</v>
      </c>
      <c r="AB13">
        <f>SUMIFS('Tenant Data'!$F$2:$F$4674,'Tenant Data'!$A$2:$A$4674,"CoolSprings Galleria",'Tenant Data'!$D$2:$D$4674,"Jewelry",'Tenant Data'!$E$2:$E$4674,"&lt;10000")</f>
        <v>7413794.1500000004</v>
      </c>
      <c r="AC13">
        <f>SUMIFS('Tenant Data'!$F$2:$F$4674,'Tenant Data'!$A$2:$A$4674,"CoolSprings Galleria",'Tenant Data'!$D$2:$D$4674,"Health &amp; Beauty",'Tenant Data'!$E$2:$E$4674,"&lt;10000")</f>
        <v>13616438.400000002</v>
      </c>
      <c r="AD13">
        <f>SUMIFS('Tenant Data'!$F$2:$F$4674,'Tenant Data'!$A$2:$A$4674,"CoolSprings Galleria",'Tenant Data'!$D$2:$D$4674,"Food &amp; Beverage",'Tenant Data'!$E$2:$E$4674,"&lt;10000")</f>
        <v>6878145.790000001</v>
      </c>
      <c r="AE13">
        <f>SUMIFS('Tenant Data'!$F$2:$F$4674,'Tenant Data'!$A$2:$A$4674,"CoolSprings Galleria",'Tenant Data'!$D$2:$D$4674,"Restaurant",'Tenant Data'!$E$2:$E$4674,"&lt;10000")</f>
        <v>20615094.720000003</v>
      </c>
      <c r="AF13">
        <f>SUMIFS('Tenant Data'!$F$2:$F$4674,'Tenant Data'!$A$2:$A$4674,"CoolSprings Galleria",'Tenant Data'!$D$2:$D$4674,"Hobby &amp; Novelty",'Tenant Data'!$E$2:$E$4674,"&lt;10000")</f>
        <v>18518124.98</v>
      </c>
      <c r="AG13">
        <f>SUMIFS('Tenant Data'!$F$2:$F$4674,'Tenant Data'!$A$2:$A$4674,"CoolSprings Galleria",'Tenant Data'!$D$2:$D$4674,"Service",'Tenant Data'!$E$2:$E$4674,"&lt;10000")</f>
        <v>7637491.7599999998</v>
      </c>
      <c r="AH13">
        <f>SUMIFS('Tenant Data'!$F$2:$F$4674,'Tenant Data'!$A$2:$A$4674,"CoolSprings Galleria",'Tenant Data'!$D$2:$D$4674,"Tech",'Tenant Data'!$E$2:$E$4674,"&lt;10000")</f>
        <v>318226</v>
      </c>
      <c r="AI13">
        <f>SUMIFS('Tenant Data'!$F$2:$F$4674,'Tenant Data'!$A$2:$A$4674,"CoolSprings Galleria",'Tenant Data'!$D$2:$D$4674,"Major",'Tenant Data'!$E$2:$E$4674,"&lt;10000")</f>
        <v>3200885.19</v>
      </c>
      <c r="AJ13">
        <f>SUMIFS('Tenant Data'!$F$2:$F$4674,'Tenant Data'!$A$2:$A$4674,"CoolSprings Galleria",'Tenant Data'!$D$2:$D$4674,"Anchor",'Tenant Data'!$E$2:$E$4674,"&lt;10000")</f>
        <v>0</v>
      </c>
      <c r="AK13">
        <f>SUMIFS('Tenant Data'!$F$2:$F$4674,'Tenant Data'!$A$2:$A$4674,"CoolSprings Galleria",'Tenant Data'!$D$2:$D$4674,"Apple",'Tenant Data'!$E$2:$E$4674,"&lt;10000")</f>
        <v>46380633.329999998</v>
      </c>
      <c r="AL13">
        <f>SUMIFS('Tenant Data'!$E$2:$E$4674,'Tenant Data'!$A$2:$A$4674,"CoolSprings Galleria",'Tenant Data'!$D$2:$D$4674,"Apparel",'Tenant Data'!$F$2:$F$4674,"&gt;0",'Tenant Data'!$E$2:$E$4674,"&lt;10000")</f>
        <v>124374</v>
      </c>
      <c r="AM13">
        <f>SUMIFS('Tenant Data'!$E$2:$E$4674,'Tenant Data'!$A$2:$A$4674,"CoolSprings Galleria",'Tenant Data'!$D$2:$D$4674,"Shoes",'Tenant Data'!$F$2:$F$4674,"&gt;0",'Tenant Data'!$E$2:$E$4674,"&lt;10000")</f>
        <v>34965</v>
      </c>
      <c r="AN13">
        <f>SUMIFS('Tenant Data'!$E$2:$E$4674,'Tenant Data'!$A$2:$A$4674,"CoolSprings Galleria",'Tenant Data'!$D$2:$D$4674,"Jewelry",'Tenant Data'!$F$2:$F$4674,"&gt;0",'Tenant Data'!$E$2:$E$4674,"&lt;10000")</f>
        <v>6891</v>
      </c>
      <c r="AO13">
        <f>SUMIFS('Tenant Data'!$E$2:$E$4674,'Tenant Data'!$A$2:$A$4674,"CoolSprings Galleria",'Tenant Data'!$D$2:$D$4674,"Health &amp; Beauty",'Tenant Data'!$F$2:$F$4674,"&gt;0",'Tenant Data'!$E$2:$E$4674,"&lt;10000")</f>
        <v>13766</v>
      </c>
      <c r="AP13">
        <f>SUMIFS('Tenant Data'!$E$2:$E$4674,'Tenant Data'!$A$2:$A$4674,"CoolSprings Galleria",'Tenant Data'!$D$2:$D$4674,"Food &amp; Beverage",'Tenant Data'!$F$2:$F$4674,"&gt;0",'Tenant Data'!$E$2:$E$4674,"&lt;10000")</f>
        <v>7279</v>
      </c>
      <c r="AQ13">
        <f>SUMIFS('Tenant Data'!$E$2:$E$4674,'Tenant Data'!$A$2:$A$4674,"CoolSprings Galleria",'Tenant Data'!$D$2:$D$4674,"Restaurant",'Tenant Data'!$F$2:$F$4674,"&gt;0",'Tenant Data'!$E$2:$E$4674,"&lt;10000")</f>
        <v>25568</v>
      </c>
      <c r="AR13">
        <f>SUMIFS('Tenant Data'!$E$2:$E$4674,'Tenant Data'!$A$2:$A$4674,"CoolSprings Galleria",'Tenant Data'!$D$2:$D$4674,"Hobby &amp; Novelty",'Tenant Data'!$F$2:$F$4674,"&gt;0",'Tenant Data'!$E$2:$E$4674,"&lt;10000")</f>
        <v>29641</v>
      </c>
      <c r="AS13">
        <f>SUMIFS('Tenant Data'!$E$2:$E$4674,'Tenant Data'!$A$2:$A$4674,"CoolSprings Galleria",'Tenant Data'!$D$2:$D$4674,"Service",'Tenant Data'!$F$2:$F$4674,"&gt;0",'Tenant Data'!$E$2:$E$4674,"&lt;10000")</f>
        <v>13701</v>
      </c>
      <c r="AT13">
        <f>SUMIFS('Tenant Data'!$E$2:$E$4674,'Tenant Data'!$A$2:$A$4674,"CoolSprings Galleria",'Tenant Data'!$D$2:$D$4674,"Tech",'Tenant Data'!$F$2:$F$4674,"&gt;0",'Tenant Data'!$E$2:$E$4674,"&lt;10000")</f>
        <v>350</v>
      </c>
      <c r="AU13">
        <f>SUMIFS('Tenant Data'!$E$2:$E$4674,'Tenant Data'!$A$2:$A$4674,"CoolSprings Galleria",'Tenant Data'!$D$2:$D$4674,"Major",'Tenant Data'!$F$2:$F$4674,"&gt;0",'Tenant Data'!$E$2:$E$4674,"&lt;10000")</f>
        <v>8477</v>
      </c>
      <c r="AV13">
        <f>SUMIFS('Tenant Data'!$E$2:$E$4674,'Tenant Data'!$A$2:$A$4674,"CoolSprings Galleria",'Tenant Data'!$D$2:$D$4674,"Anchor",'Tenant Data'!$F$2:$F$4674,"&gt;0",'Tenant Data'!$E$2:$E$4674,"&lt;10000")</f>
        <v>0</v>
      </c>
      <c r="AW13">
        <f>SUMIFS('Tenant Data'!$E$2:$E$4674,'Tenant Data'!$A$2:$A$4674,"CoolSprings Galleria",'Tenant Data'!$D$2:$D$4674,"Apple",'Tenant Data'!$F$2:$F$4674,"&gt;0",'Tenant Data'!$E$2:$E$4674,"&lt;10000")</f>
        <v>8208</v>
      </c>
      <c r="AX13">
        <v>1</v>
      </c>
      <c r="AY13" t="str">
        <f>'Property Summary'!B13</f>
        <v>Y</v>
      </c>
      <c r="AZ13">
        <f t="shared" si="12"/>
        <v>273220</v>
      </c>
    </row>
    <row r="14" spans="1:52" x14ac:dyDescent="0.2">
      <c r="A14" t="s">
        <v>50</v>
      </c>
      <c r="B14">
        <f t="shared" si="0"/>
        <v>533.76428921168599</v>
      </c>
      <c r="C14">
        <f t="shared" si="1"/>
        <v>757.84936100788548</v>
      </c>
      <c r="D14">
        <f t="shared" si="2"/>
        <v>1866.8519459238016</v>
      </c>
      <c r="E14">
        <f t="shared" si="3"/>
        <v>1437.8869755032742</v>
      </c>
      <c r="F14">
        <f t="shared" si="4"/>
        <v>1581.6585365853659</v>
      </c>
      <c r="G14">
        <f t="shared" si="5"/>
        <v>989.60739371534191</v>
      </c>
      <c r="H14">
        <f t="shared" si="6"/>
        <v>884.40368178829715</v>
      </c>
      <c r="I14">
        <f t="shared" si="7"/>
        <v>717.42263279445729</v>
      </c>
      <c r="J14">
        <f t="shared" si="8"/>
        <v>1081.0301742456438</v>
      </c>
      <c r="K14">
        <f t="shared" si="9"/>
        <v>1715.1211267605634</v>
      </c>
      <c r="L14" t="str">
        <f t="shared" si="10"/>
        <v/>
      </c>
      <c r="M14">
        <f t="shared" si="11"/>
        <v>5586.5370030581043</v>
      </c>
      <c r="N14">
        <f>IFERROR(SUMPRODUCT(('Tenant Data'!$A$2:$A$4674="Crabtree Valley Mall")*('Tenant Data'!$D$2:$D$4674="Apparel")*('Tenant Data'!$F$2:$F$4674&gt;0)*('Tenant Data'!$E$2:$E$4674&lt;10000)*'Tenant Data'!$J$2:$J$4674*'Tenant Data'!$E$2:$E$4674)/SUMPRODUCT(('Tenant Data'!$A$2:$A$4674="Crabtree Valley Mall")*('Tenant Data'!$D$2:$D$4674="Apparel")*('Tenant Data'!$F$2:$F$4674&gt;0)*('Tenant Data'!$E$2:$E$4674&lt;10000)*'Tenant Data'!$E$2:$E$4674),"")</f>
        <v>0.17554340062248577</v>
      </c>
      <c r="O14">
        <f>IFERROR(SUMPRODUCT(('Tenant Data'!$A$2:$A$4674="Crabtree Valley Mall")*('Tenant Data'!$D$2:$D$4674="Shoes")*('Tenant Data'!$F$2:$F$4674&gt;0)*('Tenant Data'!$E$2:$E$4674&lt;10000)*'Tenant Data'!$J$2:$J$4674*'Tenant Data'!$E$2:$E$4674)/SUMPRODUCT(('Tenant Data'!$A$2:$A$4674="Crabtree Valley Mall")*('Tenant Data'!$D$2:$D$4674="Shoes")*('Tenant Data'!$F$2:$F$4674&gt;0)*('Tenant Data'!$E$2:$E$4674&lt;10000)*'Tenant Data'!$E$2:$E$4674),"")</f>
        <v>0.16395385477451999</v>
      </c>
      <c r="P14">
        <f>IFERROR(SUMPRODUCT(('Tenant Data'!$A$2:$A$4674="Crabtree Valley Mall")*('Tenant Data'!$D$2:$D$4674="Jewelry")*('Tenant Data'!$F$2:$F$4674&gt;0)*('Tenant Data'!$E$2:$E$4674&lt;10000)*'Tenant Data'!$J$2:$J$4674*'Tenant Data'!$E$2:$E$4674)/SUMPRODUCT(('Tenant Data'!$A$2:$A$4674="Crabtree Valley Mall")*('Tenant Data'!$D$2:$D$4674="Jewelry")*('Tenant Data'!$F$2:$F$4674&gt;0)*('Tenant Data'!$E$2:$E$4674&lt;10000)*'Tenant Data'!$E$2:$E$4674),"")</f>
        <v>0.10763997636001511</v>
      </c>
      <c r="Q14">
        <f>IFERROR(SUMPRODUCT(('Tenant Data'!$A$2:$A$4674="Crabtree Valley Mall")*('Tenant Data'!$D$2:$D$4674="Health &amp; Beauty")*('Tenant Data'!$F$2:$F$4674&gt;0)*('Tenant Data'!$E$2:$E$4674&lt;10000)*'Tenant Data'!$J$2:$J$4674*'Tenant Data'!$E$2:$E$4674)/SUMPRODUCT(('Tenant Data'!$A$2:$A$4674="Crabtree Valley Mall")*('Tenant Data'!$D$2:$D$4674="Health &amp; Beauty")*('Tenant Data'!$F$2:$F$4674&gt;0)*('Tenant Data'!$E$2:$E$4674&lt;10000)*'Tenant Data'!$E$2:$E$4674),"")</f>
        <v>0.10449147593588513</v>
      </c>
      <c r="R14">
        <f>IFERROR(SUMPRODUCT(('Tenant Data'!$A$2:$A$4674="Crabtree Valley Mall")*('Tenant Data'!$D$2:$D$4674="Food &amp; Beverage")*('Tenant Data'!$F$2:$F$4674&gt;0)*('Tenant Data'!$E$2:$E$4674&lt;10000)*'Tenant Data'!$J$2:$J$4674*'Tenant Data'!$E$2:$E$4674)/SUMPRODUCT(('Tenant Data'!$A$2:$A$4674="Crabtree Valley Mall")*('Tenant Data'!$D$2:$D$4674="Food &amp; Beverage")*('Tenant Data'!$F$2:$F$4674&gt;0)*('Tenant Data'!$E$2:$E$4674&lt;10000)*'Tenant Data'!$E$2:$E$4674),"")</f>
        <v>0.11359331013864969</v>
      </c>
      <c r="S14">
        <f>IFERROR(SUMPRODUCT(('Tenant Data'!$A$2:$A$4674="Crabtree Valley Mall")*('Tenant Data'!$D$2:$D$4674="Restaurant")*('Tenant Data'!$F$2:$F$4674&gt;0)*('Tenant Data'!$E$2:$E$4674&lt;10000)*'Tenant Data'!$J$2:$J$4674*'Tenant Data'!$E$2:$E$4674)/SUMPRODUCT(('Tenant Data'!$A$2:$A$4674="Crabtree Valley Mall")*('Tenant Data'!$D$2:$D$4674="Restaurant")*('Tenant Data'!$F$2:$F$4674&gt;0)*('Tenant Data'!$E$2:$E$4674&lt;10000)*'Tenant Data'!$E$2:$E$4674),"")</f>
        <v>8.7689664821489821E-2</v>
      </c>
      <c r="T14">
        <f>IFERROR(SUMPRODUCT(('Tenant Data'!$A$2:$A$4674="Crabtree Valley Mall")*('Tenant Data'!$D$2:$D$4674="Hobby &amp; Novelty")*('Tenant Data'!$F$2:$F$4674&gt;0)*('Tenant Data'!$E$2:$E$4674&lt;10000)*'Tenant Data'!$J$2:$J$4674*'Tenant Data'!$E$2:$E$4674)/SUMPRODUCT(('Tenant Data'!$A$2:$A$4674="Crabtree Valley Mall")*('Tenant Data'!$D$2:$D$4674="Hobby &amp; Novelty")*('Tenant Data'!$F$2:$F$4674&gt;0)*('Tenant Data'!$E$2:$E$4674&lt;10000)*'Tenant Data'!$E$2:$E$4674),"")</f>
        <v>0.13510472246395053</v>
      </c>
      <c r="U14">
        <f>IFERROR(SUMPRODUCT(('Tenant Data'!$A$2:$A$4674="Crabtree Valley Mall")*('Tenant Data'!$D$2:$D$4674="Service")*('Tenant Data'!$F$2:$F$4674&gt;0)*('Tenant Data'!$E$2:$E$4674&lt;10000)*'Tenant Data'!$J$2:$J$4674*'Tenant Data'!$E$2:$E$4674)/SUMPRODUCT(('Tenant Data'!$A$2:$A$4674="Crabtree Valley Mall")*('Tenant Data'!$D$2:$D$4674="Service")*('Tenant Data'!$F$2:$F$4674&gt;0)*('Tenant Data'!$E$2:$E$4674&lt;10000)*'Tenant Data'!$E$2:$E$4674),"")</f>
        <v>0.11145199086716424</v>
      </c>
      <c r="V14">
        <f>IFERROR(SUMPRODUCT(('Tenant Data'!$A$2:$A$4674="Crabtree Valley Mall")*('Tenant Data'!$D$2:$D$4674="Tech")*('Tenant Data'!$F$2:$F$4674&gt;0)*('Tenant Data'!$E$2:$E$4674&lt;10000)*'Tenant Data'!$J$2:$J$4674*'Tenant Data'!$E$2:$E$4674)/SUMPRODUCT(('Tenant Data'!$A$2:$A$4674="Crabtree Valley Mall")*('Tenant Data'!$D$2:$D$4674="Tech")*('Tenant Data'!$F$2:$F$4674&gt;0)*('Tenant Data'!$E$2:$E$4674&lt;10000)*'Tenant Data'!$E$2:$E$4674),"")</f>
        <v>0.26176114944089302</v>
      </c>
      <c r="W14">
        <f>IFERROR(SUMPRODUCT(('Tenant Data'!$A$2:$A$4674="Crabtree Valley Mall")*('Tenant Data'!$D$2:$D$4674="Major")*('Tenant Data'!$F$2:$F$4674&gt;0)*('Tenant Data'!$E$2:$E$4674&lt;10000)*'Tenant Data'!$J$2:$J$4674*'Tenant Data'!$E$2:$E$4674)/SUMPRODUCT(('Tenant Data'!$A$2:$A$4674="Crabtree Valley Mall")*('Tenant Data'!$D$2:$D$4674="Major")*('Tenant Data'!$F$2:$F$4674&gt;0)*('Tenant Data'!$E$2:$E$4674&lt;10000)*'Tenant Data'!$E$2:$E$4674),"")</f>
        <v>0.1377736403062233</v>
      </c>
      <c r="X14" t="str">
        <f>IFERROR(SUMPRODUCT(('Tenant Data'!$A$2:$A$4674="Crabtree Valley Mall")*('Tenant Data'!$D$2:$D$4674="Anchor")*('Tenant Data'!$F$2:$F$4674&gt;0)*('Tenant Data'!$E$2:$E$4674&lt;10000)*'Tenant Data'!$J$2:$J$4674*'Tenant Data'!$E$2:$E$4674)/SUMPRODUCT(('Tenant Data'!$A$2:$A$4674="Crabtree Valley Mall")*('Tenant Data'!$D$2:$D$4674="Anchor")*('Tenant Data'!$F$2:$F$4674&gt;0)*('Tenant Data'!$E$2:$E$4674&lt;10000)*'Tenant Data'!$E$2:$E$4674),"")</f>
        <v/>
      </c>
      <c r="Y14">
        <f>IFERROR(SUMPRODUCT(('Tenant Data'!$A$2:$A$4674="Crabtree Valley Mall")*('Tenant Data'!$D$2:$D$4674="Apple")*('Tenant Data'!$F$2:$F$4674&gt;0)*('Tenant Data'!$E$2:$E$4674&lt;10000)*'Tenant Data'!$J$2:$J$4674*'Tenant Data'!$E$2:$E$4674)/SUMPRODUCT(('Tenant Data'!$A$2:$A$4674="Crabtree Valley Mall")*('Tenant Data'!$D$2:$D$4674="Apple")*('Tenant Data'!$F$2:$F$4674&gt;0)*('Tenant Data'!$E$2:$E$4674&lt;10000)*'Tenant Data'!$E$2:$E$4674),"")</f>
        <v>1.1223356106883429E-2</v>
      </c>
      <c r="Z14">
        <f>SUMIFS('Tenant Data'!$F$2:$F$4674,'Tenant Data'!$A$2:$A$4674,"Crabtree Valley Mall",'Tenant Data'!$D$2:$D$4674,"Apparel",'Tenant Data'!$E$2:$E$4674,"&lt;10000")</f>
        <v>65407476</v>
      </c>
      <c r="AA14">
        <f>SUMIFS('Tenant Data'!$F$2:$F$4674,'Tenant Data'!$A$2:$A$4674,"Crabtree Valley Mall",'Tenant Data'!$D$2:$D$4674,"Shoes",'Tenant Data'!$E$2:$E$4674,"&lt;10000")</f>
        <v>25084056</v>
      </c>
      <c r="AB14">
        <f>SUMIFS('Tenant Data'!$F$2:$F$4674,'Tenant Data'!$A$2:$A$4674,"Crabtree Valley Mall",'Tenant Data'!$D$2:$D$4674,"Jewelry",'Tenant Data'!$E$2:$E$4674,"&lt;10000")</f>
        <v>22784928</v>
      </c>
      <c r="AC14">
        <f>SUMIFS('Tenant Data'!$F$2:$F$4674,'Tenant Data'!$A$2:$A$4674,"Crabtree Valley Mall",'Tenant Data'!$D$2:$D$4674,"Health &amp; Beauty",'Tenant Data'!$E$2:$E$4674,"&lt;10000")</f>
        <v>17785224</v>
      </c>
      <c r="AD14">
        <f>SUMIFS('Tenant Data'!$F$2:$F$4674,'Tenant Data'!$A$2:$A$4674,"Crabtree Valley Mall",'Tenant Data'!$D$2:$D$4674,"Food &amp; Beverage",'Tenant Data'!$E$2:$E$4674,"&lt;10000")</f>
        <v>6355104</v>
      </c>
      <c r="AE14">
        <f>SUMIFS('Tenant Data'!$F$2:$F$4674,'Tenant Data'!$A$2:$A$4674,"Crabtree Valley Mall",'Tenant Data'!$D$2:$D$4674,"Restaurant",'Tenant Data'!$E$2:$E$4674,"&lt;10000")</f>
        <v>24091992</v>
      </c>
      <c r="AF14">
        <f>SUMIFS('Tenant Data'!$F$2:$F$4674,'Tenant Data'!$A$2:$A$4674,"Crabtree Valley Mall",'Tenant Data'!$D$2:$D$4674,"Hobby &amp; Novelty",'Tenant Data'!$E$2:$E$4674,"&lt;10000")</f>
        <v>16142136</v>
      </c>
      <c r="AG14">
        <f>SUMIFS('Tenant Data'!$F$2:$F$4674,'Tenant Data'!$A$2:$A$4674,"Crabtree Valley Mall",'Tenant Data'!$D$2:$D$4674,"Service",'Tenant Data'!$E$2:$E$4674,"&lt;10000")</f>
        <v>9940608</v>
      </c>
      <c r="AH14">
        <f>SUMIFS('Tenant Data'!$F$2:$F$4674,'Tenant Data'!$A$2:$A$4674,"Crabtree Valley Mall",'Tenant Data'!$D$2:$D$4674,"Tech",'Tenant Data'!$E$2:$E$4674,"&lt;10000")</f>
        <v>2543664</v>
      </c>
      <c r="AI14">
        <f>SUMIFS('Tenant Data'!$F$2:$F$4674,'Tenant Data'!$A$2:$A$4674,"Crabtree Valley Mall",'Tenant Data'!$D$2:$D$4674,"Major",'Tenant Data'!$E$2:$E$4674,"&lt;10000")</f>
        <v>5479812</v>
      </c>
      <c r="AJ14">
        <f>SUMIFS('Tenant Data'!$F$2:$F$4674,'Tenant Data'!$A$2:$A$4674,"Crabtree Valley Mall",'Tenant Data'!$D$2:$D$4674,"Anchor",'Tenant Data'!$E$2:$E$4674,"&lt;10000")</f>
        <v>0</v>
      </c>
      <c r="AK14">
        <f>SUMIFS('Tenant Data'!$F$2:$F$4674,'Tenant Data'!$A$2:$A$4674,"Crabtree Valley Mall",'Tenant Data'!$D$2:$D$4674,"Apple",'Tenant Data'!$E$2:$E$4674,"&lt;10000")</f>
        <v>54803928</v>
      </c>
      <c r="AL14">
        <f>SUMIFS('Tenant Data'!$E$2:$E$4674,'Tenant Data'!$A$2:$A$4674,"Crabtree Valley Mall",'Tenant Data'!$D$2:$D$4674,"Apparel",'Tenant Data'!$F$2:$F$4674,"&gt;0",'Tenant Data'!$E$2:$E$4674,"&lt;10000")</f>
        <v>122540</v>
      </c>
      <c r="AM14">
        <f>SUMIFS('Tenant Data'!$E$2:$E$4674,'Tenant Data'!$A$2:$A$4674,"Crabtree Valley Mall",'Tenant Data'!$D$2:$D$4674,"Shoes",'Tenant Data'!$F$2:$F$4674,"&gt;0",'Tenant Data'!$E$2:$E$4674,"&lt;10000")</f>
        <v>33099</v>
      </c>
      <c r="AN14">
        <f>SUMIFS('Tenant Data'!$E$2:$E$4674,'Tenant Data'!$A$2:$A$4674,"Crabtree Valley Mall",'Tenant Data'!$D$2:$D$4674,"Jewelry",'Tenant Data'!$F$2:$F$4674,"&gt;0",'Tenant Data'!$E$2:$E$4674,"&lt;10000")</f>
        <v>12205</v>
      </c>
      <c r="AO14">
        <f>SUMIFS('Tenant Data'!$E$2:$E$4674,'Tenant Data'!$A$2:$A$4674,"Crabtree Valley Mall",'Tenant Data'!$D$2:$D$4674,"Health &amp; Beauty",'Tenant Data'!$F$2:$F$4674,"&gt;0",'Tenant Data'!$E$2:$E$4674,"&lt;10000")</f>
        <v>12369</v>
      </c>
      <c r="AP14">
        <f>SUMIFS('Tenant Data'!$E$2:$E$4674,'Tenant Data'!$A$2:$A$4674,"Crabtree Valley Mall",'Tenant Data'!$D$2:$D$4674,"Food &amp; Beverage",'Tenant Data'!$F$2:$F$4674,"&gt;0",'Tenant Data'!$E$2:$E$4674,"&lt;10000")</f>
        <v>4018</v>
      </c>
      <c r="AQ14">
        <f>SUMIFS('Tenant Data'!$E$2:$E$4674,'Tenant Data'!$A$2:$A$4674,"Crabtree Valley Mall",'Tenant Data'!$D$2:$D$4674,"Restaurant",'Tenant Data'!$F$2:$F$4674,"&gt;0",'Tenant Data'!$E$2:$E$4674,"&lt;10000")</f>
        <v>24345</v>
      </c>
      <c r="AR14">
        <f>SUMIFS('Tenant Data'!$E$2:$E$4674,'Tenant Data'!$A$2:$A$4674,"Crabtree Valley Mall",'Tenant Data'!$D$2:$D$4674,"Hobby &amp; Novelty",'Tenant Data'!$F$2:$F$4674,"&gt;0",'Tenant Data'!$E$2:$E$4674,"&lt;10000")</f>
        <v>18252</v>
      </c>
      <c r="AS14">
        <f>SUMIFS('Tenant Data'!$E$2:$E$4674,'Tenant Data'!$A$2:$A$4674,"Crabtree Valley Mall",'Tenant Data'!$D$2:$D$4674,"Service",'Tenant Data'!$F$2:$F$4674,"&gt;0",'Tenant Data'!$E$2:$E$4674,"&lt;10000")</f>
        <v>13856</v>
      </c>
      <c r="AT14">
        <f>SUMIFS('Tenant Data'!$E$2:$E$4674,'Tenant Data'!$A$2:$A$4674,"Crabtree Valley Mall",'Tenant Data'!$D$2:$D$4674,"Tech",'Tenant Data'!$F$2:$F$4674,"&gt;0",'Tenant Data'!$E$2:$E$4674,"&lt;10000")</f>
        <v>2353</v>
      </c>
      <c r="AU14">
        <f>SUMIFS('Tenant Data'!$E$2:$E$4674,'Tenant Data'!$A$2:$A$4674,"Crabtree Valley Mall",'Tenant Data'!$D$2:$D$4674,"Major",'Tenant Data'!$F$2:$F$4674,"&gt;0",'Tenant Data'!$E$2:$E$4674,"&lt;10000")</f>
        <v>3195</v>
      </c>
      <c r="AV14">
        <f>SUMIFS('Tenant Data'!$E$2:$E$4674,'Tenant Data'!$A$2:$A$4674,"Crabtree Valley Mall",'Tenant Data'!$D$2:$D$4674,"Anchor",'Tenant Data'!$F$2:$F$4674,"&gt;0",'Tenant Data'!$E$2:$E$4674,"&lt;10000")</f>
        <v>0</v>
      </c>
      <c r="AW14">
        <f>SUMIFS('Tenant Data'!$E$2:$E$4674,'Tenant Data'!$A$2:$A$4674,"Crabtree Valley Mall",'Tenant Data'!$D$2:$D$4674,"Apple",'Tenant Data'!$F$2:$F$4674,"&gt;0",'Tenant Data'!$E$2:$E$4674,"&lt;10000")</f>
        <v>9810</v>
      </c>
      <c r="AX14">
        <v>1</v>
      </c>
      <c r="AY14" t="str">
        <f>'Property Summary'!B14</f>
        <v>Y</v>
      </c>
      <c r="AZ14">
        <f t="shared" si="12"/>
        <v>256042</v>
      </c>
    </row>
    <row r="15" spans="1:52" x14ac:dyDescent="0.2">
      <c r="A15" t="s">
        <v>59</v>
      </c>
      <c r="B15">
        <f t="shared" si="0"/>
        <v>327.14022630641853</v>
      </c>
      <c r="C15">
        <f t="shared" si="1"/>
        <v>404.7174737023625</v>
      </c>
      <c r="D15">
        <f t="shared" si="2"/>
        <v>1111.0987658725994</v>
      </c>
      <c r="E15">
        <f t="shared" si="3"/>
        <v>944.7579227126929</v>
      </c>
      <c r="F15">
        <f t="shared" si="4"/>
        <v>1223.0661453541859</v>
      </c>
      <c r="G15">
        <f t="shared" si="5"/>
        <v>721.61329237071175</v>
      </c>
      <c r="H15">
        <f t="shared" si="6"/>
        <v>423.45535749106273</v>
      </c>
      <c r="I15">
        <f t="shared" si="7"/>
        <v>714.0488145265889</v>
      </c>
      <c r="J15">
        <f t="shared" si="8"/>
        <v>1023.0462899896801</v>
      </c>
      <c r="K15">
        <f t="shared" si="9"/>
        <v>660.02168947368421</v>
      </c>
      <c r="L15" t="str">
        <f t="shared" si="10"/>
        <v/>
      </c>
      <c r="M15" t="str">
        <f t="shared" si="11"/>
        <v/>
      </c>
      <c r="N15">
        <f>IFERROR(SUMPRODUCT(('Tenant Data'!$A$2:$A$4674="Cross Creek Mall")*('Tenant Data'!$D$2:$D$4674="Apparel")*('Tenant Data'!$F$2:$F$4674&gt;0)*('Tenant Data'!$E$2:$E$4674&lt;10000)*'Tenant Data'!$J$2:$J$4674*'Tenant Data'!$E$2:$E$4674)/SUMPRODUCT(('Tenant Data'!$A$2:$A$4674="Cross Creek Mall")*('Tenant Data'!$D$2:$D$4674="Apparel")*('Tenant Data'!$F$2:$F$4674&gt;0)*('Tenant Data'!$E$2:$E$4674&lt;10000)*'Tenant Data'!$E$2:$E$4674),"")</f>
        <v>0.16906351730531313</v>
      </c>
      <c r="O15">
        <f>IFERROR(SUMPRODUCT(('Tenant Data'!$A$2:$A$4674="Cross Creek Mall")*('Tenant Data'!$D$2:$D$4674="Shoes")*('Tenant Data'!$F$2:$F$4674&gt;0)*('Tenant Data'!$E$2:$E$4674&lt;10000)*'Tenant Data'!$J$2:$J$4674*'Tenant Data'!$E$2:$E$4674)/SUMPRODUCT(('Tenant Data'!$A$2:$A$4674="Cross Creek Mall")*('Tenant Data'!$D$2:$D$4674="Shoes")*('Tenant Data'!$F$2:$F$4674&gt;0)*('Tenant Data'!$E$2:$E$4674&lt;10000)*'Tenant Data'!$E$2:$E$4674),"")</f>
        <v>0.2294252522118225</v>
      </c>
      <c r="P15">
        <f>IFERROR(SUMPRODUCT(('Tenant Data'!$A$2:$A$4674="Cross Creek Mall")*('Tenant Data'!$D$2:$D$4674="Jewelry")*('Tenant Data'!$F$2:$F$4674&gt;0)*('Tenant Data'!$E$2:$E$4674&lt;10000)*'Tenant Data'!$J$2:$J$4674*'Tenant Data'!$E$2:$E$4674)/SUMPRODUCT(('Tenant Data'!$A$2:$A$4674="Cross Creek Mall")*('Tenant Data'!$D$2:$D$4674="Jewelry")*('Tenant Data'!$F$2:$F$4674&gt;0)*('Tenant Data'!$E$2:$E$4674&lt;10000)*'Tenant Data'!$E$2:$E$4674),"")</f>
        <v>0.13742538842170596</v>
      </c>
      <c r="Q15">
        <f>IFERROR(SUMPRODUCT(('Tenant Data'!$A$2:$A$4674="Cross Creek Mall")*('Tenant Data'!$D$2:$D$4674="Health &amp; Beauty")*('Tenant Data'!$F$2:$F$4674&gt;0)*('Tenant Data'!$E$2:$E$4674&lt;10000)*'Tenant Data'!$J$2:$J$4674*'Tenant Data'!$E$2:$E$4674)/SUMPRODUCT(('Tenant Data'!$A$2:$A$4674="Cross Creek Mall")*('Tenant Data'!$D$2:$D$4674="Health &amp; Beauty")*('Tenant Data'!$F$2:$F$4674&gt;0)*('Tenant Data'!$E$2:$E$4674&lt;10000)*'Tenant Data'!$E$2:$E$4674),"")</f>
        <v>0.1245299961931397</v>
      </c>
      <c r="R15">
        <f>IFERROR(SUMPRODUCT(('Tenant Data'!$A$2:$A$4674="Cross Creek Mall")*('Tenant Data'!$D$2:$D$4674="Food &amp; Beverage")*('Tenant Data'!$F$2:$F$4674&gt;0)*('Tenant Data'!$E$2:$E$4674&lt;10000)*'Tenant Data'!$J$2:$J$4674*'Tenant Data'!$E$2:$E$4674)/SUMPRODUCT(('Tenant Data'!$A$2:$A$4674="Cross Creek Mall")*('Tenant Data'!$D$2:$D$4674="Food &amp; Beverage")*('Tenant Data'!$F$2:$F$4674&gt;0)*('Tenant Data'!$E$2:$E$4674&lt;10000)*'Tenant Data'!$E$2:$E$4674),"")</f>
        <v>0.15623193563856302</v>
      </c>
      <c r="S15">
        <f>IFERROR(SUMPRODUCT(('Tenant Data'!$A$2:$A$4674="Cross Creek Mall")*('Tenant Data'!$D$2:$D$4674="Restaurant")*('Tenant Data'!$F$2:$F$4674&gt;0)*('Tenant Data'!$E$2:$E$4674&lt;10000)*'Tenant Data'!$J$2:$J$4674*'Tenant Data'!$E$2:$E$4674)/SUMPRODUCT(('Tenant Data'!$A$2:$A$4674="Cross Creek Mall")*('Tenant Data'!$D$2:$D$4674="Restaurant")*('Tenant Data'!$F$2:$F$4674&gt;0)*('Tenant Data'!$E$2:$E$4674&lt;10000)*'Tenant Data'!$E$2:$E$4674),"")</f>
        <v>8.7202066325027444E-2</v>
      </c>
      <c r="T15">
        <f>IFERROR(SUMPRODUCT(('Tenant Data'!$A$2:$A$4674="Cross Creek Mall")*('Tenant Data'!$D$2:$D$4674="Hobby &amp; Novelty")*('Tenant Data'!$F$2:$F$4674&gt;0)*('Tenant Data'!$E$2:$E$4674&lt;10000)*'Tenant Data'!$J$2:$J$4674*'Tenant Data'!$E$2:$E$4674)/SUMPRODUCT(('Tenant Data'!$A$2:$A$4674="Cross Creek Mall")*('Tenant Data'!$D$2:$D$4674="Hobby &amp; Novelty")*('Tenant Data'!$F$2:$F$4674&gt;0)*('Tenant Data'!$E$2:$E$4674&lt;10000)*'Tenant Data'!$E$2:$E$4674),"")</f>
        <v>0.13009861983932114</v>
      </c>
      <c r="U15">
        <f>IFERROR(SUMPRODUCT(('Tenant Data'!$A$2:$A$4674="Cross Creek Mall")*('Tenant Data'!$D$2:$D$4674="Service")*('Tenant Data'!$F$2:$F$4674&gt;0)*('Tenant Data'!$E$2:$E$4674&lt;10000)*'Tenant Data'!$J$2:$J$4674*'Tenant Data'!$E$2:$E$4674)/SUMPRODUCT(('Tenant Data'!$A$2:$A$4674="Cross Creek Mall")*('Tenant Data'!$D$2:$D$4674="Service")*('Tenant Data'!$F$2:$F$4674&gt;0)*('Tenant Data'!$E$2:$E$4674&lt;10000)*'Tenant Data'!$E$2:$E$4674),"")</f>
        <v>0.13592461073152509</v>
      </c>
      <c r="V15">
        <f>IFERROR(SUMPRODUCT(('Tenant Data'!$A$2:$A$4674="Cross Creek Mall")*('Tenant Data'!$D$2:$D$4674="Tech")*('Tenant Data'!$F$2:$F$4674&gt;0)*('Tenant Data'!$E$2:$E$4674&lt;10000)*'Tenant Data'!$J$2:$J$4674*'Tenant Data'!$E$2:$E$4674)/SUMPRODUCT(('Tenant Data'!$A$2:$A$4674="Cross Creek Mall")*('Tenant Data'!$D$2:$D$4674="Tech")*('Tenant Data'!$F$2:$F$4674&gt;0)*('Tenant Data'!$E$2:$E$4674&lt;10000)*'Tenant Data'!$E$2:$E$4674),"")</f>
        <v>0.21624726246272982</v>
      </c>
      <c r="W15">
        <f>IFERROR(SUMPRODUCT(('Tenant Data'!$A$2:$A$4674="Cross Creek Mall")*('Tenant Data'!$D$2:$D$4674="Major")*('Tenant Data'!$F$2:$F$4674&gt;0)*('Tenant Data'!$E$2:$E$4674&lt;10000)*'Tenant Data'!$J$2:$J$4674*'Tenant Data'!$E$2:$E$4674)/SUMPRODUCT(('Tenant Data'!$A$2:$A$4674="Cross Creek Mall")*('Tenant Data'!$D$2:$D$4674="Major")*('Tenant Data'!$F$2:$F$4674&gt;0)*('Tenant Data'!$E$2:$E$4674&lt;10000)*'Tenant Data'!$E$2:$E$4674),"")</f>
        <v>0.19693003358318659</v>
      </c>
      <c r="X15" t="str">
        <f>IFERROR(SUMPRODUCT(('Tenant Data'!$A$2:$A$4674="Cross Creek Mall")*('Tenant Data'!$D$2:$D$4674="Anchor")*('Tenant Data'!$F$2:$F$4674&gt;0)*('Tenant Data'!$E$2:$E$4674&lt;10000)*'Tenant Data'!$J$2:$J$4674*'Tenant Data'!$E$2:$E$4674)/SUMPRODUCT(('Tenant Data'!$A$2:$A$4674="Cross Creek Mall")*('Tenant Data'!$D$2:$D$4674="Anchor")*('Tenant Data'!$F$2:$F$4674&gt;0)*('Tenant Data'!$E$2:$E$4674&lt;10000)*'Tenant Data'!$E$2:$E$4674),"")</f>
        <v/>
      </c>
      <c r="Y15" t="str">
        <f>IFERROR(SUMPRODUCT(('Tenant Data'!$A$2:$A$4674="Cross Creek Mall")*('Tenant Data'!$D$2:$D$4674="Apple")*('Tenant Data'!$F$2:$F$4674&gt;0)*('Tenant Data'!$E$2:$E$4674&lt;10000)*'Tenant Data'!$J$2:$J$4674*'Tenant Data'!$E$2:$E$4674)/SUMPRODUCT(('Tenant Data'!$A$2:$A$4674="Cross Creek Mall")*('Tenant Data'!$D$2:$D$4674="Apple")*('Tenant Data'!$F$2:$F$4674&gt;0)*('Tenant Data'!$E$2:$E$4674&lt;10000)*'Tenant Data'!$E$2:$E$4674),"")</f>
        <v/>
      </c>
      <c r="Z15">
        <f>SUMIFS('Tenant Data'!$F$2:$F$4674,'Tenant Data'!$A$2:$A$4674,"Cross Creek Mall",'Tenant Data'!$D$2:$D$4674,"Apparel",'Tenant Data'!$E$2:$E$4674,"&lt;10000")</f>
        <v>33623799.600000001</v>
      </c>
      <c r="AA15">
        <f>SUMIFS('Tenant Data'!$F$2:$F$4674,'Tenant Data'!$A$2:$A$4674,"Cross Creek Mall",'Tenant Data'!$D$2:$D$4674,"Shoes",'Tenant Data'!$E$2:$E$4674,"&lt;10000")</f>
        <v>23469566.300000001</v>
      </c>
      <c r="AB15">
        <f>SUMIFS('Tenant Data'!$F$2:$F$4674,'Tenant Data'!$A$2:$A$4674,"Cross Creek Mall",'Tenant Data'!$D$2:$D$4674,"Jewelry",'Tenant Data'!$E$2:$E$4674,"&lt;10000")</f>
        <v>21175320.280000001</v>
      </c>
      <c r="AC15">
        <f>SUMIFS('Tenant Data'!$F$2:$F$4674,'Tenant Data'!$A$2:$A$4674,"Cross Creek Mall",'Tenant Data'!$D$2:$D$4674,"Health &amp; Beauty",'Tenant Data'!$E$2:$E$4674,"&lt;10000")</f>
        <v>6185330.1200000001</v>
      </c>
      <c r="AD15">
        <f>SUMIFS('Tenant Data'!$F$2:$F$4674,'Tenant Data'!$A$2:$A$4674,"Cross Creek Mall",'Tenant Data'!$D$2:$D$4674,"Food &amp; Beverage",'Tenant Data'!$E$2:$E$4674,"&lt;10000")</f>
        <v>3988418.7</v>
      </c>
      <c r="AE15">
        <f>SUMIFS('Tenant Data'!$F$2:$F$4674,'Tenant Data'!$A$2:$A$4674,"Cross Creek Mall",'Tenant Data'!$D$2:$D$4674,"Restaurant",'Tenant Data'!$E$2:$E$4674,"&lt;10000")</f>
        <v>15502418.360000001</v>
      </c>
      <c r="AF15">
        <f>SUMIFS('Tenant Data'!$F$2:$F$4674,'Tenant Data'!$A$2:$A$4674,"Cross Creek Mall",'Tenant Data'!$D$2:$D$4674,"Hobby &amp; Novelty",'Tenant Data'!$E$2:$E$4674,"&lt;10000")</f>
        <v>2605944.27</v>
      </c>
      <c r="AG15">
        <f>SUMIFS('Tenant Data'!$F$2:$F$4674,'Tenant Data'!$A$2:$A$4674,"Cross Creek Mall",'Tenant Data'!$D$2:$D$4674,"Service",'Tenant Data'!$E$2:$E$4674,"&lt;10000")</f>
        <v>5505316.3600000003</v>
      </c>
      <c r="AH15">
        <f>SUMIFS('Tenant Data'!$F$2:$F$4674,'Tenant Data'!$A$2:$A$4674,"Cross Creek Mall",'Tenant Data'!$D$2:$D$4674,"Tech",'Tenant Data'!$E$2:$E$4674,"&lt;10000")</f>
        <v>1982663.71</v>
      </c>
      <c r="AI15">
        <f>SUMIFS('Tenant Data'!$F$2:$F$4674,'Tenant Data'!$A$2:$A$4674,"Cross Creek Mall",'Tenant Data'!$D$2:$D$4674,"Major",'Tenant Data'!$E$2:$E$4674,"&lt;10000")</f>
        <v>1254041.21</v>
      </c>
      <c r="AJ15">
        <f>SUMIFS('Tenant Data'!$F$2:$F$4674,'Tenant Data'!$A$2:$A$4674,"Cross Creek Mall",'Tenant Data'!$D$2:$D$4674,"Anchor",'Tenant Data'!$E$2:$E$4674,"&lt;10000")</f>
        <v>0</v>
      </c>
      <c r="AK15">
        <f>SUMIFS('Tenant Data'!$F$2:$F$4674,'Tenant Data'!$A$2:$A$4674,"Cross Creek Mall",'Tenant Data'!$D$2:$D$4674,"Apple",'Tenant Data'!$E$2:$E$4674,"&lt;10000")</f>
        <v>0</v>
      </c>
      <c r="AL15">
        <f>SUMIFS('Tenant Data'!$E$2:$E$4674,'Tenant Data'!$A$2:$A$4674,"Cross Creek Mall",'Tenant Data'!$D$2:$D$4674,"Apparel",'Tenant Data'!$F$2:$F$4674,"&gt;0",'Tenant Data'!$E$2:$E$4674,"&lt;10000")</f>
        <v>102781</v>
      </c>
      <c r="AM15">
        <f>SUMIFS('Tenant Data'!$E$2:$E$4674,'Tenant Data'!$A$2:$A$4674,"Cross Creek Mall",'Tenant Data'!$D$2:$D$4674,"Shoes",'Tenant Data'!$F$2:$F$4674,"&gt;0",'Tenant Data'!$E$2:$E$4674,"&lt;10000")</f>
        <v>57990</v>
      </c>
      <c r="AN15">
        <f>SUMIFS('Tenant Data'!$E$2:$E$4674,'Tenant Data'!$A$2:$A$4674,"Cross Creek Mall",'Tenant Data'!$D$2:$D$4674,"Jewelry",'Tenant Data'!$F$2:$F$4674,"&gt;0",'Tenant Data'!$E$2:$E$4674,"&lt;10000")</f>
        <v>19058</v>
      </c>
      <c r="AO15">
        <f>SUMIFS('Tenant Data'!$E$2:$E$4674,'Tenant Data'!$A$2:$A$4674,"Cross Creek Mall",'Tenant Data'!$D$2:$D$4674,"Health &amp; Beauty",'Tenant Data'!$F$2:$F$4674,"&gt;0",'Tenant Data'!$E$2:$E$4674,"&lt;10000")</f>
        <v>6547</v>
      </c>
      <c r="AP15">
        <f>SUMIFS('Tenant Data'!$E$2:$E$4674,'Tenant Data'!$A$2:$A$4674,"Cross Creek Mall",'Tenant Data'!$D$2:$D$4674,"Food &amp; Beverage",'Tenant Data'!$F$2:$F$4674,"&gt;0",'Tenant Data'!$E$2:$E$4674,"&lt;10000")</f>
        <v>3261</v>
      </c>
      <c r="AQ15">
        <f>SUMIFS('Tenant Data'!$E$2:$E$4674,'Tenant Data'!$A$2:$A$4674,"Cross Creek Mall",'Tenant Data'!$D$2:$D$4674,"Restaurant",'Tenant Data'!$F$2:$F$4674,"&gt;0",'Tenant Data'!$E$2:$E$4674,"&lt;10000")</f>
        <v>21483</v>
      </c>
      <c r="AR15">
        <f>SUMIFS('Tenant Data'!$E$2:$E$4674,'Tenant Data'!$A$2:$A$4674,"Cross Creek Mall",'Tenant Data'!$D$2:$D$4674,"Hobby &amp; Novelty",'Tenant Data'!$F$2:$F$4674,"&gt;0",'Tenant Data'!$E$2:$E$4674,"&lt;10000")</f>
        <v>6154</v>
      </c>
      <c r="AS15">
        <f>SUMIFS('Tenant Data'!$E$2:$E$4674,'Tenant Data'!$A$2:$A$4674,"Cross Creek Mall",'Tenant Data'!$D$2:$D$4674,"Service",'Tenant Data'!$F$2:$F$4674,"&gt;0",'Tenant Data'!$E$2:$E$4674,"&lt;10000")</f>
        <v>7710</v>
      </c>
      <c r="AT15">
        <f>SUMIFS('Tenant Data'!$E$2:$E$4674,'Tenant Data'!$A$2:$A$4674,"Cross Creek Mall",'Tenant Data'!$D$2:$D$4674,"Tech",'Tenant Data'!$F$2:$F$4674,"&gt;0",'Tenant Data'!$E$2:$E$4674,"&lt;10000")</f>
        <v>1938</v>
      </c>
      <c r="AU15">
        <f>SUMIFS('Tenant Data'!$E$2:$E$4674,'Tenant Data'!$A$2:$A$4674,"Cross Creek Mall",'Tenant Data'!$D$2:$D$4674,"Major",'Tenant Data'!$F$2:$F$4674,"&gt;0",'Tenant Data'!$E$2:$E$4674,"&lt;10000")</f>
        <v>1900</v>
      </c>
      <c r="AV15">
        <f>SUMIFS('Tenant Data'!$E$2:$E$4674,'Tenant Data'!$A$2:$A$4674,"Cross Creek Mall",'Tenant Data'!$D$2:$D$4674,"Anchor",'Tenant Data'!$F$2:$F$4674,"&gt;0",'Tenant Data'!$E$2:$E$4674,"&lt;10000")</f>
        <v>0</v>
      </c>
      <c r="AW15">
        <f>SUMIFS('Tenant Data'!$E$2:$E$4674,'Tenant Data'!$A$2:$A$4674,"Cross Creek Mall",'Tenant Data'!$D$2:$D$4674,"Apple",'Tenant Data'!$F$2:$F$4674,"&gt;0",'Tenant Data'!$E$2:$E$4674,"&lt;10000")</f>
        <v>0</v>
      </c>
      <c r="AX15">
        <v>1</v>
      </c>
      <c r="AY15" t="str">
        <f>'Property Summary'!B15</f>
        <v>Y</v>
      </c>
      <c r="AZ15">
        <f t="shared" si="12"/>
        <v>228822</v>
      </c>
    </row>
    <row r="16" spans="1:52" x14ac:dyDescent="0.2">
      <c r="A16" t="s">
        <v>35</v>
      </c>
      <c r="B16">
        <f t="shared" si="0"/>
        <v>414.91146684077245</v>
      </c>
      <c r="C16">
        <f t="shared" si="1"/>
        <v>522.31914383561639</v>
      </c>
      <c r="D16">
        <f t="shared" si="2"/>
        <v>1023.2159339407747</v>
      </c>
      <c r="E16">
        <f t="shared" si="3"/>
        <v>619.46859281817035</v>
      </c>
      <c r="F16">
        <f t="shared" si="4"/>
        <v>672.7897019838864</v>
      </c>
      <c r="G16">
        <f t="shared" si="5"/>
        <v>1684.524671596346</v>
      </c>
      <c r="H16">
        <f t="shared" si="6"/>
        <v>576.70040155135928</v>
      </c>
      <c r="I16">
        <f t="shared" si="7"/>
        <v>631.92922882717471</v>
      </c>
      <c r="J16">
        <f t="shared" si="8"/>
        <v>388.3392694063927</v>
      </c>
      <c r="K16">
        <f t="shared" si="9"/>
        <v>455.72836172290329</v>
      </c>
      <c r="L16" t="str">
        <f t="shared" si="10"/>
        <v/>
      </c>
      <c r="M16" t="str">
        <f t="shared" si="11"/>
        <v/>
      </c>
      <c r="N16">
        <f>IFERROR(SUMPRODUCT(('Tenant Data'!$A$2:$A$4674="Crossgates Center")*('Tenant Data'!$D$2:$D$4674="Apparel")*('Tenant Data'!$F$2:$F$4674&gt;0)*('Tenant Data'!$E$2:$E$4674&lt;10000)*'Tenant Data'!$J$2:$J$4674*'Tenant Data'!$E$2:$E$4674)/SUMPRODUCT(('Tenant Data'!$A$2:$A$4674="Crossgates Center")*('Tenant Data'!$D$2:$D$4674="Apparel")*('Tenant Data'!$F$2:$F$4674&gt;0)*('Tenant Data'!$E$2:$E$4674&lt;10000)*'Tenant Data'!$E$2:$E$4674),"")</f>
        <v>0.12118041986016399</v>
      </c>
      <c r="O16">
        <f>IFERROR(SUMPRODUCT(('Tenant Data'!$A$2:$A$4674="Crossgates Center")*('Tenant Data'!$D$2:$D$4674="Shoes")*('Tenant Data'!$F$2:$F$4674&gt;0)*('Tenant Data'!$E$2:$E$4674&lt;10000)*'Tenant Data'!$J$2:$J$4674*'Tenant Data'!$E$2:$E$4674)/SUMPRODUCT(('Tenant Data'!$A$2:$A$4674="Crossgates Center")*('Tenant Data'!$D$2:$D$4674="Shoes")*('Tenant Data'!$F$2:$F$4674&gt;0)*('Tenant Data'!$E$2:$E$4674&lt;10000)*'Tenant Data'!$E$2:$E$4674),"")</f>
        <v>0.13204612132024876</v>
      </c>
      <c r="P16">
        <f>IFERROR(SUMPRODUCT(('Tenant Data'!$A$2:$A$4674="Crossgates Center")*('Tenant Data'!$D$2:$D$4674="Jewelry")*('Tenant Data'!$F$2:$F$4674&gt;0)*('Tenant Data'!$E$2:$E$4674&lt;10000)*'Tenant Data'!$J$2:$J$4674*'Tenant Data'!$E$2:$E$4674)/SUMPRODUCT(('Tenant Data'!$A$2:$A$4674="Crossgates Center")*('Tenant Data'!$D$2:$D$4674="Jewelry")*('Tenant Data'!$F$2:$F$4674&gt;0)*('Tenant Data'!$E$2:$E$4674&lt;10000)*'Tenant Data'!$E$2:$E$4674),"")</f>
        <v>0.18795355456304277</v>
      </c>
      <c r="Q16">
        <f>IFERROR(SUMPRODUCT(('Tenant Data'!$A$2:$A$4674="Crossgates Center")*('Tenant Data'!$D$2:$D$4674="Health &amp; Beauty")*('Tenant Data'!$F$2:$F$4674&gt;0)*('Tenant Data'!$E$2:$E$4674&lt;10000)*'Tenant Data'!$J$2:$J$4674*'Tenant Data'!$E$2:$E$4674)/SUMPRODUCT(('Tenant Data'!$A$2:$A$4674="Crossgates Center")*('Tenant Data'!$D$2:$D$4674="Health &amp; Beauty")*('Tenant Data'!$F$2:$F$4674&gt;0)*('Tenant Data'!$E$2:$E$4674&lt;10000)*'Tenant Data'!$E$2:$E$4674),"")</f>
        <v>9.0025475852383074E-2</v>
      </c>
      <c r="R16">
        <f>IFERROR(SUMPRODUCT(('Tenant Data'!$A$2:$A$4674="Crossgates Center")*('Tenant Data'!$D$2:$D$4674="Food &amp; Beverage")*('Tenant Data'!$F$2:$F$4674&gt;0)*('Tenant Data'!$E$2:$E$4674&lt;10000)*'Tenant Data'!$J$2:$J$4674*'Tenant Data'!$E$2:$E$4674)/SUMPRODUCT(('Tenant Data'!$A$2:$A$4674="Crossgates Center")*('Tenant Data'!$D$2:$D$4674="Food &amp; Beverage")*('Tenant Data'!$F$2:$F$4674&gt;0)*('Tenant Data'!$E$2:$E$4674&lt;10000)*'Tenant Data'!$E$2:$E$4674),"")</f>
        <v>0.14565760773658709</v>
      </c>
      <c r="S16">
        <f>IFERROR(SUMPRODUCT(('Tenant Data'!$A$2:$A$4674="Crossgates Center")*('Tenant Data'!$D$2:$D$4674="Restaurant")*('Tenant Data'!$F$2:$F$4674&gt;0)*('Tenant Data'!$E$2:$E$4674&lt;10000)*'Tenant Data'!$J$2:$J$4674*'Tenant Data'!$E$2:$E$4674)/SUMPRODUCT(('Tenant Data'!$A$2:$A$4674="Crossgates Center")*('Tenant Data'!$D$2:$D$4674="Restaurant")*('Tenant Data'!$F$2:$F$4674&gt;0)*('Tenant Data'!$E$2:$E$4674&lt;10000)*'Tenant Data'!$E$2:$E$4674),"")</f>
        <v>0.1092623107406064</v>
      </c>
      <c r="T16">
        <f>IFERROR(SUMPRODUCT(('Tenant Data'!$A$2:$A$4674="Crossgates Center")*('Tenant Data'!$D$2:$D$4674="Hobby &amp; Novelty")*('Tenant Data'!$F$2:$F$4674&gt;0)*('Tenant Data'!$E$2:$E$4674&lt;10000)*'Tenant Data'!$J$2:$J$4674*'Tenant Data'!$E$2:$E$4674)/SUMPRODUCT(('Tenant Data'!$A$2:$A$4674="Crossgates Center")*('Tenant Data'!$D$2:$D$4674="Hobby &amp; Novelty")*('Tenant Data'!$F$2:$F$4674&gt;0)*('Tenant Data'!$E$2:$E$4674&lt;10000)*'Tenant Data'!$E$2:$E$4674),"")</f>
        <v>0.13203854603576731</v>
      </c>
      <c r="U16">
        <f>IFERROR(SUMPRODUCT(('Tenant Data'!$A$2:$A$4674="Crossgates Center")*('Tenant Data'!$D$2:$D$4674="Service")*('Tenant Data'!$F$2:$F$4674&gt;0)*('Tenant Data'!$E$2:$E$4674&lt;10000)*'Tenant Data'!$J$2:$J$4674*'Tenant Data'!$E$2:$E$4674)/SUMPRODUCT(('Tenant Data'!$A$2:$A$4674="Crossgates Center")*('Tenant Data'!$D$2:$D$4674="Service")*('Tenant Data'!$F$2:$F$4674&gt;0)*('Tenant Data'!$E$2:$E$4674&lt;10000)*'Tenant Data'!$E$2:$E$4674),"")</f>
        <v>0.1276235900682561</v>
      </c>
      <c r="V16">
        <f>IFERROR(SUMPRODUCT(('Tenant Data'!$A$2:$A$4674="Crossgates Center")*('Tenant Data'!$D$2:$D$4674="Tech")*('Tenant Data'!$F$2:$F$4674&gt;0)*('Tenant Data'!$E$2:$E$4674&lt;10000)*'Tenant Data'!$J$2:$J$4674*'Tenant Data'!$E$2:$E$4674)/SUMPRODUCT(('Tenant Data'!$A$2:$A$4674="Crossgates Center")*('Tenant Data'!$D$2:$D$4674="Tech")*('Tenant Data'!$F$2:$F$4674&gt;0)*('Tenant Data'!$E$2:$E$4674&lt;10000)*'Tenant Data'!$E$2:$E$4674),"")</f>
        <v>0.32101572907933679</v>
      </c>
      <c r="W16">
        <f>IFERROR(SUMPRODUCT(('Tenant Data'!$A$2:$A$4674="Crossgates Center")*('Tenant Data'!$D$2:$D$4674="Major")*('Tenant Data'!$F$2:$F$4674&gt;0)*('Tenant Data'!$E$2:$E$4674&lt;10000)*'Tenant Data'!$J$2:$J$4674*'Tenant Data'!$E$2:$E$4674)/SUMPRODUCT(('Tenant Data'!$A$2:$A$4674="Crossgates Center")*('Tenant Data'!$D$2:$D$4674="Major")*('Tenant Data'!$F$2:$F$4674&gt;0)*('Tenant Data'!$E$2:$E$4674&lt;10000)*'Tenant Data'!$E$2:$E$4674),"")</f>
        <v>9.4224625491903802E-2</v>
      </c>
      <c r="X16" t="str">
        <f>IFERROR(SUMPRODUCT(('Tenant Data'!$A$2:$A$4674="Crossgates Center")*('Tenant Data'!$D$2:$D$4674="Anchor")*('Tenant Data'!$F$2:$F$4674&gt;0)*('Tenant Data'!$E$2:$E$4674&lt;10000)*'Tenant Data'!$J$2:$J$4674*'Tenant Data'!$E$2:$E$4674)/SUMPRODUCT(('Tenant Data'!$A$2:$A$4674="Crossgates Center")*('Tenant Data'!$D$2:$D$4674="Anchor")*('Tenant Data'!$F$2:$F$4674&gt;0)*('Tenant Data'!$E$2:$E$4674&lt;10000)*'Tenant Data'!$E$2:$E$4674),"")</f>
        <v/>
      </c>
      <c r="Y16" t="str">
        <f>IFERROR(SUMPRODUCT(('Tenant Data'!$A$2:$A$4674="Crossgates Center")*('Tenant Data'!$D$2:$D$4674="Apple")*('Tenant Data'!$F$2:$F$4674&gt;0)*('Tenant Data'!$E$2:$E$4674&lt;10000)*'Tenant Data'!$J$2:$J$4674*'Tenant Data'!$E$2:$E$4674)/SUMPRODUCT(('Tenant Data'!$A$2:$A$4674="Crossgates Center")*('Tenant Data'!$D$2:$D$4674="Apple")*('Tenant Data'!$F$2:$F$4674&gt;0)*('Tenant Data'!$E$2:$E$4674&lt;10000)*'Tenant Data'!$E$2:$E$4674),"")</f>
        <v/>
      </c>
      <c r="Z16">
        <f>SUMIFS('Tenant Data'!$F$2:$F$4674,'Tenant Data'!$A$2:$A$4674,"Crossgates Center",'Tenant Data'!$D$2:$D$4674,"Apparel",'Tenant Data'!$E$2:$E$4674,"&lt;10000")</f>
        <v>52428212.950000003</v>
      </c>
      <c r="AA16">
        <f>SUMIFS('Tenant Data'!$F$2:$F$4674,'Tenant Data'!$A$2:$A$4674,"Crossgates Center",'Tenant Data'!$D$2:$D$4674,"Shoes",'Tenant Data'!$E$2:$E$4674,"&lt;10000")</f>
        <v>14794167.43</v>
      </c>
      <c r="AB16">
        <f>SUMIFS('Tenant Data'!$F$2:$F$4674,'Tenant Data'!$A$2:$A$4674,"Crossgates Center",'Tenant Data'!$D$2:$D$4674,"Jewelry",'Tenant Data'!$E$2:$E$4674,"&lt;10000")</f>
        <v>5390301.540000001</v>
      </c>
      <c r="AC16">
        <f>SUMIFS('Tenant Data'!$F$2:$F$4674,'Tenant Data'!$A$2:$A$4674,"Crossgates Center",'Tenant Data'!$D$2:$D$4674,"Health &amp; Beauty",'Tenant Data'!$E$2:$E$4674,"&lt;10000")</f>
        <v>4882031.9800000004</v>
      </c>
      <c r="AD16">
        <f>SUMIFS('Tenant Data'!$F$2:$F$4674,'Tenant Data'!$A$2:$A$4674,"Crossgates Center",'Tenant Data'!$D$2:$D$4674,"Food &amp; Beverage",'Tenant Data'!$E$2:$E$4674,"&lt;10000")</f>
        <v>7766011.5300000012</v>
      </c>
      <c r="AE16">
        <f>SUMIFS('Tenant Data'!$F$2:$F$4674,'Tenant Data'!$A$2:$A$4674,"Crossgates Center",'Tenant Data'!$D$2:$D$4674,"Restaurant",'Tenant Data'!$E$2:$E$4674,"&lt;10000")</f>
        <v>3872722.2199999997</v>
      </c>
      <c r="AF16">
        <f>SUMIFS('Tenant Data'!$F$2:$F$4674,'Tenant Data'!$A$2:$A$4674,"Crossgates Center",'Tenant Data'!$D$2:$D$4674,"Hobby &amp; Novelty",'Tenant Data'!$E$2:$E$4674,"&lt;10000")</f>
        <v>14720854.449999997</v>
      </c>
      <c r="AG16">
        <f>SUMIFS('Tenant Data'!$F$2:$F$4674,'Tenant Data'!$A$2:$A$4674,"Crossgates Center",'Tenant Data'!$D$2:$D$4674,"Service",'Tenant Data'!$E$2:$E$4674,"&lt;10000")</f>
        <v>5506631.3000000007</v>
      </c>
      <c r="AH16">
        <f>SUMIFS('Tenant Data'!$F$2:$F$4674,'Tenant Data'!$A$2:$A$4674,"Crossgates Center",'Tenant Data'!$D$2:$D$4674,"Tech",'Tenant Data'!$E$2:$E$4674,"&lt;10000")</f>
        <v>850463</v>
      </c>
      <c r="AI16">
        <f>SUMIFS('Tenant Data'!$F$2:$F$4674,'Tenant Data'!$A$2:$A$4674,"Crossgates Center",'Tenant Data'!$D$2:$D$4674,"Major",'Tenant Data'!$E$2:$E$4674,"&lt;10000")</f>
        <v>4200448.3099999996</v>
      </c>
      <c r="AJ16">
        <f>SUMIFS('Tenant Data'!$F$2:$F$4674,'Tenant Data'!$A$2:$A$4674,"Crossgates Center",'Tenant Data'!$D$2:$D$4674,"Anchor",'Tenant Data'!$E$2:$E$4674,"&lt;10000")</f>
        <v>0</v>
      </c>
      <c r="AK16">
        <f>SUMIFS('Tenant Data'!$F$2:$F$4674,'Tenant Data'!$A$2:$A$4674,"Crossgates Center",'Tenant Data'!$D$2:$D$4674,"Apple",'Tenant Data'!$E$2:$E$4674,"&lt;10000")</f>
        <v>0</v>
      </c>
      <c r="AL16">
        <f>SUMIFS('Tenant Data'!$E$2:$E$4674,'Tenant Data'!$A$2:$A$4674,"Crossgates Center",'Tenant Data'!$D$2:$D$4674,"Apparel",'Tenant Data'!$F$2:$F$4674,"&gt;0",'Tenant Data'!$E$2:$E$4674,"&lt;10000")</f>
        <v>126360</v>
      </c>
      <c r="AM16">
        <f>SUMIFS('Tenant Data'!$E$2:$E$4674,'Tenant Data'!$A$2:$A$4674,"Crossgates Center",'Tenant Data'!$D$2:$D$4674,"Shoes",'Tenant Data'!$F$2:$F$4674,"&gt;0",'Tenant Data'!$E$2:$E$4674,"&lt;10000")</f>
        <v>28324</v>
      </c>
      <c r="AN16">
        <f>SUMIFS('Tenant Data'!$E$2:$E$4674,'Tenant Data'!$A$2:$A$4674,"Crossgates Center",'Tenant Data'!$D$2:$D$4674,"Jewelry",'Tenant Data'!$F$2:$F$4674,"&gt;0",'Tenant Data'!$E$2:$E$4674,"&lt;10000")</f>
        <v>5268</v>
      </c>
      <c r="AO16">
        <f>SUMIFS('Tenant Data'!$E$2:$E$4674,'Tenant Data'!$A$2:$A$4674,"Crossgates Center",'Tenant Data'!$D$2:$D$4674,"Health &amp; Beauty",'Tenant Data'!$F$2:$F$4674,"&gt;0",'Tenant Data'!$E$2:$E$4674,"&lt;10000")</f>
        <v>7881</v>
      </c>
      <c r="AP16">
        <f>SUMIFS('Tenant Data'!$E$2:$E$4674,'Tenant Data'!$A$2:$A$4674,"Crossgates Center",'Tenant Data'!$D$2:$D$4674,"Food &amp; Beverage",'Tenant Data'!$F$2:$F$4674,"&gt;0",'Tenant Data'!$E$2:$E$4674,"&lt;10000")</f>
        <v>11543</v>
      </c>
      <c r="AQ16">
        <f>SUMIFS('Tenant Data'!$E$2:$E$4674,'Tenant Data'!$A$2:$A$4674,"Crossgates Center",'Tenant Data'!$D$2:$D$4674,"Restaurant",'Tenant Data'!$F$2:$F$4674,"&gt;0",'Tenant Data'!$E$2:$E$4674,"&lt;10000")</f>
        <v>2299</v>
      </c>
      <c r="AR16">
        <f>SUMIFS('Tenant Data'!$E$2:$E$4674,'Tenant Data'!$A$2:$A$4674,"Crossgates Center",'Tenant Data'!$D$2:$D$4674,"Hobby &amp; Novelty",'Tenant Data'!$F$2:$F$4674,"&gt;0",'Tenant Data'!$E$2:$E$4674,"&lt;10000")</f>
        <v>25526</v>
      </c>
      <c r="AS16">
        <f>SUMIFS('Tenant Data'!$E$2:$E$4674,'Tenant Data'!$A$2:$A$4674,"Crossgates Center",'Tenant Data'!$D$2:$D$4674,"Service",'Tenant Data'!$F$2:$F$4674,"&gt;0",'Tenant Data'!$E$2:$E$4674,"&lt;10000")</f>
        <v>8714</v>
      </c>
      <c r="AT16">
        <f>SUMIFS('Tenant Data'!$E$2:$E$4674,'Tenant Data'!$A$2:$A$4674,"Crossgates Center",'Tenant Data'!$D$2:$D$4674,"Tech",'Tenant Data'!$F$2:$F$4674,"&gt;0",'Tenant Data'!$E$2:$E$4674,"&lt;10000")</f>
        <v>2190</v>
      </c>
      <c r="AU16">
        <f>SUMIFS('Tenant Data'!$E$2:$E$4674,'Tenant Data'!$A$2:$A$4674,"Crossgates Center",'Tenant Data'!$D$2:$D$4674,"Major",'Tenant Data'!$F$2:$F$4674,"&gt;0",'Tenant Data'!$E$2:$E$4674,"&lt;10000")</f>
        <v>9217</v>
      </c>
      <c r="AV16">
        <f>SUMIFS('Tenant Data'!$E$2:$E$4674,'Tenant Data'!$A$2:$A$4674,"Crossgates Center",'Tenant Data'!$D$2:$D$4674,"Anchor",'Tenant Data'!$F$2:$F$4674,"&gt;0",'Tenant Data'!$E$2:$E$4674,"&lt;10000")</f>
        <v>0</v>
      </c>
      <c r="AW16">
        <f>SUMIFS('Tenant Data'!$E$2:$E$4674,'Tenant Data'!$A$2:$A$4674,"Crossgates Center",'Tenant Data'!$D$2:$D$4674,"Apple",'Tenant Data'!$F$2:$F$4674,"&gt;0",'Tenant Data'!$E$2:$E$4674,"&lt;10000")</f>
        <v>0</v>
      </c>
      <c r="AX16">
        <v>1</v>
      </c>
      <c r="AY16" t="str">
        <f>'Property Summary'!B16</f>
        <v>Y</v>
      </c>
      <c r="AZ16">
        <f t="shared" si="12"/>
        <v>227322</v>
      </c>
    </row>
    <row r="17" spans="1:52" x14ac:dyDescent="0.2">
      <c r="A17" t="s">
        <v>52</v>
      </c>
      <c r="B17">
        <f t="shared" si="0"/>
        <v>334.3836463883456</v>
      </c>
      <c r="C17">
        <f t="shared" si="1"/>
        <v>539.56417055364011</v>
      </c>
      <c r="D17">
        <f t="shared" si="2"/>
        <v>666.75626768945915</v>
      </c>
      <c r="E17">
        <f t="shared" si="3"/>
        <v>593.34507963946169</v>
      </c>
      <c r="F17">
        <f t="shared" si="4"/>
        <v>741.98633060109296</v>
      </c>
      <c r="G17">
        <f t="shared" si="5"/>
        <v>369.1870424947175</v>
      </c>
      <c r="H17">
        <f t="shared" si="6"/>
        <v>469.83522142043302</v>
      </c>
      <c r="I17">
        <f t="shared" si="7"/>
        <v>468.41710807154675</v>
      </c>
      <c r="J17">
        <f t="shared" si="8"/>
        <v>1136.7798857142857</v>
      </c>
      <c r="K17">
        <f t="shared" si="9"/>
        <v>311.45295183897144</v>
      </c>
      <c r="L17" t="str">
        <f t="shared" si="10"/>
        <v/>
      </c>
      <c r="M17">
        <f t="shared" si="11"/>
        <v>4716.7092506235767</v>
      </c>
      <c r="N17">
        <f>IFERROR(SUMPRODUCT(('Tenant Data'!$A$2:$A$4674="Destiny USA")*('Tenant Data'!$D$2:$D$4674="Apparel")*('Tenant Data'!$F$2:$F$4674&gt;0)*('Tenant Data'!$E$2:$E$4674&lt;10000)*'Tenant Data'!$J$2:$J$4674*'Tenant Data'!$E$2:$E$4674)/SUMPRODUCT(('Tenant Data'!$A$2:$A$4674="Destiny USA")*('Tenant Data'!$D$2:$D$4674="Apparel")*('Tenant Data'!$F$2:$F$4674&gt;0)*('Tenant Data'!$E$2:$E$4674&lt;10000)*'Tenant Data'!$E$2:$E$4674),"")</f>
        <v>0.14466831970202365</v>
      </c>
      <c r="O17">
        <f>IFERROR(SUMPRODUCT(('Tenant Data'!$A$2:$A$4674="Destiny USA")*('Tenant Data'!$D$2:$D$4674="Shoes")*('Tenant Data'!$F$2:$F$4674&gt;0)*('Tenant Data'!$E$2:$E$4674&lt;10000)*'Tenant Data'!$J$2:$J$4674*'Tenant Data'!$E$2:$E$4674)/SUMPRODUCT(('Tenant Data'!$A$2:$A$4674="Destiny USA")*('Tenant Data'!$D$2:$D$4674="Shoes")*('Tenant Data'!$F$2:$F$4674&gt;0)*('Tenant Data'!$E$2:$E$4674&lt;10000)*'Tenant Data'!$E$2:$E$4674),"")</f>
        <v>0.1551782005062996</v>
      </c>
      <c r="P17">
        <f>IFERROR(SUMPRODUCT(('Tenant Data'!$A$2:$A$4674="Destiny USA")*('Tenant Data'!$D$2:$D$4674="Jewelry")*('Tenant Data'!$F$2:$F$4674&gt;0)*('Tenant Data'!$E$2:$E$4674&lt;10000)*'Tenant Data'!$J$2:$J$4674*'Tenant Data'!$E$2:$E$4674)/SUMPRODUCT(('Tenant Data'!$A$2:$A$4674="Destiny USA")*('Tenant Data'!$D$2:$D$4674="Jewelry")*('Tenant Data'!$F$2:$F$4674&gt;0)*('Tenant Data'!$E$2:$E$4674&lt;10000)*'Tenant Data'!$E$2:$E$4674),"")</f>
        <v>0.28892730821117574</v>
      </c>
      <c r="Q17">
        <f>IFERROR(SUMPRODUCT(('Tenant Data'!$A$2:$A$4674="Destiny USA")*('Tenant Data'!$D$2:$D$4674="Health &amp; Beauty")*('Tenant Data'!$F$2:$F$4674&gt;0)*('Tenant Data'!$E$2:$E$4674&lt;10000)*'Tenant Data'!$J$2:$J$4674*'Tenant Data'!$E$2:$E$4674)/SUMPRODUCT(('Tenant Data'!$A$2:$A$4674="Destiny USA")*('Tenant Data'!$D$2:$D$4674="Health &amp; Beauty")*('Tenant Data'!$F$2:$F$4674&gt;0)*('Tenant Data'!$E$2:$E$4674&lt;10000)*'Tenant Data'!$E$2:$E$4674),"")</f>
        <v>0.12748864701976287</v>
      </c>
      <c r="R17">
        <f>IFERROR(SUMPRODUCT(('Tenant Data'!$A$2:$A$4674="Destiny USA")*('Tenant Data'!$D$2:$D$4674="Food &amp; Beverage")*('Tenant Data'!$F$2:$F$4674&gt;0)*('Tenant Data'!$E$2:$E$4674&lt;10000)*'Tenant Data'!$J$2:$J$4674*'Tenant Data'!$E$2:$E$4674)/SUMPRODUCT(('Tenant Data'!$A$2:$A$4674="Destiny USA")*('Tenant Data'!$D$2:$D$4674="Food &amp; Beverage")*('Tenant Data'!$F$2:$F$4674&gt;0)*('Tenant Data'!$E$2:$E$4674&lt;10000)*'Tenant Data'!$E$2:$E$4674),"")</f>
        <v>0.17443862621153175</v>
      </c>
      <c r="S17">
        <f>IFERROR(SUMPRODUCT(('Tenant Data'!$A$2:$A$4674="Destiny USA")*('Tenant Data'!$D$2:$D$4674="Restaurant")*('Tenant Data'!$F$2:$F$4674&gt;0)*('Tenant Data'!$E$2:$E$4674&lt;10000)*'Tenant Data'!$J$2:$J$4674*'Tenant Data'!$E$2:$E$4674)/SUMPRODUCT(('Tenant Data'!$A$2:$A$4674="Destiny USA")*('Tenant Data'!$D$2:$D$4674="Restaurant")*('Tenant Data'!$F$2:$F$4674&gt;0)*('Tenant Data'!$E$2:$E$4674&lt;10000)*'Tenant Data'!$E$2:$E$4674),"")</f>
        <v>0.12863258976538708</v>
      </c>
      <c r="T17">
        <f>IFERROR(SUMPRODUCT(('Tenant Data'!$A$2:$A$4674="Destiny USA")*('Tenant Data'!$D$2:$D$4674="Hobby &amp; Novelty")*('Tenant Data'!$F$2:$F$4674&gt;0)*('Tenant Data'!$E$2:$E$4674&lt;10000)*'Tenant Data'!$J$2:$J$4674*'Tenant Data'!$E$2:$E$4674)/SUMPRODUCT(('Tenant Data'!$A$2:$A$4674="Destiny USA")*('Tenant Data'!$D$2:$D$4674="Hobby &amp; Novelty")*('Tenant Data'!$F$2:$F$4674&gt;0)*('Tenant Data'!$E$2:$E$4674&lt;10000)*'Tenant Data'!$E$2:$E$4674),"")</f>
        <v>0.18249231496940488</v>
      </c>
      <c r="U17">
        <f>IFERROR(SUMPRODUCT(('Tenant Data'!$A$2:$A$4674="Destiny USA")*('Tenant Data'!$D$2:$D$4674="Service")*('Tenant Data'!$F$2:$F$4674&gt;0)*('Tenant Data'!$E$2:$E$4674&lt;10000)*'Tenant Data'!$J$2:$J$4674*'Tenant Data'!$E$2:$E$4674)/SUMPRODUCT(('Tenant Data'!$A$2:$A$4674="Destiny USA")*('Tenant Data'!$D$2:$D$4674="Service")*('Tenant Data'!$F$2:$F$4674&gt;0)*('Tenant Data'!$E$2:$E$4674&lt;10000)*'Tenant Data'!$E$2:$E$4674),"")</f>
        <v>0.17137766055833933</v>
      </c>
      <c r="V17">
        <f>IFERROR(SUMPRODUCT(('Tenant Data'!$A$2:$A$4674="Destiny USA")*('Tenant Data'!$D$2:$D$4674="Tech")*('Tenant Data'!$F$2:$F$4674&gt;0)*('Tenant Data'!$E$2:$E$4674&lt;10000)*'Tenant Data'!$J$2:$J$4674*'Tenant Data'!$E$2:$E$4674)/SUMPRODUCT(('Tenant Data'!$A$2:$A$4674="Destiny USA")*('Tenant Data'!$D$2:$D$4674="Tech")*('Tenant Data'!$F$2:$F$4674&gt;0)*('Tenant Data'!$E$2:$E$4674&lt;10000)*'Tenant Data'!$E$2:$E$4674),"")</f>
        <v>0.56733687054279835</v>
      </c>
      <c r="W17">
        <f>IFERROR(SUMPRODUCT(('Tenant Data'!$A$2:$A$4674="Destiny USA")*('Tenant Data'!$D$2:$D$4674="Major")*('Tenant Data'!$F$2:$F$4674&gt;0)*('Tenant Data'!$E$2:$E$4674&lt;10000)*'Tenant Data'!$J$2:$J$4674*'Tenant Data'!$E$2:$E$4674)/SUMPRODUCT(('Tenant Data'!$A$2:$A$4674="Destiny USA")*('Tenant Data'!$D$2:$D$4674="Major")*('Tenant Data'!$F$2:$F$4674&gt;0)*('Tenant Data'!$E$2:$E$4674&lt;10000)*'Tenant Data'!$E$2:$E$4674),"")</f>
        <v>9.240912900366087E-2</v>
      </c>
      <c r="X17" t="str">
        <f>IFERROR(SUMPRODUCT(('Tenant Data'!$A$2:$A$4674="Destiny USA")*('Tenant Data'!$D$2:$D$4674="Anchor")*('Tenant Data'!$F$2:$F$4674&gt;0)*('Tenant Data'!$E$2:$E$4674&lt;10000)*'Tenant Data'!$J$2:$J$4674*'Tenant Data'!$E$2:$E$4674)/SUMPRODUCT(('Tenant Data'!$A$2:$A$4674="Destiny USA")*('Tenant Data'!$D$2:$D$4674="Anchor")*('Tenant Data'!$F$2:$F$4674&gt;0)*('Tenant Data'!$E$2:$E$4674&lt;10000)*'Tenant Data'!$E$2:$E$4674),"")</f>
        <v/>
      </c>
      <c r="Y17">
        <f>IFERROR(SUMPRODUCT(('Tenant Data'!$A$2:$A$4674="Destiny USA")*('Tenant Data'!$D$2:$D$4674="Apple")*('Tenant Data'!$F$2:$F$4674&gt;0)*('Tenant Data'!$E$2:$E$4674&lt;10000)*'Tenant Data'!$J$2:$J$4674*'Tenant Data'!$E$2:$E$4674)/SUMPRODUCT(('Tenant Data'!$A$2:$A$4674="Destiny USA")*('Tenant Data'!$D$2:$D$4674="Apple")*('Tenant Data'!$F$2:$F$4674&gt;0)*('Tenant Data'!$E$2:$E$4674&lt;10000)*'Tenant Data'!$E$2:$E$4674),"")</f>
        <v>1.7169517990757822E-2</v>
      </c>
      <c r="Z17">
        <f>SUMIFS('Tenant Data'!$F$2:$F$4674,'Tenant Data'!$A$2:$A$4674,"Destiny USA",'Tenant Data'!$D$2:$D$4674,"Apparel",'Tenant Data'!$E$2:$E$4674,"&lt;10000")</f>
        <v>59494875.900000006</v>
      </c>
      <c r="AA17">
        <f>SUMIFS('Tenant Data'!$F$2:$F$4674,'Tenant Data'!$A$2:$A$4674,"Destiny USA",'Tenant Data'!$D$2:$D$4674,"Shoes",'Tenant Data'!$E$2:$E$4674,"&lt;10000")</f>
        <v>21284727.399999995</v>
      </c>
      <c r="AB17">
        <f>SUMIFS('Tenant Data'!$F$2:$F$4674,'Tenant Data'!$A$2:$A$4674,"Destiny USA",'Tenant Data'!$D$2:$D$4674,"Jewelry",'Tenant Data'!$E$2:$E$4674,"&lt;10000")</f>
        <v>15124032.420000002</v>
      </c>
      <c r="AC17">
        <f>SUMIFS('Tenant Data'!$F$2:$F$4674,'Tenant Data'!$A$2:$A$4674,"Destiny USA",'Tenant Data'!$D$2:$D$4674,"Health &amp; Beauty",'Tenant Data'!$E$2:$E$4674,"&lt;10000")</f>
        <v>4805501.8</v>
      </c>
      <c r="AD17">
        <f>SUMIFS('Tenant Data'!$F$2:$F$4674,'Tenant Data'!$A$2:$A$4674,"Destiny USA",'Tenant Data'!$D$2:$D$4674,"Food &amp; Beverage",'Tenant Data'!$E$2:$E$4674,"&lt;10000")</f>
        <v>16294019.82</v>
      </c>
      <c r="AE17">
        <f>SUMIFS('Tenant Data'!$F$2:$F$4674,'Tenant Data'!$A$2:$A$4674,"Destiny USA",'Tenant Data'!$D$2:$D$4674,"Restaurant",'Tenant Data'!$E$2:$E$4674,"&lt;10000")</f>
        <v>26732464.559999999</v>
      </c>
      <c r="AF17">
        <f>SUMIFS('Tenant Data'!$F$2:$F$4674,'Tenant Data'!$A$2:$A$4674,"Destiny USA",'Tenant Data'!$D$2:$D$4674,"Hobby &amp; Novelty",'Tenant Data'!$E$2:$E$4674,"&lt;10000")</f>
        <v>12370761.380000001</v>
      </c>
      <c r="AG17">
        <f>SUMIFS('Tenant Data'!$F$2:$F$4674,'Tenant Data'!$A$2:$A$4674,"Destiny USA",'Tenant Data'!$D$2:$D$4674,"Service",'Tenant Data'!$E$2:$E$4674,"&lt;10000")</f>
        <v>6232758.040000001</v>
      </c>
      <c r="AH17">
        <f>SUMIFS('Tenant Data'!$F$2:$F$4674,'Tenant Data'!$A$2:$A$4674,"Destiny USA",'Tenant Data'!$D$2:$D$4674,"Tech",'Tenant Data'!$E$2:$E$4674,"&lt;10000")</f>
        <v>198936.48</v>
      </c>
      <c r="AI17">
        <f>SUMIFS('Tenant Data'!$F$2:$F$4674,'Tenant Data'!$A$2:$A$4674,"Destiny USA",'Tenant Data'!$D$2:$D$4674,"Major",'Tenant Data'!$E$2:$E$4674,"&lt;10000")</f>
        <v>2955377.06</v>
      </c>
      <c r="AJ17">
        <f>SUMIFS('Tenant Data'!$F$2:$F$4674,'Tenant Data'!$A$2:$A$4674,"Destiny USA",'Tenant Data'!$D$2:$D$4674,"Anchor",'Tenant Data'!$E$2:$E$4674,"&lt;10000")</f>
        <v>0</v>
      </c>
      <c r="AK17">
        <f>SUMIFS('Tenant Data'!$F$2:$F$4674,'Tenant Data'!$A$2:$A$4674,"Destiny USA",'Tenant Data'!$D$2:$D$4674,"Apple",'Tenant Data'!$E$2:$E$4674,"&lt;10000")</f>
        <v>43492776</v>
      </c>
      <c r="AL17">
        <f>SUMIFS('Tenant Data'!$E$2:$E$4674,'Tenant Data'!$A$2:$A$4674,"Destiny USA",'Tenant Data'!$D$2:$D$4674,"Apparel",'Tenant Data'!$F$2:$F$4674,"&gt;0",'Tenant Data'!$E$2:$E$4674,"&lt;10000")</f>
        <v>177924</v>
      </c>
      <c r="AM17">
        <f>SUMIFS('Tenant Data'!$E$2:$E$4674,'Tenant Data'!$A$2:$A$4674,"Destiny USA",'Tenant Data'!$D$2:$D$4674,"Shoes",'Tenant Data'!$F$2:$F$4674,"&gt;0",'Tenant Data'!$E$2:$E$4674,"&lt;10000")</f>
        <v>39448</v>
      </c>
      <c r="AN17">
        <f>SUMIFS('Tenant Data'!$E$2:$E$4674,'Tenant Data'!$A$2:$A$4674,"Destiny USA",'Tenant Data'!$D$2:$D$4674,"Jewelry",'Tenant Data'!$F$2:$F$4674,"&gt;0",'Tenant Data'!$E$2:$E$4674,"&lt;10000")</f>
        <v>22683</v>
      </c>
      <c r="AO17">
        <f>SUMIFS('Tenant Data'!$E$2:$E$4674,'Tenant Data'!$A$2:$A$4674,"Destiny USA",'Tenant Data'!$D$2:$D$4674,"Health &amp; Beauty",'Tenant Data'!$F$2:$F$4674,"&gt;0",'Tenant Data'!$E$2:$E$4674,"&lt;10000")</f>
        <v>8099</v>
      </c>
      <c r="AP17">
        <f>SUMIFS('Tenant Data'!$E$2:$E$4674,'Tenant Data'!$A$2:$A$4674,"Destiny USA",'Tenant Data'!$D$2:$D$4674,"Food &amp; Beverage",'Tenant Data'!$F$2:$F$4674,"&gt;0",'Tenant Data'!$E$2:$E$4674,"&lt;10000")</f>
        <v>21960</v>
      </c>
      <c r="AQ17">
        <f>SUMIFS('Tenant Data'!$E$2:$E$4674,'Tenant Data'!$A$2:$A$4674,"Destiny USA",'Tenant Data'!$D$2:$D$4674,"Restaurant",'Tenant Data'!$F$2:$F$4674,"&gt;0",'Tenant Data'!$E$2:$E$4674,"&lt;10000")</f>
        <v>72409</v>
      </c>
      <c r="AR17">
        <f>SUMIFS('Tenant Data'!$E$2:$E$4674,'Tenant Data'!$A$2:$A$4674,"Destiny USA",'Tenant Data'!$D$2:$D$4674,"Hobby &amp; Novelty",'Tenant Data'!$F$2:$F$4674,"&gt;0",'Tenant Data'!$E$2:$E$4674,"&lt;10000")</f>
        <v>26330</v>
      </c>
      <c r="AS17">
        <f>SUMIFS('Tenant Data'!$E$2:$E$4674,'Tenant Data'!$A$2:$A$4674,"Destiny USA",'Tenant Data'!$D$2:$D$4674,"Service",'Tenant Data'!$F$2:$F$4674,"&gt;0",'Tenant Data'!$E$2:$E$4674,"&lt;10000")</f>
        <v>13306</v>
      </c>
      <c r="AT17">
        <f>SUMIFS('Tenant Data'!$E$2:$E$4674,'Tenant Data'!$A$2:$A$4674,"Destiny USA",'Tenant Data'!$D$2:$D$4674,"Tech",'Tenant Data'!$F$2:$F$4674,"&gt;0",'Tenant Data'!$E$2:$E$4674,"&lt;10000")</f>
        <v>175</v>
      </c>
      <c r="AU17">
        <f>SUMIFS('Tenant Data'!$E$2:$E$4674,'Tenant Data'!$A$2:$A$4674,"Destiny USA",'Tenant Data'!$D$2:$D$4674,"Major",'Tenant Data'!$F$2:$F$4674,"&gt;0",'Tenant Data'!$E$2:$E$4674,"&lt;10000")</f>
        <v>9489</v>
      </c>
      <c r="AV17">
        <f>SUMIFS('Tenant Data'!$E$2:$E$4674,'Tenant Data'!$A$2:$A$4674,"Destiny USA",'Tenant Data'!$D$2:$D$4674,"Anchor",'Tenant Data'!$F$2:$F$4674,"&gt;0",'Tenant Data'!$E$2:$E$4674,"&lt;10000")</f>
        <v>0</v>
      </c>
      <c r="AW17">
        <f>SUMIFS('Tenant Data'!$E$2:$E$4674,'Tenant Data'!$A$2:$A$4674,"Destiny USA",'Tenant Data'!$D$2:$D$4674,"Apple",'Tenant Data'!$F$2:$F$4674,"&gt;0",'Tenant Data'!$E$2:$E$4674,"&lt;10000")</f>
        <v>9221</v>
      </c>
      <c r="AX17">
        <v>1</v>
      </c>
      <c r="AY17" t="str">
        <f>'Property Summary'!B17</f>
        <v>Y</v>
      </c>
      <c r="AZ17">
        <f t="shared" si="12"/>
        <v>401044</v>
      </c>
    </row>
    <row r="18" spans="1:52" x14ac:dyDescent="0.2">
      <c r="A18" t="s">
        <v>44</v>
      </c>
      <c r="B18">
        <f t="shared" si="0"/>
        <v>405.16727523160438</v>
      </c>
      <c r="C18">
        <f t="shared" si="1"/>
        <v>425.47345560200893</v>
      </c>
      <c r="D18">
        <f t="shared" si="2"/>
        <v>1314.8702657004828</v>
      </c>
      <c r="E18">
        <f t="shared" si="3"/>
        <v>681.47386119654152</v>
      </c>
      <c r="F18">
        <f t="shared" si="4"/>
        <v>991.4658418891172</v>
      </c>
      <c r="G18">
        <f t="shared" si="5"/>
        <v>747.62879472060138</v>
      </c>
      <c r="H18">
        <f t="shared" si="6"/>
        <v>309.04280565214998</v>
      </c>
      <c r="I18">
        <f t="shared" si="7"/>
        <v>552.68464130749203</v>
      </c>
      <c r="J18" t="str">
        <f t="shared" si="8"/>
        <v/>
      </c>
      <c r="K18">
        <f t="shared" si="9"/>
        <v>851.34112028725315</v>
      </c>
      <c r="L18" t="str">
        <f t="shared" si="10"/>
        <v/>
      </c>
      <c r="M18" t="str">
        <f t="shared" si="11"/>
        <v/>
      </c>
      <c r="N18">
        <f>IFERROR(SUMPRODUCT(('Tenant Data'!$A$2:$A$4674="Fayette Mall")*('Tenant Data'!$D$2:$D$4674="Apparel")*('Tenant Data'!$F$2:$F$4674&gt;0)*('Tenant Data'!$E$2:$E$4674&lt;10000)*'Tenant Data'!$J$2:$J$4674*'Tenant Data'!$E$2:$E$4674)/SUMPRODUCT(('Tenant Data'!$A$2:$A$4674="Fayette Mall")*('Tenant Data'!$D$2:$D$4674="Apparel")*('Tenant Data'!$F$2:$F$4674&gt;0)*('Tenant Data'!$E$2:$E$4674&lt;10000)*'Tenant Data'!$E$2:$E$4674),"")</f>
        <v>0.13651566447474006</v>
      </c>
      <c r="O18">
        <f>IFERROR(SUMPRODUCT(('Tenant Data'!$A$2:$A$4674="Fayette Mall")*('Tenant Data'!$D$2:$D$4674="Shoes")*('Tenant Data'!$F$2:$F$4674&gt;0)*('Tenant Data'!$E$2:$E$4674&lt;10000)*'Tenant Data'!$J$2:$J$4674*'Tenant Data'!$E$2:$E$4674)/SUMPRODUCT(('Tenant Data'!$A$2:$A$4674="Fayette Mall")*('Tenant Data'!$D$2:$D$4674="Shoes")*('Tenant Data'!$F$2:$F$4674&gt;0)*('Tenant Data'!$E$2:$E$4674&lt;10000)*'Tenant Data'!$E$2:$E$4674),"")</f>
        <v>0.18416615091069155</v>
      </c>
      <c r="P18">
        <f>IFERROR(SUMPRODUCT(('Tenant Data'!$A$2:$A$4674="Fayette Mall")*('Tenant Data'!$D$2:$D$4674="Jewelry")*('Tenant Data'!$F$2:$F$4674&gt;0)*('Tenant Data'!$E$2:$E$4674&lt;10000)*'Tenant Data'!$J$2:$J$4674*'Tenant Data'!$E$2:$E$4674)/SUMPRODUCT(('Tenant Data'!$A$2:$A$4674="Fayette Mall")*('Tenant Data'!$D$2:$D$4674="Jewelry")*('Tenant Data'!$F$2:$F$4674&gt;0)*('Tenant Data'!$E$2:$E$4674&lt;10000)*'Tenant Data'!$E$2:$E$4674),"")</f>
        <v>0.10271680638704805</v>
      </c>
      <c r="Q18">
        <f>IFERROR(SUMPRODUCT(('Tenant Data'!$A$2:$A$4674="Fayette Mall")*('Tenant Data'!$D$2:$D$4674="Health &amp; Beauty")*('Tenant Data'!$F$2:$F$4674&gt;0)*('Tenant Data'!$E$2:$E$4674&lt;10000)*'Tenant Data'!$J$2:$J$4674*'Tenant Data'!$E$2:$E$4674)/SUMPRODUCT(('Tenant Data'!$A$2:$A$4674="Fayette Mall")*('Tenant Data'!$D$2:$D$4674="Health &amp; Beauty")*('Tenant Data'!$F$2:$F$4674&gt;0)*('Tenant Data'!$E$2:$E$4674&lt;10000)*'Tenant Data'!$E$2:$E$4674),"")</f>
        <v>0.13403496591401431</v>
      </c>
      <c r="R18">
        <f>IFERROR(SUMPRODUCT(('Tenant Data'!$A$2:$A$4674="Fayette Mall")*('Tenant Data'!$D$2:$D$4674="Food &amp; Beverage")*('Tenant Data'!$F$2:$F$4674&gt;0)*('Tenant Data'!$E$2:$E$4674&lt;10000)*'Tenant Data'!$J$2:$J$4674*'Tenant Data'!$E$2:$E$4674)/SUMPRODUCT(('Tenant Data'!$A$2:$A$4674="Fayette Mall")*('Tenant Data'!$D$2:$D$4674="Food &amp; Beverage")*('Tenant Data'!$F$2:$F$4674&gt;0)*('Tenant Data'!$E$2:$E$4674&lt;10000)*'Tenant Data'!$E$2:$E$4674),"")</f>
        <v>0.22976297898704923</v>
      </c>
      <c r="S18">
        <f>IFERROR(SUMPRODUCT(('Tenant Data'!$A$2:$A$4674="Fayette Mall")*('Tenant Data'!$D$2:$D$4674="Restaurant")*('Tenant Data'!$F$2:$F$4674&gt;0)*('Tenant Data'!$E$2:$E$4674&lt;10000)*'Tenant Data'!$J$2:$J$4674*'Tenant Data'!$E$2:$E$4674)/SUMPRODUCT(('Tenant Data'!$A$2:$A$4674="Fayette Mall")*('Tenant Data'!$D$2:$D$4674="Restaurant")*('Tenant Data'!$F$2:$F$4674&gt;0)*('Tenant Data'!$E$2:$E$4674&lt;10000)*'Tenant Data'!$E$2:$E$4674),"")</f>
        <v>0.10389149411537549</v>
      </c>
      <c r="T18">
        <f>IFERROR(SUMPRODUCT(('Tenant Data'!$A$2:$A$4674="Fayette Mall")*('Tenant Data'!$D$2:$D$4674="Hobby &amp; Novelty")*('Tenant Data'!$F$2:$F$4674&gt;0)*('Tenant Data'!$E$2:$E$4674&lt;10000)*'Tenant Data'!$J$2:$J$4674*'Tenant Data'!$E$2:$E$4674)/SUMPRODUCT(('Tenant Data'!$A$2:$A$4674="Fayette Mall")*('Tenant Data'!$D$2:$D$4674="Hobby &amp; Novelty")*('Tenant Data'!$F$2:$F$4674&gt;0)*('Tenant Data'!$E$2:$E$4674&lt;10000)*'Tenant Data'!$E$2:$E$4674),"")</f>
        <v>0.13114197103449388</v>
      </c>
      <c r="U18">
        <f>IFERROR(SUMPRODUCT(('Tenant Data'!$A$2:$A$4674="Fayette Mall")*('Tenant Data'!$D$2:$D$4674="Service")*('Tenant Data'!$F$2:$F$4674&gt;0)*('Tenant Data'!$E$2:$E$4674&lt;10000)*'Tenant Data'!$J$2:$J$4674*'Tenant Data'!$E$2:$E$4674)/SUMPRODUCT(('Tenant Data'!$A$2:$A$4674="Fayette Mall")*('Tenant Data'!$D$2:$D$4674="Service")*('Tenant Data'!$F$2:$F$4674&gt;0)*('Tenant Data'!$E$2:$E$4674&lt;10000)*'Tenant Data'!$E$2:$E$4674),"")</f>
        <v>0.1121046562158826</v>
      </c>
      <c r="V18" t="str">
        <f>IFERROR(SUMPRODUCT(('Tenant Data'!$A$2:$A$4674="Fayette Mall")*('Tenant Data'!$D$2:$D$4674="Tech")*('Tenant Data'!$F$2:$F$4674&gt;0)*('Tenant Data'!$E$2:$E$4674&lt;10000)*'Tenant Data'!$J$2:$J$4674*'Tenant Data'!$E$2:$E$4674)/SUMPRODUCT(('Tenant Data'!$A$2:$A$4674="Fayette Mall")*('Tenant Data'!$D$2:$D$4674="Tech")*('Tenant Data'!$F$2:$F$4674&gt;0)*('Tenant Data'!$E$2:$E$4674&lt;10000)*'Tenant Data'!$E$2:$E$4674),"")</f>
        <v/>
      </c>
      <c r="W18">
        <f>IFERROR(SUMPRODUCT(('Tenant Data'!$A$2:$A$4674="Fayette Mall")*('Tenant Data'!$D$2:$D$4674="Major")*('Tenant Data'!$F$2:$F$4674&gt;0)*('Tenant Data'!$E$2:$E$4674&lt;10000)*'Tenant Data'!$J$2:$J$4674*'Tenant Data'!$E$2:$E$4674)/SUMPRODUCT(('Tenant Data'!$A$2:$A$4674="Fayette Mall")*('Tenant Data'!$D$2:$D$4674="Major")*('Tenant Data'!$F$2:$F$4674&gt;0)*('Tenant Data'!$E$2:$E$4674&lt;10000)*'Tenant Data'!$E$2:$E$4674),"")</f>
        <v>0.1153518564195736</v>
      </c>
      <c r="X18" t="str">
        <f>IFERROR(SUMPRODUCT(('Tenant Data'!$A$2:$A$4674="Fayette Mall")*('Tenant Data'!$D$2:$D$4674="Anchor")*('Tenant Data'!$F$2:$F$4674&gt;0)*('Tenant Data'!$E$2:$E$4674&lt;10000)*'Tenant Data'!$J$2:$J$4674*'Tenant Data'!$E$2:$E$4674)/SUMPRODUCT(('Tenant Data'!$A$2:$A$4674="Fayette Mall")*('Tenant Data'!$D$2:$D$4674="Anchor")*('Tenant Data'!$F$2:$F$4674&gt;0)*('Tenant Data'!$E$2:$E$4674&lt;10000)*'Tenant Data'!$E$2:$E$4674),"")</f>
        <v/>
      </c>
      <c r="Y18" t="str">
        <f>IFERROR(SUMPRODUCT(('Tenant Data'!$A$2:$A$4674="Fayette Mall")*('Tenant Data'!$D$2:$D$4674="Apple")*('Tenant Data'!$F$2:$F$4674&gt;0)*('Tenant Data'!$E$2:$E$4674&lt;10000)*'Tenant Data'!$J$2:$J$4674*'Tenant Data'!$E$2:$E$4674)/SUMPRODUCT(('Tenant Data'!$A$2:$A$4674="Fayette Mall")*('Tenant Data'!$D$2:$D$4674="Apple")*('Tenant Data'!$F$2:$F$4674&gt;0)*('Tenant Data'!$E$2:$E$4674&lt;10000)*'Tenant Data'!$E$2:$E$4674),"")</f>
        <v/>
      </c>
      <c r="Z18">
        <f>SUMIFS('Tenant Data'!$F$2:$F$4674,'Tenant Data'!$A$2:$A$4674,"Fayette Mall",'Tenant Data'!$D$2:$D$4674,"Apparel",'Tenant Data'!$E$2:$E$4674,"&lt;10000")</f>
        <v>59566882.470000014</v>
      </c>
      <c r="AA18">
        <f>SUMIFS('Tenant Data'!$F$2:$F$4674,'Tenant Data'!$A$2:$A$4674,"Fayette Mall",'Tenant Data'!$D$2:$D$4674,"Shoes",'Tenant Data'!$E$2:$E$4674,"&lt;10000")</f>
        <v>16181180.990000002</v>
      </c>
      <c r="AB18">
        <f>SUMIFS('Tenant Data'!$F$2:$F$4674,'Tenant Data'!$A$2:$A$4674,"Fayette Mall",'Tenant Data'!$D$2:$D$4674,"Jewelry",'Tenant Data'!$E$2:$E$4674,"&lt;10000")</f>
        <v>13608907.249999998</v>
      </c>
      <c r="AC18">
        <f>SUMIFS('Tenant Data'!$F$2:$F$4674,'Tenant Data'!$A$2:$A$4674,"Fayette Mall",'Tenant Data'!$D$2:$D$4674,"Health &amp; Beauty",'Tenant Data'!$E$2:$E$4674,"&lt;10000")</f>
        <v>11743839.050000001</v>
      </c>
      <c r="AD18">
        <f>SUMIFS('Tenant Data'!$F$2:$F$4674,'Tenant Data'!$A$2:$A$4674,"Fayette Mall",'Tenant Data'!$D$2:$D$4674,"Food &amp; Beverage",'Tenant Data'!$E$2:$E$4674,"&lt;10000")</f>
        <v>5794126.3800000008</v>
      </c>
      <c r="AE18">
        <f>SUMIFS('Tenant Data'!$F$2:$F$4674,'Tenant Data'!$A$2:$A$4674,"Fayette Mall",'Tenant Data'!$D$2:$D$4674,"Restaurant",'Tenant Data'!$E$2:$E$4674,"&lt;10000")</f>
        <v>24470638.080000002</v>
      </c>
      <c r="AF18">
        <f>SUMIFS('Tenant Data'!$F$2:$F$4674,'Tenant Data'!$A$2:$A$4674,"Fayette Mall",'Tenant Data'!$D$2:$D$4674,"Hobby &amp; Novelty",'Tenant Data'!$E$2:$E$4674,"&lt;10000")</f>
        <v>5598928.5100000007</v>
      </c>
      <c r="AG18">
        <f>SUMIFS('Tenant Data'!$F$2:$F$4674,'Tenant Data'!$A$2:$A$4674,"Fayette Mall",'Tenant Data'!$D$2:$D$4674,"Service",'Tenant Data'!$E$2:$E$4674,"&lt;10000")</f>
        <v>3821261.61</v>
      </c>
      <c r="AH18">
        <f>SUMIFS('Tenant Data'!$F$2:$F$4674,'Tenant Data'!$A$2:$A$4674,"Fayette Mall",'Tenant Data'!$D$2:$D$4674,"Tech",'Tenant Data'!$E$2:$E$4674,"&lt;10000")</f>
        <v>0</v>
      </c>
      <c r="AI18">
        <f>SUMIFS('Tenant Data'!$F$2:$F$4674,'Tenant Data'!$A$2:$A$4674,"Fayette Mall",'Tenant Data'!$D$2:$D$4674,"Major",'Tenant Data'!$E$2:$E$4674,"&lt;10000")</f>
        <v>2370985.02</v>
      </c>
      <c r="AJ18">
        <f>SUMIFS('Tenant Data'!$F$2:$F$4674,'Tenant Data'!$A$2:$A$4674,"Fayette Mall",'Tenant Data'!$D$2:$D$4674,"Anchor",'Tenant Data'!$E$2:$E$4674,"&lt;10000")</f>
        <v>0</v>
      </c>
      <c r="AK18">
        <f>SUMIFS('Tenant Data'!$F$2:$F$4674,'Tenant Data'!$A$2:$A$4674,"Fayette Mall",'Tenant Data'!$D$2:$D$4674,"Apple",'Tenant Data'!$E$2:$E$4674,"&lt;10000")</f>
        <v>0</v>
      </c>
      <c r="AL18">
        <f>SUMIFS('Tenant Data'!$E$2:$E$4674,'Tenant Data'!$A$2:$A$4674,"Fayette Mall",'Tenant Data'!$D$2:$D$4674,"Apparel",'Tenant Data'!$F$2:$F$4674,"&gt;0",'Tenant Data'!$E$2:$E$4674,"&lt;10000")</f>
        <v>147018</v>
      </c>
      <c r="AM18">
        <f>SUMIFS('Tenant Data'!$E$2:$E$4674,'Tenant Data'!$A$2:$A$4674,"Fayette Mall",'Tenant Data'!$D$2:$D$4674,"Shoes",'Tenant Data'!$F$2:$F$4674,"&gt;0",'Tenant Data'!$E$2:$E$4674,"&lt;10000")</f>
        <v>38031</v>
      </c>
      <c r="AN18">
        <f>SUMIFS('Tenant Data'!$E$2:$E$4674,'Tenant Data'!$A$2:$A$4674,"Fayette Mall",'Tenant Data'!$D$2:$D$4674,"Jewelry",'Tenant Data'!$F$2:$F$4674,"&gt;0",'Tenant Data'!$E$2:$E$4674,"&lt;10000")</f>
        <v>10350</v>
      </c>
      <c r="AO18">
        <f>SUMIFS('Tenant Data'!$E$2:$E$4674,'Tenant Data'!$A$2:$A$4674,"Fayette Mall",'Tenant Data'!$D$2:$D$4674,"Health &amp; Beauty",'Tenant Data'!$F$2:$F$4674,"&gt;0",'Tenant Data'!$E$2:$E$4674,"&lt;10000")</f>
        <v>17233</v>
      </c>
      <c r="AP18">
        <f>SUMIFS('Tenant Data'!$E$2:$E$4674,'Tenant Data'!$A$2:$A$4674,"Fayette Mall",'Tenant Data'!$D$2:$D$4674,"Food &amp; Beverage",'Tenant Data'!$F$2:$F$4674,"&gt;0",'Tenant Data'!$E$2:$E$4674,"&lt;10000")</f>
        <v>5844</v>
      </c>
      <c r="AQ18">
        <f>SUMIFS('Tenant Data'!$E$2:$E$4674,'Tenant Data'!$A$2:$A$4674,"Fayette Mall",'Tenant Data'!$D$2:$D$4674,"Restaurant",'Tenant Data'!$F$2:$F$4674,"&gt;0",'Tenant Data'!$E$2:$E$4674,"&lt;10000")</f>
        <v>32731</v>
      </c>
      <c r="AR18">
        <f>SUMIFS('Tenant Data'!$E$2:$E$4674,'Tenant Data'!$A$2:$A$4674,"Fayette Mall",'Tenant Data'!$D$2:$D$4674,"Hobby &amp; Novelty",'Tenant Data'!$F$2:$F$4674,"&gt;0",'Tenant Data'!$E$2:$E$4674,"&lt;10000")</f>
        <v>18117</v>
      </c>
      <c r="AS18">
        <f>SUMIFS('Tenant Data'!$E$2:$E$4674,'Tenant Data'!$A$2:$A$4674,"Fayette Mall",'Tenant Data'!$D$2:$D$4674,"Service",'Tenant Data'!$F$2:$F$4674,"&gt;0",'Tenant Data'!$E$2:$E$4674,"&lt;10000")</f>
        <v>6914</v>
      </c>
      <c r="AT18">
        <f>SUMIFS('Tenant Data'!$E$2:$E$4674,'Tenant Data'!$A$2:$A$4674,"Fayette Mall",'Tenant Data'!$D$2:$D$4674,"Tech",'Tenant Data'!$F$2:$F$4674,"&gt;0",'Tenant Data'!$E$2:$E$4674,"&lt;10000")</f>
        <v>0</v>
      </c>
      <c r="AU18">
        <f>SUMIFS('Tenant Data'!$E$2:$E$4674,'Tenant Data'!$A$2:$A$4674,"Fayette Mall",'Tenant Data'!$D$2:$D$4674,"Major",'Tenant Data'!$F$2:$F$4674,"&gt;0",'Tenant Data'!$E$2:$E$4674,"&lt;10000")</f>
        <v>2785</v>
      </c>
      <c r="AV18">
        <f>SUMIFS('Tenant Data'!$E$2:$E$4674,'Tenant Data'!$A$2:$A$4674,"Fayette Mall",'Tenant Data'!$D$2:$D$4674,"Anchor",'Tenant Data'!$F$2:$F$4674,"&gt;0",'Tenant Data'!$E$2:$E$4674,"&lt;10000")</f>
        <v>0</v>
      </c>
      <c r="AW18">
        <f>SUMIFS('Tenant Data'!$E$2:$E$4674,'Tenant Data'!$A$2:$A$4674,"Fayette Mall",'Tenant Data'!$D$2:$D$4674,"Apple",'Tenant Data'!$F$2:$F$4674,"&gt;0",'Tenant Data'!$E$2:$E$4674,"&lt;10000")</f>
        <v>0</v>
      </c>
      <c r="AX18">
        <v>1</v>
      </c>
      <c r="AY18" t="str">
        <f>'Property Summary'!B18</f>
        <v>Y</v>
      </c>
      <c r="AZ18">
        <f t="shared" si="12"/>
        <v>279023</v>
      </c>
    </row>
    <row r="19" spans="1:52" x14ac:dyDescent="0.2">
      <c r="A19" t="s">
        <v>58</v>
      </c>
      <c r="B19">
        <f t="shared" si="0"/>
        <v>318.89234959389137</v>
      </c>
      <c r="C19">
        <f t="shared" si="1"/>
        <v>639.25003306003703</v>
      </c>
      <c r="D19">
        <f t="shared" si="2"/>
        <v>867.25690149343791</v>
      </c>
      <c r="E19">
        <f t="shared" si="3"/>
        <v>829.67551444833623</v>
      </c>
      <c r="F19">
        <f t="shared" si="4"/>
        <v>1022.4917435127601</v>
      </c>
      <c r="G19">
        <f t="shared" si="5"/>
        <v>745.26248878580338</v>
      </c>
      <c r="H19">
        <f t="shared" si="6"/>
        <v>387.85870413739264</v>
      </c>
      <c r="I19">
        <f t="shared" si="7"/>
        <v>471.48141946634979</v>
      </c>
      <c r="J19">
        <f t="shared" si="8"/>
        <v>458.89214135021098</v>
      </c>
      <c r="K19" t="str">
        <f t="shared" si="9"/>
        <v/>
      </c>
      <c r="L19" t="str">
        <f t="shared" si="10"/>
        <v/>
      </c>
      <c r="M19" t="str">
        <f t="shared" si="11"/>
        <v/>
      </c>
      <c r="N19">
        <f>IFERROR(SUMPRODUCT(('Tenant Data'!$A$2:$A$4674="Galleria at Tyler")*('Tenant Data'!$D$2:$D$4674="Apparel")*('Tenant Data'!$F$2:$F$4674&gt;0)*('Tenant Data'!$E$2:$E$4674&lt;10000)*'Tenant Data'!$J$2:$J$4674*'Tenant Data'!$E$2:$E$4674)/SUMPRODUCT(('Tenant Data'!$A$2:$A$4674="Galleria at Tyler")*('Tenant Data'!$D$2:$D$4674="Apparel")*('Tenant Data'!$F$2:$F$4674&gt;0)*('Tenant Data'!$E$2:$E$4674&lt;10000)*'Tenant Data'!$E$2:$E$4674),"")</f>
        <v>0.16176375350702818</v>
      </c>
      <c r="O19">
        <f>IFERROR(SUMPRODUCT(('Tenant Data'!$A$2:$A$4674="Galleria at Tyler")*('Tenant Data'!$D$2:$D$4674="Shoes")*('Tenant Data'!$F$2:$F$4674&gt;0)*('Tenant Data'!$E$2:$E$4674&lt;10000)*'Tenant Data'!$J$2:$J$4674*'Tenant Data'!$E$2:$E$4674)/SUMPRODUCT(('Tenant Data'!$A$2:$A$4674="Galleria at Tyler")*('Tenant Data'!$D$2:$D$4674="Shoes")*('Tenant Data'!$F$2:$F$4674&gt;0)*('Tenant Data'!$E$2:$E$4674&lt;10000)*'Tenant Data'!$E$2:$E$4674),"")</f>
        <v>0.15515479372436153</v>
      </c>
      <c r="P19">
        <f>IFERROR(SUMPRODUCT(('Tenant Data'!$A$2:$A$4674="Galleria at Tyler")*('Tenant Data'!$D$2:$D$4674="Jewelry")*('Tenant Data'!$F$2:$F$4674&gt;0)*('Tenant Data'!$E$2:$E$4674&lt;10000)*'Tenant Data'!$J$2:$J$4674*'Tenant Data'!$E$2:$E$4674)/SUMPRODUCT(('Tenant Data'!$A$2:$A$4674="Galleria at Tyler")*('Tenant Data'!$D$2:$D$4674="Jewelry")*('Tenant Data'!$F$2:$F$4674&gt;0)*('Tenant Data'!$E$2:$E$4674&lt;10000)*'Tenant Data'!$E$2:$E$4674),"")</f>
        <v>0.17826480686417487</v>
      </c>
      <c r="Q19">
        <f>IFERROR(SUMPRODUCT(('Tenant Data'!$A$2:$A$4674="Galleria at Tyler")*('Tenant Data'!$D$2:$D$4674="Health &amp; Beauty")*('Tenant Data'!$F$2:$F$4674&gt;0)*('Tenant Data'!$E$2:$E$4674&lt;10000)*'Tenant Data'!$J$2:$J$4674*'Tenant Data'!$E$2:$E$4674)/SUMPRODUCT(('Tenant Data'!$A$2:$A$4674="Galleria at Tyler")*('Tenant Data'!$D$2:$D$4674="Health &amp; Beauty")*('Tenant Data'!$F$2:$F$4674&gt;0)*('Tenant Data'!$E$2:$E$4674&lt;10000)*'Tenant Data'!$E$2:$E$4674),"")</f>
        <v>0.15400187464273712</v>
      </c>
      <c r="R19">
        <f>IFERROR(SUMPRODUCT(('Tenant Data'!$A$2:$A$4674="Galleria at Tyler")*('Tenant Data'!$D$2:$D$4674="Food &amp; Beverage")*('Tenant Data'!$F$2:$F$4674&gt;0)*('Tenant Data'!$E$2:$E$4674&lt;10000)*'Tenant Data'!$J$2:$J$4674*'Tenant Data'!$E$2:$E$4674)/SUMPRODUCT(('Tenant Data'!$A$2:$A$4674="Galleria at Tyler")*('Tenant Data'!$D$2:$D$4674="Food &amp; Beverage")*('Tenant Data'!$F$2:$F$4674&gt;0)*('Tenant Data'!$E$2:$E$4674&lt;10000)*'Tenant Data'!$E$2:$E$4674),"")</f>
        <v>0.20295227619641718</v>
      </c>
      <c r="S19">
        <f>IFERROR(SUMPRODUCT(('Tenant Data'!$A$2:$A$4674="Galleria at Tyler")*('Tenant Data'!$D$2:$D$4674="Restaurant")*('Tenant Data'!$F$2:$F$4674&gt;0)*('Tenant Data'!$E$2:$E$4674&lt;10000)*'Tenant Data'!$J$2:$J$4674*'Tenant Data'!$E$2:$E$4674)/SUMPRODUCT(('Tenant Data'!$A$2:$A$4674="Galleria at Tyler")*('Tenant Data'!$D$2:$D$4674="Restaurant")*('Tenant Data'!$F$2:$F$4674&gt;0)*('Tenant Data'!$E$2:$E$4674&lt;10000)*'Tenant Data'!$E$2:$E$4674),"")</f>
        <v>9.8466039970941333E-2</v>
      </c>
      <c r="T19">
        <f>IFERROR(SUMPRODUCT(('Tenant Data'!$A$2:$A$4674="Galleria at Tyler")*('Tenant Data'!$D$2:$D$4674="Hobby &amp; Novelty")*('Tenant Data'!$F$2:$F$4674&gt;0)*('Tenant Data'!$E$2:$E$4674&lt;10000)*'Tenant Data'!$J$2:$J$4674*'Tenant Data'!$E$2:$E$4674)/SUMPRODUCT(('Tenant Data'!$A$2:$A$4674="Galleria at Tyler")*('Tenant Data'!$D$2:$D$4674="Hobby &amp; Novelty")*('Tenant Data'!$F$2:$F$4674&gt;0)*('Tenant Data'!$E$2:$E$4674&lt;10000)*'Tenant Data'!$E$2:$E$4674),"")</f>
        <v>0.2238998998056819</v>
      </c>
      <c r="U19">
        <f>IFERROR(SUMPRODUCT(('Tenant Data'!$A$2:$A$4674="Galleria at Tyler")*('Tenant Data'!$D$2:$D$4674="Service")*('Tenant Data'!$F$2:$F$4674&gt;0)*('Tenant Data'!$E$2:$E$4674&lt;10000)*'Tenant Data'!$J$2:$J$4674*'Tenant Data'!$E$2:$E$4674)/SUMPRODUCT(('Tenant Data'!$A$2:$A$4674="Galleria at Tyler")*('Tenant Data'!$D$2:$D$4674="Service")*('Tenant Data'!$F$2:$F$4674&gt;0)*('Tenant Data'!$E$2:$E$4674&lt;10000)*'Tenant Data'!$E$2:$E$4674),"")</f>
        <v>0.22582544354925602</v>
      </c>
      <c r="V19">
        <f>IFERROR(SUMPRODUCT(('Tenant Data'!$A$2:$A$4674="Galleria at Tyler")*('Tenant Data'!$D$2:$D$4674="Tech")*('Tenant Data'!$F$2:$F$4674&gt;0)*('Tenant Data'!$E$2:$E$4674&lt;10000)*'Tenant Data'!$J$2:$J$4674*'Tenant Data'!$E$2:$E$4674)/SUMPRODUCT(('Tenant Data'!$A$2:$A$4674="Galleria at Tyler")*('Tenant Data'!$D$2:$D$4674="Tech")*('Tenant Data'!$F$2:$F$4674&gt;0)*('Tenant Data'!$E$2:$E$4674&lt;10000)*'Tenant Data'!$E$2:$E$4674),"")</f>
        <v>0.41248872159817213</v>
      </c>
      <c r="W19" t="str">
        <f>IFERROR(SUMPRODUCT(('Tenant Data'!$A$2:$A$4674="Galleria at Tyler")*('Tenant Data'!$D$2:$D$4674="Major")*('Tenant Data'!$F$2:$F$4674&gt;0)*('Tenant Data'!$E$2:$E$4674&lt;10000)*'Tenant Data'!$J$2:$J$4674*'Tenant Data'!$E$2:$E$4674)/SUMPRODUCT(('Tenant Data'!$A$2:$A$4674="Galleria at Tyler")*('Tenant Data'!$D$2:$D$4674="Major")*('Tenant Data'!$F$2:$F$4674&gt;0)*('Tenant Data'!$E$2:$E$4674&lt;10000)*'Tenant Data'!$E$2:$E$4674),"")</f>
        <v/>
      </c>
      <c r="X19" t="str">
        <f>IFERROR(SUMPRODUCT(('Tenant Data'!$A$2:$A$4674="Galleria at Tyler")*('Tenant Data'!$D$2:$D$4674="Anchor")*('Tenant Data'!$F$2:$F$4674&gt;0)*('Tenant Data'!$E$2:$E$4674&lt;10000)*'Tenant Data'!$J$2:$J$4674*'Tenant Data'!$E$2:$E$4674)/SUMPRODUCT(('Tenant Data'!$A$2:$A$4674="Galleria at Tyler")*('Tenant Data'!$D$2:$D$4674="Anchor")*('Tenant Data'!$F$2:$F$4674&gt;0)*('Tenant Data'!$E$2:$E$4674&lt;10000)*'Tenant Data'!$E$2:$E$4674),"")</f>
        <v/>
      </c>
      <c r="Y19" t="str">
        <f>IFERROR(SUMPRODUCT(('Tenant Data'!$A$2:$A$4674="Galleria at Tyler")*('Tenant Data'!$D$2:$D$4674="Apple")*('Tenant Data'!$F$2:$F$4674&gt;0)*('Tenant Data'!$E$2:$E$4674&lt;10000)*'Tenant Data'!$J$2:$J$4674*'Tenant Data'!$E$2:$E$4674)/SUMPRODUCT(('Tenant Data'!$A$2:$A$4674="Galleria at Tyler")*('Tenant Data'!$D$2:$D$4674="Apple")*('Tenant Data'!$F$2:$F$4674&gt;0)*('Tenant Data'!$E$2:$E$4674&lt;10000)*'Tenant Data'!$E$2:$E$4674),"")</f>
        <v/>
      </c>
      <c r="Z19">
        <f>SUMIFS('Tenant Data'!$F$2:$F$4674,'Tenant Data'!$A$2:$A$4674,"Galleria at Tyler",'Tenant Data'!$D$2:$D$4674,"Apparel",'Tenant Data'!$E$2:$E$4674,"&lt;10000")</f>
        <v>32783728</v>
      </c>
      <c r="AA19">
        <f>SUMIFS('Tenant Data'!$F$2:$F$4674,'Tenant Data'!$A$2:$A$4674,"Galleria at Tyler",'Tenant Data'!$D$2:$D$4674,"Shoes",'Tenant Data'!$E$2:$E$4674,"&lt;10000")</f>
        <v>19336035</v>
      </c>
      <c r="AB19">
        <f>SUMIFS('Tenant Data'!$F$2:$F$4674,'Tenant Data'!$A$2:$A$4674,"Galleria at Tyler",'Tenant Data'!$D$2:$D$4674,"Jewelry",'Tenant Data'!$E$2:$E$4674,"&lt;10000")</f>
        <v>22996184</v>
      </c>
      <c r="AC19">
        <f>SUMIFS('Tenant Data'!$F$2:$F$4674,'Tenant Data'!$A$2:$A$4674,"Galleria at Tyler",'Tenant Data'!$D$2:$D$4674,"Health &amp; Beauty",'Tenant Data'!$E$2:$E$4674,"&lt;10000")</f>
        <v>15159831</v>
      </c>
      <c r="AD19">
        <f>SUMIFS('Tenant Data'!$F$2:$F$4674,'Tenant Data'!$A$2:$A$4674,"Galleria at Tyler",'Tenant Data'!$D$2:$D$4674,"Food &amp; Beverage",'Tenant Data'!$E$2:$E$4674,"&lt;10000")</f>
        <v>9535758</v>
      </c>
      <c r="AE19">
        <f>SUMIFS('Tenant Data'!$F$2:$F$4674,'Tenant Data'!$A$2:$A$4674,"Galleria at Tyler",'Tenant Data'!$D$2:$D$4674,"Restaurant",'Tenant Data'!$E$2:$E$4674,"&lt;10000")</f>
        <v>34059241</v>
      </c>
      <c r="AF19">
        <f>SUMIFS('Tenant Data'!$F$2:$F$4674,'Tenant Data'!$A$2:$A$4674,"Galleria at Tyler",'Tenant Data'!$D$2:$D$4674,"Hobby &amp; Novelty",'Tenant Data'!$E$2:$E$4674,"&lt;10000")</f>
        <v>6955858</v>
      </c>
      <c r="AG19">
        <f>SUMIFS('Tenant Data'!$F$2:$F$4674,'Tenant Data'!$A$2:$A$4674,"Galleria at Tyler",'Tenant Data'!$D$2:$D$4674,"Service",'Tenant Data'!$E$2:$E$4674,"&lt;10000")</f>
        <v>8729007</v>
      </c>
      <c r="AH19">
        <f>SUMIFS('Tenant Data'!$F$2:$F$4674,'Tenant Data'!$A$2:$A$4674,"Galleria at Tyler",'Tenant Data'!$D$2:$D$4674,"Tech",'Tenant Data'!$E$2:$E$4674,"&lt;10000")</f>
        <v>1740119</v>
      </c>
      <c r="AI19">
        <f>SUMIFS('Tenant Data'!$F$2:$F$4674,'Tenant Data'!$A$2:$A$4674,"Galleria at Tyler",'Tenant Data'!$D$2:$D$4674,"Major",'Tenant Data'!$E$2:$E$4674,"&lt;10000")</f>
        <v>0</v>
      </c>
      <c r="AJ19">
        <f>SUMIFS('Tenant Data'!$F$2:$F$4674,'Tenant Data'!$A$2:$A$4674,"Galleria at Tyler",'Tenant Data'!$D$2:$D$4674,"Anchor",'Tenant Data'!$E$2:$E$4674,"&lt;10000")</f>
        <v>61200000</v>
      </c>
      <c r="AK19">
        <f>SUMIFS('Tenant Data'!$F$2:$F$4674,'Tenant Data'!$A$2:$A$4674,"Galleria at Tyler",'Tenant Data'!$D$2:$D$4674,"Apple",'Tenant Data'!$E$2:$E$4674,"&lt;10000")</f>
        <v>0</v>
      </c>
      <c r="AL19">
        <f>SUMIFS('Tenant Data'!$E$2:$E$4674,'Tenant Data'!$A$2:$A$4674,"Galleria at Tyler",'Tenant Data'!$D$2:$D$4674,"Apparel",'Tenant Data'!$F$2:$F$4674,"&gt;0",'Tenant Data'!$E$2:$E$4674,"&lt;10000")</f>
        <v>102805</v>
      </c>
      <c r="AM19">
        <f>SUMIFS('Tenant Data'!$E$2:$E$4674,'Tenant Data'!$A$2:$A$4674,"Galleria at Tyler",'Tenant Data'!$D$2:$D$4674,"Shoes",'Tenant Data'!$F$2:$F$4674,"&gt;0",'Tenant Data'!$E$2:$E$4674,"&lt;10000")</f>
        <v>30248</v>
      </c>
      <c r="AN19">
        <f>SUMIFS('Tenant Data'!$E$2:$E$4674,'Tenant Data'!$A$2:$A$4674,"Galleria at Tyler",'Tenant Data'!$D$2:$D$4674,"Jewelry",'Tenant Data'!$F$2:$F$4674,"&gt;0",'Tenant Data'!$E$2:$E$4674,"&lt;10000")</f>
        <v>26516</v>
      </c>
      <c r="AO19">
        <f>SUMIFS('Tenant Data'!$E$2:$E$4674,'Tenant Data'!$A$2:$A$4674,"Galleria at Tyler",'Tenant Data'!$D$2:$D$4674,"Health &amp; Beauty",'Tenant Data'!$F$2:$F$4674,"&gt;0",'Tenant Data'!$E$2:$E$4674,"&lt;10000")</f>
        <v>18272</v>
      </c>
      <c r="AP19">
        <f>SUMIFS('Tenant Data'!$E$2:$E$4674,'Tenant Data'!$A$2:$A$4674,"Galleria at Tyler",'Tenant Data'!$D$2:$D$4674,"Food &amp; Beverage",'Tenant Data'!$F$2:$F$4674,"&gt;0",'Tenant Data'!$E$2:$E$4674,"&lt;10000")</f>
        <v>9326</v>
      </c>
      <c r="AQ19">
        <f>SUMIFS('Tenant Data'!$E$2:$E$4674,'Tenant Data'!$A$2:$A$4674,"Galleria at Tyler",'Tenant Data'!$D$2:$D$4674,"Restaurant",'Tenant Data'!$F$2:$F$4674,"&gt;0",'Tenant Data'!$E$2:$E$4674,"&lt;10000")</f>
        <v>45701</v>
      </c>
      <c r="AR19">
        <f>SUMIFS('Tenant Data'!$E$2:$E$4674,'Tenant Data'!$A$2:$A$4674,"Galleria at Tyler",'Tenant Data'!$D$2:$D$4674,"Hobby &amp; Novelty",'Tenant Data'!$F$2:$F$4674,"&gt;0",'Tenant Data'!$E$2:$E$4674,"&lt;10000")</f>
        <v>17934</v>
      </c>
      <c r="AS19">
        <f>SUMIFS('Tenant Data'!$E$2:$E$4674,'Tenant Data'!$A$2:$A$4674,"Galleria at Tyler",'Tenant Data'!$D$2:$D$4674,"Service",'Tenant Data'!$F$2:$F$4674,"&gt;0",'Tenant Data'!$E$2:$E$4674,"&lt;10000")</f>
        <v>18514</v>
      </c>
      <c r="AT19">
        <f>SUMIFS('Tenant Data'!$E$2:$E$4674,'Tenant Data'!$A$2:$A$4674,"Galleria at Tyler",'Tenant Data'!$D$2:$D$4674,"Tech",'Tenant Data'!$F$2:$F$4674,"&gt;0",'Tenant Data'!$E$2:$E$4674,"&lt;10000")</f>
        <v>3792</v>
      </c>
      <c r="AU19">
        <f>SUMIFS('Tenant Data'!$E$2:$E$4674,'Tenant Data'!$A$2:$A$4674,"Galleria at Tyler",'Tenant Data'!$D$2:$D$4674,"Major",'Tenant Data'!$F$2:$F$4674,"&gt;0",'Tenant Data'!$E$2:$E$4674,"&lt;10000")</f>
        <v>0</v>
      </c>
      <c r="AV19">
        <f>SUMIFS('Tenant Data'!$E$2:$E$4674,'Tenant Data'!$A$2:$A$4674,"Galleria at Tyler",'Tenant Data'!$D$2:$D$4674,"Anchor",'Tenant Data'!$F$2:$F$4674,"&gt;0",'Tenant Data'!$E$2:$E$4674,"&lt;10000")</f>
        <v>0</v>
      </c>
      <c r="AW19">
        <f>SUMIFS('Tenant Data'!$E$2:$E$4674,'Tenant Data'!$A$2:$A$4674,"Galleria at Tyler",'Tenant Data'!$D$2:$D$4674,"Apple",'Tenant Data'!$F$2:$F$4674,"&gt;0",'Tenant Data'!$E$2:$E$4674,"&lt;10000")</f>
        <v>0</v>
      </c>
      <c r="AX19">
        <v>1</v>
      </c>
      <c r="AY19" t="str">
        <f>'Property Summary'!B19</f>
        <v>Y</v>
      </c>
      <c r="AZ19">
        <f t="shared" si="12"/>
        <v>273108</v>
      </c>
    </row>
    <row r="20" spans="1:52" x14ac:dyDescent="0.2">
      <c r="A20" t="s">
        <v>28</v>
      </c>
      <c r="B20">
        <f t="shared" si="0"/>
        <v>362.99373047900275</v>
      </c>
      <c r="C20">
        <f t="shared" si="1"/>
        <v>406.90473211298576</v>
      </c>
      <c r="D20">
        <f t="shared" si="2"/>
        <v>1270.6792532374102</v>
      </c>
      <c r="E20">
        <f t="shared" si="3"/>
        <v>1022.9277734489856</v>
      </c>
      <c r="F20">
        <f t="shared" si="4"/>
        <v>1616.3820621931261</v>
      </c>
      <c r="G20">
        <f t="shared" si="5"/>
        <v>763.08124903656756</v>
      </c>
      <c r="H20">
        <f t="shared" si="6"/>
        <v>313.40427556758129</v>
      </c>
      <c r="I20">
        <f t="shared" si="7"/>
        <v>425.28861306667858</v>
      </c>
      <c r="J20">
        <f t="shared" si="8"/>
        <v>520.37551779935279</v>
      </c>
      <c r="K20">
        <f t="shared" si="9"/>
        <v>576.36456338028165</v>
      </c>
      <c r="L20" t="str">
        <f t="shared" si="10"/>
        <v/>
      </c>
      <c r="M20" t="str">
        <f t="shared" si="11"/>
        <v/>
      </c>
      <c r="N20">
        <f>IFERROR(SUMPRODUCT(('Tenant Data'!$A$2:$A$4674="Hamilton Place Mall")*('Tenant Data'!$D$2:$D$4674="Apparel")*('Tenant Data'!$F$2:$F$4674&gt;0)*('Tenant Data'!$E$2:$E$4674&lt;10000)*'Tenant Data'!$J$2:$J$4674*'Tenant Data'!$E$2:$E$4674)/SUMPRODUCT(('Tenant Data'!$A$2:$A$4674="Hamilton Place Mall")*('Tenant Data'!$D$2:$D$4674="Apparel")*('Tenant Data'!$F$2:$F$4674&gt;0)*('Tenant Data'!$E$2:$E$4674&lt;10000)*'Tenant Data'!$E$2:$E$4674),"")</f>
        <v>0.10949495639374313</v>
      </c>
      <c r="O20">
        <f>IFERROR(SUMPRODUCT(('Tenant Data'!$A$2:$A$4674="Hamilton Place Mall")*('Tenant Data'!$D$2:$D$4674="Shoes")*('Tenant Data'!$F$2:$F$4674&gt;0)*('Tenant Data'!$E$2:$E$4674&lt;10000)*'Tenant Data'!$J$2:$J$4674*'Tenant Data'!$E$2:$E$4674)/SUMPRODUCT(('Tenant Data'!$A$2:$A$4674="Hamilton Place Mall")*('Tenant Data'!$D$2:$D$4674="Shoes")*('Tenant Data'!$F$2:$F$4674&gt;0)*('Tenant Data'!$E$2:$E$4674&lt;10000)*'Tenant Data'!$E$2:$E$4674),"")</f>
        <v>0.15966192843323981</v>
      </c>
      <c r="P20">
        <f>IFERROR(SUMPRODUCT(('Tenant Data'!$A$2:$A$4674="Hamilton Place Mall")*('Tenant Data'!$D$2:$D$4674="Jewelry")*('Tenant Data'!$F$2:$F$4674&gt;0)*('Tenant Data'!$E$2:$E$4674&lt;10000)*'Tenant Data'!$J$2:$J$4674*'Tenant Data'!$E$2:$E$4674)/SUMPRODUCT(('Tenant Data'!$A$2:$A$4674="Hamilton Place Mall")*('Tenant Data'!$D$2:$D$4674="Jewelry")*('Tenant Data'!$F$2:$F$4674&gt;0)*('Tenant Data'!$E$2:$E$4674&lt;10000)*'Tenant Data'!$E$2:$E$4674),"")</f>
        <v>0.11832082420832928</v>
      </c>
      <c r="Q20">
        <f>IFERROR(SUMPRODUCT(('Tenant Data'!$A$2:$A$4674="Hamilton Place Mall")*('Tenant Data'!$D$2:$D$4674="Health &amp; Beauty")*('Tenant Data'!$F$2:$F$4674&gt;0)*('Tenant Data'!$E$2:$E$4674&lt;10000)*'Tenant Data'!$J$2:$J$4674*'Tenant Data'!$E$2:$E$4674)/SUMPRODUCT(('Tenant Data'!$A$2:$A$4674="Hamilton Place Mall")*('Tenant Data'!$D$2:$D$4674="Health &amp; Beauty")*('Tenant Data'!$F$2:$F$4674&gt;0)*('Tenant Data'!$E$2:$E$4674&lt;10000)*'Tenant Data'!$E$2:$E$4674),"")</f>
        <v>0.11681957907062085</v>
      </c>
      <c r="R20">
        <f>IFERROR(SUMPRODUCT(('Tenant Data'!$A$2:$A$4674="Hamilton Place Mall")*('Tenant Data'!$D$2:$D$4674="Food &amp; Beverage")*('Tenant Data'!$F$2:$F$4674&gt;0)*('Tenant Data'!$E$2:$E$4674&lt;10000)*'Tenant Data'!$J$2:$J$4674*'Tenant Data'!$E$2:$E$4674)/SUMPRODUCT(('Tenant Data'!$A$2:$A$4674="Hamilton Place Mall")*('Tenant Data'!$D$2:$D$4674="Food &amp; Beverage")*('Tenant Data'!$F$2:$F$4674&gt;0)*('Tenant Data'!$E$2:$E$4674&lt;10000)*'Tenant Data'!$E$2:$E$4674),"")</f>
        <v>0.14468735648294209</v>
      </c>
      <c r="S20">
        <f>IFERROR(SUMPRODUCT(('Tenant Data'!$A$2:$A$4674="Hamilton Place Mall")*('Tenant Data'!$D$2:$D$4674="Restaurant")*('Tenant Data'!$F$2:$F$4674&gt;0)*('Tenant Data'!$E$2:$E$4674&lt;10000)*'Tenant Data'!$J$2:$J$4674*'Tenant Data'!$E$2:$E$4674)/SUMPRODUCT(('Tenant Data'!$A$2:$A$4674="Hamilton Place Mall")*('Tenant Data'!$D$2:$D$4674="Restaurant")*('Tenant Data'!$F$2:$F$4674&gt;0)*('Tenant Data'!$E$2:$E$4674&lt;10000)*'Tenant Data'!$E$2:$E$4674),"")</f>
        <v>8.2261031234316592E-2</v>
      </c>
      <c r="T20">
        <f>IFERROR(SUMPRODUCT(('Tenant Data'!$A$2:$A$4674="Hamilton Place Mall")*('Tenant Data'!$D$2:$D$4674="Hobby &amp; Novelty")*('Tenant Data'!$F$2:$F$4674&gt;0)*('Tenant Data'!$E$2:$E$4674&lt;10000)*'Tenant Data'!$J$2:$J$4674*'Tenant Data'!$E$2:$E$4674)/SUMPRODUCT(('Tenant Data'!$A$2:$A$4674="Hamilton Place Mall")*('Tenant Data'!$D$2:$D$4674="Hobby &amp; Novelty")*('Tenant Data'!$F$2:$F$4674&gt;0)*('Tenant Data'!$E$2:$E$4674&lt;10000)*'Tenant Data'!$E$2:$E$4674),"")</f>
        <v>0.14450163232507782</v>
      </c>
      <c r="U20">
        <f>IFERROR(SUMPRODUCT(('Tenant Data'!$A$2:$A$4674="Hamilton Place Mall")*('Tenant Data'!$D$2:$D$4674="Service")*('Tenant Data'!$F$2:$F$4674&gt;0)*('Tenant Data'!$E$2:$E$4674&lt;10000)*'Tenant Data'!$J$2:$J$4674*'Tenant Data'!$E$2:$E$4674)/SUMPRODUCT(('Tenant Data'!$A$2:$A$4674="Hamilton Place Mall")*('Tenant Data'!$D$2:$D$4674="Service")*('Tenant Data'!$F$2:$F$4674&gt;0)*('Tenant Data'!$E$2:$E$4674&lt;10000)*'Tenant Data'!$E$2:$E$4674),"")</f>
        <v>0.12136091368629187</v>
      </c>
      <c r="V20">
        <f>IFERROR(SUMPRODUCT(('Tenant Data'!$A$2:$A$4674="Hamilton Place Mall")*('Tenant Data'!$D$2:$D$4674="Tech")*('Tenant Data'!$F$2:$F$4674&gt;0)*('Tenant Data'!$E$2:$E$4674&lt;10000)*'Tenant Data'!$J$2:$J$4674*'Tenant Data'!$E$2:$E$4674)/SUMPRODUCT(('Tenant Data'!$A$2:$A$4674="Hamilton Place Mall")*('Tenant Data'!$D$2:$D$4674="Tech")*('Tenant Data'!$F$2:$F$4674&gt;0)*('Tenant Data'!$E$2:$E$4674&lt;10000)*'Tenant Data'!$E$2:$E$4674),"")</f>
        <v>0.29991147697595211</v>
      </c>
      <c r="W20">
        <f>IFERROR(SUMPRODUCT(('Tenant Data'!$A$2:$A$4674="Hamilton Place Mall")*('Tenant Data'!$D$2:$D$4674="Major")*('Tenant Data'!$F$2:$F$4674&gt;0)*('Tenant Data'!$E$2:$E$4674&lt;10000)*'Tenant Data'!$J$2:$J$4674*'Tenant Data'!$E$2:$E$4674)/SUMPRODUCT(('Tenant Data'!$A$2:$A$4674="Hamilton Place Mall")*('Tenant Data'!$D$2:$D$4674="Major")*('Tenant Data'!$F$2:$F$4674&gt;0)*('Tenant Data'!$E$2:$E$4674&lt;10000)*'Tenant Data'!$E$2:$E$4674),"")</f>
        <v>0.12085965066851671</v>
      </c>
      <c r="X20" t="str">
        <f>IFERROR(SUMPRODUCT(('Tenant Data'!$A$2:$A$4674="Hamilton Place Mall")*('Tenant Data'!$D$2:$D$4674="Anchor")*('Tenant Data'!$F$2:$F$4674&gt;0)*('Tenant Data'!$E$2:$E$4674&lt;10000)*'Tenant Data'!$J$2:$J$4674*'Tenant Data'!$E$2:$E$4674)/SUMPRODUCT(('Tenant Data'!$A$2:$A$4674="Hamilton Place Mall")*('Tenant Data'!$D$2:$D$4674="Anchor")*('Tenant Data'!$F$2:$F$4674&gt;0)*('Tenant Data'!$E$2:$E$4674&lt;10000)*'Tenant Data'!$E$2:$E$4674),"")</f>
        <v/>
      </c>
      <c r="Y20" t="str">
        <f>IFERROR(SUMPRODUCT(('Tenant Data'!$A$2:$A$4674="Hamilton Place Mall")*('Tenant Data'!$D$2:$D$4674="Apple")*('Tenant Data'!$F$2:$F$4674&gt;0)*('Tenant Data'!$E$2:$E$4674&lt;10000)*'Tenant Data'!$J$2:$J$4674*'Tenant Data'!$E$2:$E$4674)/SUMPRODUCT(('Tenant Data'!$A$2:$A$4674="Hamilton Place Mall")*('Tenant Data'!$D$2:$D$4674="Apple")*('Tenant Data'!$F$2:$F$4674&gt;0)*('Tenant Data'!$E$2:$E$4674&lt;10000)*'Tenant Data'!$E$2:$E$4674),"")</f>
        <v/>
      </c>
      <c r="Z20">
        <f>SUMIFS('Tenant Data'!$F$2:$F$4674,'Tenant Data'!$A$2:$A$4674,"Hamilton Place Mall",'Tenant Data'!$D$2:$D$4674,"Apparel",'Tenant Data'!$E$2:$E$4674,"&lt;10000")</f>
        <v>44256195.620000012</v>
      </c>
      <c r="AA20">
        <f>SUMIFS('Tenant Data'!$F$2:$F$4674,'Tenant Data'!$A$2:$A$4674,"Hamilton Place Mall",'Tenant Data'!$D$2:$D$4674,"Shoes",'Tenant Data'!$E$2:$E$4674,"&lt;10000")</f>
        <v>17027335.420000002</v>
      </c>
      <c r="AB20">
        <f>SUMIFS('Tenant Data'!$F$2:$F$4674,'Tenant Data'!$A$2:$A$4674,"Hamilton Place Mall",'Tenant Data'!$D$2:$D$4674,"Jewelry",'Tenant Data'!$E$2:$E$4674,"&lt;10000")</f>
        <v>8831220.8100000005</v>
      </c>
      <c r="AC20">
        <f>SUMIFS('Tenant Data'!$F$2:$F$4674,'Tenant Data'!$A$2:$A$4674,"Hamilton Place Mall",'Tenant Data'!$D$2:$D$4674,"Health &amp; Beauty",'Tenant Data'!$E$2:$E$4674,"&lt;10000")</f>
        <v>13915909.43</v>
      </c>
      <c r="AD20">
        <f>SUMIFS('Tenant Data'!$F$2:$F$4674,'Tenant Data'!$A$2:$A$4674,"Hamilton Place Mall",'Tenant Data'!$D$2:$D$4674,"Food &amp; Beverage",'Tenant Data'!$E$2:$E$4674,"&lt;10000")</f>
        <v>6913266.0800000001</v>
      </c>
      <c r="AE20">
        <f>SUMIFS('Tenant Data'!$F$2:$F$4674,'Tenant Data'!$A$2:$A$4674,"Hamilton Place Mall",'Tenant Data'!$D$2:$D$4674,"Restaurant",'Tenant Data'!$E$2:$E$4674,"&lt;10000")</f>
        <v>17820999.489999998</v>
      </c>
      <c r="AF20">
        <f>SUMIFS('Tenant Data'!$F$2:$F$4674,'Tenant Data'!$A$2:$A$4674,"Hamilton Place Mall",'Tenant Data'!$D$2:$D$4674,"Hobby &amp; Novelty",'Tenant Data'!$E$2:$E$4674,"&lt;10000")</f>
        <v>7412951.3300000001</v>
      </c>
      <c r="AG20">
        <f>SUMIFS('Tenant Data'!$F$2:$F$4674,'Tenant Data'!$A$2:$A$4674,"Hamilton Place Mall",'Tenant Data'!$D$2:$D$4674,"Service",'Tenant Data'!$E$2:$E$4674,"&lt;10000")</f>
        <v>9484361.3599999994</v>
      </c>
      <c r="AH20">
        <f>SUMIFS('Tenant Data'!$F$2:$F$4674,'Tenant Data'!$A$2:$A$4674,"Hamilton Place Mall",'Tenant Data'!$D$2:$D$4674,"Tech",'Tenant Data'!$E$2:$E$4674,"&lt;10000")</f>
        <v>321592.07</v>
      </c>
      <c r="AI20">
        <f>SUMIFS('Tenant Data'!$F$2:$F$4674,'Tenant Data'!$A$2:$A$4674,"Hamilton Place Mall",'Tenant Data'!$D$2:$D$4674,"Major",'Tenant Data'!$E$2:$E$4674,"&lt;10000")</f>
        <v>3069141.3</v>
      </c>
      <c r="AJ20">
        <f>SUMIFS('Tenant Data'!$F$2:$F$4674,'Tenant Data'!$A$2:$A$4674,"Hamilton Place Mall",'Tenant Data'!$D$2:$D$4674,"Anchor",'Tenant Data'!$E$2:$E$4674,"&lt;10000")</f>
        <v>0</v>
      </c>
      <c r="AK20">
        <f>SUMIFS('Tenant Data'!$F$2:$F$4674,'Tenant Data'!$A$2:$A$4674,"Hamilton Place Mall",'Tenant Data'!$D$2:$D$4674,"Apple",'Tenant Data'!$E$2:$E$4674,"&lt;10000")</f>
        <v>0</v>
      </c>
      <c r="AL20">
        <f>SUMIFS('Tenant Data'!$E$2:$E$4674,'Tenant Data'!$A$2:$A$4674,"Hamilton Place Mall",'Tenant Data'!$D$2:$D$4674,"Apparel",'Tenant Data'!$F$2:$F$4674,"&gt;0",'Tenant Data'!$E$2:$E$4674,"&lt;10000")</f>
        <v>121920</v>
      </c>
      <c r="AM20">
        <f>SUMIFS('Tenant Data'!$E$2:$E$4674,'Tenant Data'!$A$2:$A$4674,"Hamilton Place Mall",'Tenant Data'!$D$2:$D$4674,"Shoes",'Tenant Data'!$F$2:$F$4674,"&gt;0",'Tenant Data'!$E$2:$E$4674,"&lt;10000")</f>
        <v>41846</v>
      </c>
      <c r="AN20">
        <f>SUMIFS('Tenant Data'!$E$2:$E$4674,'Tenant Data'!$A$2:$A$4674,"Hamilton Place Mall",'Tenant Data'!$D$2:$D$4674,"Jewelry",'Tenant Data'!$F$2:$F$4674,"&gt;0",'Tenant Data'!$E$2:$E$4674,"&lt;10000")</f>
        <v>6950</v>
      </c>
      <c r="AO20">
        <f>SUMIFS('Tenant Data'!$E$2:$E$4674,'Tenant Data'!$A$2:$A$4674,"Hamilton Place Mall",'Tenant Data'!$D$2:$D$4674,"Health &amp; Beauty",'Tenant Data'!$F$2:$F$4674,"&gt;0",'Tenant Data'!$E$2:$E$4674,"&lt;10000")</f>
        <v>13604</v>
      </c>
      <c r="AP20">
        <f>SUMIFS('Tenant Data'!$E$2:$E$4674,'Tenant Data'!$A$2:$A$4674,"Hamilton Place Mall",'Tenant Data'!$D$2:$D$4674,"Food &amp; Beverage",'Tenant Data'!$F$2:$F$4674,"&gt;0",'Tenant Data'!$E$2:$E$4674,"&lt;10000")</f>
        <v>4277</v>
      </c>
      <c r="AQ20">
        <f>SUMIFS('Tenant Data'!$E$2:$E$4674,'Tenant Data'!$A$2:$A$4674,"Hamilton Place Mall",'Tenant Data'!$D$2:$D$4674,"Restaurant",'Tenant Data'!$F$2:$F$4674,"&gt;0",'Tenant Data'!$E$2:$E$4674,"&lt;10000")</f>
        <v>23354</v>
      </c>
      <c r="AR20">
        <f>SUMIFS('Tenant Data'!$E$2:$E$4674,'Tenant Data'!$A$2:$A$4674,"Hamilton Place Mall",'Tenant Data'!$D$2:$D$4674,"Hobby &amp; Novelty",'Tenant Data'!$F$2:$F$4674,"&gt;0",'Tenant Data'!$E$2:$E$4674,"&lt;10000")</f>
        <v>23653</v>
      </c>
      <c r="AS20">
        <f>SUMIFS('Tenant Data'!$E$2:$E$4674,'Tenant Data'!$A$2:$A$4674,"Hamilton Place Mall",'Tenant Data'!$D$2:$D$4674,"Service",'Tenant Data'!$F$2:$F$4674,"&gt;0",'Tenant Data'!$E$2:$E$4674,"&lt;10000")</f>
        <v>22301</v>
      </c>
      <c r="AT20">
        <f>SUMIFS('Tenant Data'!$E$2:$E$4674,'Tenant Data'!$A$2:$A$4674,"Hamilton Place Mall",'Tenant Data'!$D$2:$D$4674,"Tech",'Tenant Data'!$F$2:$F$4674,"&gt;0",'Tenant Data'!$E$2:$E$4674,"&lt;10000")</f>
        <v>618</v>
      </c>
      <c r="AU20">
        <f>SUMIFS('Tenant Data'!$E$2:$E$4674,'Tenant Data'!$A$2:$A$4674,"Hamilton Place Mall",'Tenant Data'!$D$2:$D$4674,"Major",'Tenant Data'!$F$2:$F$4674,"&gt;0",'Tenant Data'!$E$2:$E$4674,"&lt;10000")</f>
        <v>5325</v>
      </c>
      <c r="AV20">
        <f>SUMIFS('Tenant Data'!$E$2:$E$4674,'Tenant Data'!$A$2:$A$4674,"Hamilton Place Mall",'Tenant Data'!$D$2:$D$4674,"Anchor",'Tenant Data'!$F$2:$F$4674,"&gt;0",'Tenant Data'!$E$2:$E$4674,"&lt;10000")</f>
        <v>0</v>
      </c>
      <c r="AW20">
        <f>SUMIFS('Tenant Data'!$E$2:$E$4674,'Tenant Data'!$A$2:$A$4674,"Hamilton Place Mall",'Tenant Data'!$D$2:$D$4674,"Apple",'Tenant Data'!$F$2:$F$4674,"&gt;0",'Tenant Data'!$E$2:$E$4674,"&lt;10000")</f>
        <v>0</v>
      </c>
      <c r="AX20">
        <v>1</v>
      </c>
      <c r="AY20" t="str">
        <f>'Property Summary'!B20</f>
        <v>Y</v>
      </c>
      <c r="AZ20">
        <f t="shared" si="12"/>
        <v>263848</v>
      </c>
    </row>
    <row r="21" spans="1:52" x14ac:dyDescent="0.2">
      <c r="A21" t="s">
        <v>40</v>
      </c>
      <c r="B21">
        <f t="shared" si="0"/>
        <v>301.84479904176538</v>
      </c>
      <c r="C21">
        <f t="shared" si="1"/>
        <v>360.19909570215844</v>
      </c>
      <c r="D21">
        <f t="shared" si="2"/>
        <v>929.67640331803193</v>
      </c>
      <c r="E21">
        <f t="shared" si="3"/>
        <v>577.02486808070353</v>
      </c>
      <c r="F21">
        <f t="shared" si="4"/>
        <v>1144.7080667759726</v>
      </c>
      <c r="G21">
        <f t="shared" si="5"/>
        <v>418.41546361301374</v>
      </c>
      <c r="H21">
        <f t="shared" si="6"/>
        <v>243.7515747081458</v>
      </c>
      <c r="I21">
        <f t="shared" si="7"/>
        <v>782.49978511035681</v>
      </c>
      <c r="J21" t="str">
        <f t="shared" si="8"/>
        <v/>
      </c>
      <c r="K21" t="str">
        <f t="shared" si="9"/>
        <v/>
      </c>
      <c r="L21" t="str">
        <f t="shared" si="10"/>
        <v/>
      </c>
      <c r="M21" t="str">
        <f t="shared" si="11"/>
        <v/>
      </c>
      <c r="N21">
        <f>IFERROR(SUMPRODUCT(('Tenant Data'!$A$2:$A$4674="Hanes Mall")*('Tenant Data'!$D$2:$D$4674="Apparel")*('Tenant Data'!$F$2:$F$4674&gt;0)*('Tenant Data'!$E$2:$E$4674&lt;10000)*'Tenant Data'!$J$2:$J$4674*'Tenant Data'!$E$2:$E$4674)/SUMPRODUCT(('Tenant Data'!$A$2:$A$4674="Hanes Mall")*('Tenant Data'!$D$2:$D$4674="Apparel")*('Tenant Data'!$F$2:$F$4674&gt;0)*('Tenant Data'!$E$2:$E$4674&lt;10000)*'Tenant Data'!$E$2:$E$4674),"")</f>
        <v>0.1318039131210576</v>
      </c>
      <c r="O21">
        <f>IFERROR(SUMPRODUCT(('Tenant Data'!$A$2:$A$4674="Hanes Mall")*('Tenant Data'!$D$2:$D$4674="Shoes")*('Tenant Data'!$F$2:$F$4674&gt;0)*('Tenant Data'!$E$2:$E$4674&lt;10000)*'Tenant Data'!$J$2:$J$4674*'Tenant Data'!$E$2:$E$4674)/SUMPRODUCT(('Tenant Data'!$A$2:$A$4674="Hanes Mall")*('Tenant Data'!$D$2:$D$4674="Shoes")*('Tenant Data'!$F$2:$F$4674&gt;0)*('Tenant Data'!$E$2:$E$4674&lt;10000)*'Tenant Data'!$E$2:$E$4674),"")</f>
        <v>0.12956151774192171</v>
      </c>
      <c r="P21">
        <f>IFERROR(SUMPRODUCT(('Tenant Data'!$A$2:$A$4674="Hanes Mall")*('Tenant Data'!$D$2:$D$4674="Jewelry")*('Tenant Data'!$F$2:$F$4674&gt;0)*('Tenant Data'!$E$2:$E$4674&lt;10000)*'Tenant Data'!$J$2:$J$4674*'Tenant Data'!$E$2:$E$4674)/SUMPRODUCT(('Tenant Data'!$A$2:$A$4674="Hanes Mall")*('Tenant Data'!$D$2:$D$4674="Jewelry")*('Tenant Data'!$F$2:$F$4674&gt;0)*('Tenant Data'!$E$2:$E$4674&lt;10000)*'Tenant Data'!$E$2:$E$4674),"")</f>
        <v>0.14349306317044</v>
      </c>
      <c r="Q21">
        <f>IFERROR(SUMPRODUCT(('Tenant Data'!$A$2:$A$4674="Hanes Mall")*('Tenant Data'!$D$2:$D$4674="Health &amp; Beauty")*('Tenant Data'!$F$2:$F$4674&gt;0)*('Tenant Data'!$E$2:$E$4674&lt;10000)*'Tenant Data'!$J$2:$J$4674*'Tenant Data'!$E$2:$E$4674)/SUMPRODUCT(('Tenant Data'!$A$2:$A$4674="Hanes Mall")*('Tenant Data'!$D$2:$D$4674="Health &amp; Beauty")*('Tenant Data'!$F$2:$F$4674&gt;0)*('Tenant Data'!$E$2:$E$4674&lt;10000)*'Tenant Data'!$E$2:$E$4674),"")</f>
        <v>0.15367977306783456</v>
      </c>
      <c r="R21">
        <f>IFERROR(SUMPRODUCT(('Tenant Data'!$A$2:$A$4674="Hanes Mall")*('Tenant Data'!$D$2:$D$4674="Food &amp; Beverage")*('Tenant Data'!$F$2:$F$4674&gt;0)*('Tenant Data'!$E$2:$E$4674&lt;10000)*'Tenant Data'!$J$2:$J$4674*'Tenant Data'!$E$2:$E$4674)/SUMPRODUCT(('Tenant Data'!$A$2:$A$4674="Hanes Mall")*('Tenant Data'!$D$2:$D$4674="Food &amp; Beverage")*('Tenant Data'!$F$2:$F$4674&gt;0)*('Tenant Data'!$E$2:$E$4674&lt;10000)*'Tenant Data'!$E$2:$E$4674),"")</f>
        <v>0.1697212363339704</v>
      </c>
      <c r="S21">
        <f>IFERROR(SUMPRODUCT(('Tenant Data'!$A$2:$A$4674="Hanes Mall")*('Tenant Data'!$D$2:$D$4674="Restaurant")*('Tenant Data'!$F$2:$F$4674&gt;0)*('Tenant Data'!$E$2:$E$4674&lt;10000)*'Tenant Data'!$J$2:$J$4674*'Tenant Data'!$E$2:$E$4674)/SUMPRODUCT(('Tenant Data'!$A$2:$A$4674="Hanes Mall")*('Tenant Data'!$D$2:$D$4674="Restaurant")*('Tenant Data'!$F$2:$F$4674&gt;0)*('Tenant Data'!$E$2:$E$4674&lt;10000)*'Tenant Data'!$E$2:$E$4674),"")</f>
        <v>0.10122276586423837</v>
      </c>
      <c r="T21">
        <f>IFERROR(SUMPRODUCT(('Tenant Data'!$A$2:$A$4674="Hanes Mall")*('Tenant Data'!$D$2:$D$4674="Hobby &amp; Novelty")*('Tenant Data'!$F$2:$F$4674&gt;0)*('Tenant Data'!$E$2:$E$4674&lt;10000)*'Tenant Data'!$J$2:$J$4674*'Tenant Data'!$E$2:$E$4674)/SUMPRODUCT(('Tenant Data'!$A$2:$A$4674="Hanes Mall")*('Tenant Data'!$D$2:$D$4674="Hobby &amp; Novelty")*('Tenant Data'!$F$2:$F$4674&gt;0)*('Tenant Data'!$E$2:$E$4674&lt;10000)*'Tenant Data'!$E$2:$E$4674),"")</f>
        <v>0.14915985085045891</v>
      </c>
      <c r="U21">
        <f>IFERROR(SUMPRODUCT(('Tenant Data'!$A$2:$A$4674="Hanes Mall")*('Tenant Data'!$D$2:$D$4674="Service")*('Tenant Data'!$F$2:$F$4674&gt;0)*('Tenant Data'!$E$2:$E$4674&lt;10000)*'Tenant Data'!$J$2:$J$4674*'Tenant Data'!$E$2:$E$4674)/SUMPRODUCT(('Tenant Data'!$A$2:$A$4674="Hanes Mall")*('Tenant Data'!$D$2:$D$4674="Service")*('Tenant Data'!$F$2:$F$4674&gt;0)*('Tenant Data'!$E$2:$E$4674&lt;10000)*'Tenant Data'!$E$2:$E$4674),"")</f>
        <v>9.2886656331805165E-2</v>
      </c>
      <c r="V21" t="str">
        <f>IFERROR(SUMPRODUCT(('Tenant Data'!$A$2:$A$4674="Hanes Mall")*('Tenant Data'!$D$2:$D$4674="Tech")*('Tenant Data'!$F$2:$F$4674&gt;0)*('Tenant Data'!$E$2:$E$4674&lt;10000)*'Tenant Data'!$J$2:$J$4674*'Tenant Data'!$E$2:$E$4674)/SUMPRODUCT(('Tenant Data'!$A$2:$A$4674="Hanes Mall")*('Tenant Data'!$D$2:$D$4674="Tech")*('Tenant Data'!$F$2:$F$4674&gt;0)*('Tenant Data'!$E$2:$E$4674&lt;10000)*'Tenant Data'!$E$2:$E$4674),"")</f>
        <v/>
      </c>
      <c r="W21" t="str">
        <f>IFERROR(SUMPRODUCT(('Tenant Data'!$A$2:$A$4674="Hanes Mall")*('Tenant Data'!$D$2:$D$4674="Major")*('Tenant Data'!$F$2:$F$4674&gt;0)*('Tenant Data'!$E$2:$E$4674&lt;10000)*'Tenant Data'!$J$2:$J$4674*'Tenant Data'!$E$2:$E$4674)/SUMPRODUCT(('Tenant Data'!$A$2:$A$4674="Hanes Mall")*('Tenant Data'!$D$2:$D$4674="Major")*('Tenant Data'!$F$2:$F$4674&gt;0)*('Tenant Data'!$E$2:$E$4674&lt;10000)*'Tenant Data'!$E$2:$E$4674),"")</f>
        <v/>
      </c>
      <c r="X21" t="str">
        <f>IFERROR(SUMPRODUCT(('Tenant Data'!$A$2:$A$4674="Hanes Mall")*('Tenant Data'!$D$2:$D$4674="Anchor")*('Tenant Data'!$F$2:$F$4674&gt;0)*('Tenant Data'!$E$2:$E$4674&lt;10000)*'Tenant Data'!$J$2:$J$4674*'Tenant Data'!$E$2:$E$4674)/SUMPRODUCT(('Tenant Data'!$A$2:$A$4674="Hanes Mall")*('Tenant Data'!$D$2:$D$4674="Anchor")*('Tenant Data'!$F$2:$F$4674&gt;0)*('Tenant Data'!$E$2:$E$4674&lt;10000)*'Tenant Data'!$E$2:$E$4674),"")</f>
        <v/>
      </c>
      <c r="Y21" t="str">
        <f>IFERROR(SUMPRODUCT(('Tenant Data'!$A$2:$A$4674="Hanes Mall")*('Tenant Data'!$D$2:$D$4674="Apple")*('Tenant Data'!$F$2:$F$4674&gt;0)*('Tenant Data'!$E$2:$E$4674&lt;10000)*'Tenant Data'!$J$2:$J$4674*'Tenant Data'!$E$2:$E$4674)/SUMPRODUCT(('Tenant Data'!$A$2:$A$4674="Hanes Mall")*('Tenant Data'!$D$2:$D$4674="Apple")*('Tenant Data'!$F$2:$F$4674&gt;0)*('Tenant Data'!$E$2:$E$4674&lt;10000)*'Tenant Data'!$E$2:$E$4674),"")</f>
        <v/>
      </c>
      <c r="Z21">
        <f>SUMIFS('Tenant Data'!$F$2:$F$4674,'Tenant Data'!$A$2:$A$4674,"Hanes Mall",'Tenant Data'!$D$2:$D$4674,"Apparel",'Tenant Data'!$E$2:$E$4674,"&lt;10000")</f>
        <v>34524102.579999998</v>
      </c>
      <c r="AA21">
        <f>SUMIFS('Tenant Data'!$F$2:$F$4674,'Tenant Data'!$A$2:$A$4674,"Hanes Mall",'Tenant Data'!$D$2:$D$4674,"Shoes",'Tenant Data'!$E$2:$E$4674,"&lt;10000")</f>
        <v>18924140.09</v>
      </c>
      <c r="AB21">
        <f>SUMIFS('Tenant Data'!$F$2:$F$4674,'Tenant Data'!$A$2:$A$4674,"Hanes Mall",'Tenant Data'!$D$2:$D$4674,"Jewelry",'Tenant Data'!$E$2:$E$4674,"&lt;10000")</f>
        <v>11543791.900000002</v>
      </c>
      <c r="AC21">
        <f>SUMIFS('Tenant Data'!$F$2:$F$4674,'Tenant Data'!$A$2:$A$4674,"Hanes Mall",'Tenant Data'!$D$2:$D$4674,"Health &amp; Beauty",'Tenant Data'!$E$2:$E$4674,"&lt;10000")</f>
        <v>12269279.77</v>
      </c>
      <c r="AD21">
        <f>SUMIFS('Tenant Data'!$F$2:$F$4674,'Tenant Data'!$A$2:$A$4674,"Hanes Mall",'Tenant Data'!$D$2:$D$4674,"Food &amp; Beverage",'Tenant Data'!$E$2:$E$4674,"&lt;10000")</f>
        <v>7679846.4199999999</v>
      </c>
      <c r="AE21">
        <f>SUMIFS('Tenant Data'!$F$2:$F$4674,'Tenant Data'!$A$2:$A$4674,"Hanes Mall",'Tenant Data'!$D$2:$D$4674,"Restaurant",'Tenant Data'!$E$2:$E$4674,"&lt;10000")</f>
        <v>9774185.2300000004</v>
      </c>
      <c r="AF21">
        <f>SUMIFS('Tenant Data'!$F$2:$F$4674,'Tenant Data'!$A$2:$A$4674,"Hanes Mall",'Tenant Data'!$D$2:$D$4674,"Hobby &amp; Novelty",'Tenant Data'!$E$2:$E$4674,"&lt;10000")</f>
        <v>7474885.7899999991</v>
      </c>
      <c r="AG21">
        <f>SUMIFS('Tenant Data'!$F$2:$F$4674,'Tenant Data'!$A$2:$A$4674,"Hanes Mall",'Tenant Data'!$D$2:$D$4674,"Service",'Tenant Data'!$E$2:$E$4674,"&lt;10000")</f>
        <v>7792602.3599999994</v>
      </c>
      <c r="AH21">
        <f>SUMIFS('Tenant Data'!$F$2:$F$4674,'Tenant Data'!$A$2:$A$4674,"Hanes Mall",'Tenant Data'!$D$2:$D$4674,"Tech",'Tenant Data'!$E$2:$E$4674,"&lt;10000")</f>
        <v>0</v>
      </c>
      <c r="AI21">
        <f>SUMIFS('Tenant Data'!$F$2:$F$4674,'Tenant Data'!$A$2:$A$4674,"Hanes Mall",'Tenant Data'!$D$2:$D$4674,"Major",'Tenant Data'!$E$2:$E$4674,"&lt;10000")</f>
        <v>0</v>
      </c>
      <c r="AJ21">
        <f>SUMIFS('Tenant Data'!$F$2:$F$4674,'Tenant Data'!$A$2:$A$4674,"Hanes Mall",'Tenant Data'!$D$2:$D$4674,"Anchor",'Tenant Data'!$E$2:$E$4674,"&lt;10000")</f>
        <v>0</v>
      </c>
      <c r="AK21">
        <f>SUMIFS('Tenant Data'!$F$2:$F$4674,'Tenant Data'!$A$2:$A$4674,"Hanes Mall",'Tenant Data'!$D$2:$D$4674,"Apple",'Tenant Data'!$E$2:$E$4674,"&lt;10000")</f>
        <v>0</v>
      </c>
      <c r="AL21">
        <f>SUMIFS('Tenant Data'!$E$2:$E$4674,'Tenant Data'!$A$2:$A$4674,"Hanes Mall",'Tenant Data'!$D$2:$D$4674,"Apparel",'Tenant Data'!$F$2:$F$4674,"&gt;0",'Tenant Data'!$E$2:$E$4674,"&lt;10000")</f>
        <v>114377</v>
      </c>
      <c r="AM21">
        <f>SUMIFS('Tenant Data'!$E$2:$E$4674,'Tenant Data'!$A$2:$A$4674,"Hanes Mall",'Tenant Data'!$D$2:$D$4674,"Shoes",'Tenant Data'!$F$2:$F$4674,"&gt;0",'Tenant Data'!$E$2:$E$4674,"&lt;10000")</f>
        <v>52538</v>
      </c>
      <c r="AN21">
        <f>SUMIFS('Tenant Data'!$E$2:$E$4674,'Tenant Data'!$A$2:$A$4674,"Hanes Mall",'Tenant Data'!$D$2:$D$4674,"Jewelry",'Tenant Data'!$F$2:$F$4674,"&gt;0",'Tenant Data'!$E$2:$E$4674,"&lt;10000")</f>
        <v>12417</v>
      </c>
      <c r="AO21">
        <f>SUMIFS('Tenant Data'!$E$2:$E$4674,'Tenant Data'!$A$2:$A$4674,"Hanes Mall",'Tenant Data'!$D$2:$D$4674,"Health &amp; Beauty",'Tenant Data'!$F$2:$F$4674,"&gt;0",'Tenant Data'!$E$2:$E$4674,"&lt;10000")</f>
        <v>21263</v>
      </c>
      <c r="AP21">
        <f>SUMIFS('Tenant Data'!$E$2:$E$4674,'Tenant Data'!$A$2:$A$4674,"Hanes Mall",'Tenant Data'!$D$2:$D$4674,"Food &amp; Beverage",'Tenant Data'!$F$2:$F$4674,"&gt;0",'Tenant Data'!$E$2:$E$4674,"&lt;10000")</f>
        <v>6709</v>
      </c>
      <c r="AQ21">
        <f>SUMIFS('Tenant Data'!$E$2:$E$4674,'Tenant Data'!$A$2:$A$4674,"Hanes Mall",'Tenant Data'!$D$2:$D$4674,"Restaurant",'Tenant Data'!$F$2:$F$4674,"&gt;0",'Tenant Data'!$E$2:$E$4674,"&lt;10000")</f>
        <v>23360</v>
      </c>
      <c r="AR21">
        <f>SUMIFS('Tenant Data'!$E$2:$E$4674,'Tenant Data'!$A$2:$A$4674,"Hanes Mall",'Tenant Data'!$D$2:$D$4674,"Hobby &amp; Novelty",'Tenant Data'!$F$2:$F$4674,"&gt;0",'Tenant Data'!$E$2:$E$4674,"&lt;10000")</f>
        <v>30666</v>
      </c>
      <c r="AS21">
        <f>SUMIFS('Tenant Data'!$E$2:$E$4674,'Tenant Data'!$A$2:$A$4674,"Hanes Mall",'Tenant Data'!$D$2:$D$4674,"Service",'Tenant Data'!$F$2:$F$4674,"&gt;0",'Tenant Data'!$E$2:$E$4674,"&lt;10000")</f>
        <v>9958.6</v>
      </c>
      <c r="AT21">
        <f>SUMIFS('Tenant Data'!$E$2:$E$4674,'Tenant Data'!$A$2:$A$4674,"Hanes Mall",'Tenant Data'!$D$2:$D$4674,"Tech",'Tenant Data'!$F$2:$F$4674,"&gt;0",'Tenant Data'!$E$2:$E$4674,"&lt;10000")</f>
        <v>0</v>
      </c>
      <c r="AU21">
        <f>SUMIFS('Tenant Data'!$E$2:$E$4674,'Tenant Data'!$A$2:$A$4674,"Hanes Mall",'Tenant Data'!$D$2:$D$4674,"Major",'Tenant Data'!$F$2:$F$4674,"&gt;0",'Tenant Data'!$E$2:$E$4674,"&lt;10000")</f>
        <v>0</v>
      </c>
      <c r="AV21">
        <f>SUMIFS('Tenant Data'!$E$2:$E$4674,'Tenant Data'!$A$2:$A$4674,"Hanes Mall",'Tenant Data'!$D$2:$D$4674,"Anchor",'Tenant Data'!$F$2:$F$4674,"&gt;0",'Tenant Data'!$E$2:$E$4674,"&lt;10000")</f>
        <v>0</v>
      </c>
      <c r="AW21">
        <f>SUMIFS('Tenant Data'!$E$2:$E$4674,'Tenant Data'!$A$2:$A$4674,"Hanes Mall",'Tenant Data'!$D$2:$D$4674,"Apple",'Tenant Data'!$F$2:$F$4674,"&gt;0",'Tenant Data'!$E$2:$E$4674,"&lt;10000")</f>
        <v>0</v>
      </c>
      <c r="AX21">
        <v>1</v>
      </c>
      <c r="AY21" t="str">
        <f>'Property Summary'!B21</f>
        <v>Y</v>
      </c>
      <c r="AZ21">
        <f t="shared" si="12"/>
        <v>271288.59999999998</v>
      </c>
    </row>
    <row r="22" spans="1:52" x14ac:dyDescent="0.2">
      <c r="A22" t="s">
        <v>51</v>
      </c>
      <c r="B22">
        <f t="shared" si="0"/>
        <v>513.80396096745301</v>
      </c>
      <c r="C22">
        <f t="shared" si="1"/>
        <v>351.16127563329314</v>
      </c>
      <c r="D22">
        <f t="shared" si="2"/>
        <v>824.17594369134508</v>
      </c>
      <c r="E22">
        <f t="shared" si="3"/>
        <v>1011.3274685887368</v>
      </c>
      <c r="F22">
        <f t="shared" si="4"/>
        <v>543.49380901143252</v>
      </c>
      <c r="G22">
        <f t="shared" si="5"/>
        <v>857.40173279645296</v>
      </c>
      <c r="H22">
        <f t="shared" si="6"/>
        <v>480.29540286831809</v>
      </c>
      <c r="I22">
        <f t="shared" si="7"/>
        <v>401.84298532795236</v>
      </c>
      <c r="J22">
        <f t="shared" si="8"/>
        <v>158.01204292682925</v>
      </c>
      <c r="K22">
        <f t="shared" si="9"/>
        <v>455.5832006970665</v>
      </c>
      <c r="L22" t="str">
        <f t="shared" si="10"/>
        <v/>
      </c>
      <c r="M22">
        <f t="shared" si="11"/>
        <v>6589.9047283930604</v>
      </c>
      <c r="N22">
        <f>IFERROR(SUMPRODUCT(('Tenant Data'!$A$2:$A$4674="Kansas City Collection")*('Tenant Data'!$D$2:$D$4674="Apparel")*('Tenant Data'!$F$2:$F$4674&gt;0)*('Tenant Data'!$E$2:$E$4674&lt;10000)*'Tenant Data'!$J$2:$J$4674*'Tenant Data'!$E$2:$E$4674)/SUMPRODUCT(('Tenant Data'!$A$2:$A$4674="Kansas City Collection")*('Tenant Data'!$D$2:$D$4674="Apparel")*('Tenant Data'!$F$2:$F$4674&gt;0)*('Tenant Data'!$E$2:$E$4674&lt;10000)*'Tenant Data'!$E$2:$E$4674),"")</f>
        <v>0.16521838754960883</v>
      </c>
      <c r="O22">
        <f>IFERROR(SUMPRODUCT(('Tenant Data'!$A$2:$A$4674="Kansas City Collection")*('Tenant Data'!$D$2:$D$4674="Shoes")*('Tenant Data'!$F$2:$F$4674&gt;0)*('Tenant Data'!$E$2:$E$4674&lt;10000)*'Tenant Data'!$J$2:$J$4674*'Tenant Data'!$E$2:$E$4674)/SUMPRODUCT(('Tenant Data'!$A$2:$A$4674="Kansas City Collection")*('Tenant Data'!$D$2:$D$4674="Shoes")*('Tenant Data'!$F$2:$F$4674&gt;0)*('Tenant Data'!$E$2:$E$4674&lt;10000)*'Tenant Data'!$E$2:$E$4674),"")</f>
        <v>0.15927972687664629</v>
      </c>
      <c r="P22">
        <f>IFERROR(SUMPRODUCT(('Tenant Data'!$A$2:$A$4674="Kansas City Collection")*('Tenant Data'!$D$2:$D$4674="Jewelry")*('Tenant Data'!$F$2:$F$4674&gt;0)*('Tenant Data'!$E$2:$E$4674&lt;10000)*'Tenant Data'!$J$2:$J$4674*'Tenant Data'!$E$2:$E$4674)/SUMPRODUCT(('Tenant Data'!$A$2:$A$4674="Kansas City Collection")*('Tenant Data'!$D$2:$D$4674="Jewelry")*('Tenant Data'!$F$2:$F$4674&gt;0)*('Tenant Data'!$E$2:$E$4674&lt;10000)*'Tenant Data'!$E$2:$E$4674),"")</f>
        <v>0.1379794061741311</v>
      </c>
      <c r="Q22">
        <f>IFERROR(SUMPRODUCT(('Tenant Data'!$A$2:$A$4674="Kansas City Collection")*('Tenant Data'!$D$2:$D$4674="Health &amp; Beauty")*('Tenant Data'!$F$2:$F$4674&gt;0)*('Tenant Data'!$E$2:$E$4674&lt;10000)*'Tenant Data'!$J$2:$J$4674*'Tenant Data'!$E$2:$E$4674)/SUMPRODUCT(('Tenant Data'!$A$2:$A$4674="Kansas City Collection")*('Tenant Data'!$D$2:$D$4674="Health &amp; Beauty")*('Tenant Data'!$F$2:$F$4674&gt;0)*('Tenant Data'!$E$2:$E$4674&lt;10000)*'Tenant Data'!$E$2:$E$4674),"")</f>
        <v>9.1770022235960161E-2</v>
      </c>
      <c r="R22">
        <f>IFERROR(SUMPRODUCT(('Tenant Data'!$A$2:$A$4674="Kansas City Collection")*('Tenant Data'!$D$2:$D$4674="Food &amp; Beverage")*('Tenant Data'!$F$2:$F$4674&gt;0)*('Tenant Data'!$E$2:$E$4674&lt;10000)*'Tenant Data'!$J$2:$J$4674*'Tenant Data'!$E$2:$E$4674)/SUMPRODUCT(('Tenant Data'!$A$2:$A$4674="Kansas City Collection")*('Tenant Data'!$D$2:$D$4674="Food &amp; Beverage")*('Tenant Data'!$F$2:$F$4674&gt;0)*('Tenant Data'!$E$2:$E$4674&lt;10000)*'Tenant Data'!$E$2:$E$4674),"")</f>
        <v>0.12685674207534064</v>
      </c>
      <c r="S22">
        <f>IFERROR(SUMPRODUCT(('Tenant Data'!$A$2:$A$4674="Kansas City Collection")*('Tenant Data'!$D$2:$D$4674="Restaurant")*('Tenant Data'!$F$2:$F$4674&gt;0)*('Tenant Data'!$E$2:$E$4674&lt;10000)*'Tenant Data'!$J$2:$J$4674*'Tenant Data'!$E$2:$E$4674)/SUMPRODUCT(('Tenant Data'!$A$2:$A$4674="Kansas City Collection")*('Tenant Data'!$D$2:$D$4674="Restaurant")*('Tenant Data'!$F$2:$F$4674&gt;0)*('Tenant Data'!$E$2:$E$4674&lt;10000)*'Tenant Data'!$E$2:$E$4674),"")</f>
        <v>7.493575087742646E-2</v>
      </c>
      <c r="T22">
        <f>IFERROR(SUMPRODUCT(('Tenant Data'!$A$2:$A$4674="Kansas City Collection")*('Tenant Data'!$D$2:$D$4674="Hobby &amp; Novelty")*('Tenant Data'!$F$2:$F$4674&gt;0)*('Tenant Data'!$E$2:$E$4674&lt;10000)*'Tenant Data'!$J$2:$J$4674*'Tenant Data'!$E$2:$E$4674)/SUMPRODUCT(('Tenant Data'!$A$2:$A$4674="Kansas City Collection")*('Tenant Data'!$D$2:$D$4674="Hobby &amp; Novelty")*('Tenant Data'!$F$2:$F$4674&gt;0)*('Tenant Data'!$E$2:$E$4674&lt;10000)*'Tenant Data'!$E$2:$E$4674),"")</f>
        <v>0.17025624347502702</v>
      </c>
      <c r="U22">
        <f>IFERROR(SUMPRODUCT(('Tenant Data'!$A$2:$A$4674="Kansas City Collection")*('Tenant Data'!$D$2:$D$4674="Service")*('Tenant Data'!$F$2:$F$4674&gt;0)*('Tenant Data'!$E$2:$E$4674&lt;10000)*'Tenant Data'!$J$2:$J$4674*'Tenant Data'!$E$2:$E$4674)/SUMPRODUCT(('Tenant Data'!$A$2:$A$4674="Kansas City Collection")*('Tenant Data'!$D$2:$D$4674="Service")*('Tenant Data'!$F$2:$F$4674&gt;0)*('Tenant Data'!$E$2:$E$4674&lt;10000)*'Tenant Data'!$E$2:$E$4674),"")</f>
        <v>0.15885833271584834</v>
      </c>
      <c r="V22">
        <f>IFERROR(SUMPRODUCT(('Tenant Data'!$A$2:$A$4674="Kansas City Collection")*('Tenant Data'!$D$2:$D$4674="Tech")*('Tenant Data'!$F$2:$F$4674&gt;0)*('Tenant Data'!$E$2:$E$4674&lt;10000)*'Tenant Data'!$J$2:$J$4674*'Tenant Data'!$E$2:$E$4674)/SUMPRODUCT(('Tenant Data'!$A$2:$A$4674="Kansas City Collection")*('Tenant Data'!$D$2:$D$4674="Tech")*('Tenant Data'!$F$2:$F$4674&gt;0)*('Tenant Data'!$E$2:$E$4674&lt;10000)*'Tenant Data'!$E$2:$E$4674),"")</f>
        <v>0.39204768449650612</v>
      </c>
      <c r="W22">
        <f>IFERROR(SUMPRODUCT(('Tenant Data'!$A$2:$A$4674="Kansas City Collection")*('Tenant Data'!$D$2:$D$4674="Major")*('Tenant Data'!$F$2:$F$4674&gt;0)*('Tenant Data'!$E$2:$E$4674&lt;10000)*'Tenant Data'!$J$2:$J$4674*'Tenant Data'!$E$2:$E$4674)/SUMPRODUCT(('Tenant Data'!$A$2:$A$4674="Kansas City Collection")*('Tenant Data'!$D$2:$D$4674="Major")*('Tenant Data'!$F$2:$F$4674&gt;0)*('Tenant Data'!$E$2:$E$4674&lt;10000)*'Tenant Data'!$E$2:$E$4674),"")</f>
        <v>0.16992837740551178</v>
      </c>
      <c r="X22" t="str">
        <f>IFERROR(SUMPRODUCT(('Tenant Data'!$A$2:$A$4674="Kansas City Collection")*('Tenant Data'!$D$2:$D$4674="Anchor")*('Tenant Data'!$F$2:$F$4674&gt;0)*('Tenant Data'!$E$2:$E$4674&lt;10000)*'Tenant Data'!$J$2:$J$4674*'Tenant Data'!$E$2:$E$4674)/SUMPRODUCT(('Tenant Data'!$A$2:$A$4674="Kansas City Collection")*('Tenant Data'!$D$2:$D$4674="Anchor")*('Tenant Data'!$F$2:$F$4674&gt;0)*('Tenant Data'!$E$2:$E$4674&lt;10000)*'Tenant Data'!$E$2:$E$4674),"")</f>
        <v/>
      </c>
      <c r="Y22">
        <f>IFERROR(SUMPRODUCT(('Tenant Data'!$A$2:$A$4674="Kansas City Collection")*('Tenant Data'!$D$2:$D$4674="Apple")*('Tenant Data'!$F$2:$F$4674&gt;0)*('Tenant Data'!$E$2:$E$4674&lt;10000)*'Tenant Data'!$J$2:$J$4674*'Tenant Data'!$E$2:$E$4674)/SUMPRODUCT(('Tenant Data'!$A$2:$A$4674="Kansas City Collection")*('Tenant Data'!$D$2:$D$4674="Apple")*('Tenant Data'!$F$2:$F$4674&gt;0)*('Tenant Data'!$E$2:$E$4674&lt;10000)*'Tenant Data'!$E$2:$E$4674),"")</f>
        <v>9.7968032408478952E-3</v>
      </c>
      <c r="Z22">
        <f>SUMIFS('Tenant Data'!$F$2:$F$4674,'Tenant Data'!$A$2:$A$4674,"Kansas City Collection",'Tenant Data'!$D$2:$D$4674,"Apparel",'Tenant Data'!$E$2:$E$4674,"&lt;10000")</f>
        <v>51789897.853636362</v>
      </c>
      <c r="AA22">
        <f>SUMIFS('Tenant Data'!$F$2:$F$4674,'Tenant Data'!$A$2:$A$4674,"Kansas City Collection",'Tenant Data'!$D$2:$D$4674,"Shoes",'Tenant Data'!$E$2:$E$4674,"&lt;10000")</f>
        <v>2328901.58</v>
      </c>
      <c r="AB22">
        <f>SUMIFS('Tenant Data'!$F$2:$F$4674,'Tenant Data'!$A$2:$A$4674,"Kansas City Collection",'Tenant Data'!$D$2:$D$4674,"Jewelry",'Tenant Data'!$E$2:$E$4674,"&lt;10000")</f>
        <v>3951923.65</v>
      </c>
      <c r="AC22">
        <f>SUMIFS('Tenant Data'!$F$2:$F$4674,'Tenant Data'!$A$2:$A$4674,"Kansas City Collection",'Tenant Data'!$D$2:$D$4674,"Health &amp; Beauty",'Tenant Data'!$E$2:$E$4674,"&lt;10000")</f>
        <v>18029946.109999999</v>
      </c>
      <c r="AD22">
        <f>SUMIFS('Tenant Data'!$F$2:$F$4674,'Tenant Data'!$A$2:$A$4674,"Kansas City Collection",'Tenant Data'!$D$2:$D$4674,"Food &amp; Beverage",'Tenant Data'!$E$2:$E$4674,"&lt;10000")</f>
        <v>4040876.4700000007</v>
      </c>
      <c r="AE22">
        <f>SUMIFS('Tenant Data'!$F$2:$F$4674,'Tenant Data'!$A$2:$A$4674,"Kansas City Collection",'Tenant Data'!$D$2:$D$4674,"Restaurant",'Tenant Data'!$E$2:$E$4674,"&lt;10000")</f>
        <v>18951150.5</v>
      </c>
      <c r="AF22">
        <f>SUMIFS('Tenant Data'!$F$2:$F$4674,'Tenant Data'!$A$2:$A$4674,"Kansas City Collection",'Tenant Data'!$D$2:$D$4674,"Hobby &amp; Novelty",'Tenant Data'!$E$2:$E$4674,"&lt;10000")</f>
        <v>11051597.219999999</v>
      </c>
      <c r="AG22">
        <f>SUMIFS('Tenant Data'!$F$2:$F$4674,'Tenant Data'!$A$2:$A$4674,"Kansas City Collection",'Tenant Data'!$D$2:$D$4674,"Service",'Tenant Data'!$E$2:$E$4674,"&lt;10000")</f>
        <v>10654063.07</v>
      </c>
      <c r="AH22">
        <f>SUMIFS('Tenant Data'!$F$2:$F$4674,'Tenant Data'!$A$2:$A$4674,"Kansas City Collection",'Tenant Data'!$D$2:$D$4674,"Tech",'Tenant Data'!$E$2:$E$4674,"&lt;10000")</f>
        <v>809811.72</v>
      </c>
      <c r="AI22">
        <f>SUMIFS('Tenant Data'!$F$2:$F$4674,'Tenant Data'!$A$2:$A$4674,"Kansas City Collection",'Tenant Data'!$D$2:$D$4674,"Major",'Tenant Data'!$E$2:$E$4674,"&lt;10000")</f>
        <v>4705718.88</v>
      </c>
      <c r="AJ22">
        <f>SUMIFS('Tenant Data'!$F$2:$F$4674,'Tenant Data'!$A$2:$A$4674,"Kansas City Collection",'Tenant Data'!$D$2:$D$4674,"Anchor",'Tenant Data'!$E$2:$E$4674,"&lt;10000")</f>
        <v>0</v>
      </c>
      <c r="AK22">
        <f>SUMIFS('Tenant Data'!$F$2:$F$4674,'Tenant Data'!$A$2:$A$4674,"Kansas City Collection",'Tenant Data'!$D$2:$D$4674,"Apple",'Tenant Data'!$E$2:$E$4674,"&lt;10000")</f>
        <v>40639942.460000001</v>
      </c>
      <c r="AL22">
        <f>SUMIFS('Tenant Data'!$E$2:$E$4674,'Tenant Data'!$A$2:$A$4674,"Kansas City Collection",'Tenant Data'!$D$2:$D$4674,"Apparel",'Tenant Data'!$F$2:$F$4674,"&gt;0",'Tenant Data'!$E$2:$E$4674,"&lt;10000")</f>
        <v>100797</v>
      </c>
      <c r="AM22">
        <f>SUMIFS('Tenant Data'!$E$2:$E$4674,'Tenant Data'!$A$2:$A$4674,"Kansas City Collection",'Tenant Data'!$D$2:$D$4674,"Shoes",'Tenant Data'!$F$2:$F$4674,"&gt;0",'Tenant Data'!$E$2:$E$4674,"&lt;10000")</f>
        <v>6632</v>
      </c>
      <c r="AN22">
        <f>SUMIFS('Tenant Data'!$E$2:$E$4674,'Tenant Data'!$A$2:$A$4674,"Kansas City Collection",'Tenant Data'!$D$2:$D$4674,"Jewelry",'Tenant Data'!$F$2:$F$4674,"&gt;0",'Tenant Data'!$E$2:$E$4674,"&lt;10000")</f>
        <v>4795</v>
      </c>
      <c r="AO22">
        <f>SUMIFS('Tenant Data'!$E$2:$E$4674,'Tenant Data'!$A$2:$A$4674,"Kansas City Collection",'Tenant Data'!$D$2:$D$4674,"Health &amp; Beauty",'Tenant Data'!$F$2:$F$4674,"&gt;0",'Tenant Data'!$E$2:$E$4674,"&lt;10000")</f>
        <v>17828</v>
      </c>
      <c r="AP22">
        <f>SUMIFS('Tenant Data'!$E$2:$E$4674,'Tenant Data'!$A$2:$A$4674,"Kansas City Collection",'Tenant Data'!$D$2:$D$4674,"Food &amp; Beverage",'Tenant Data'!$F$2:$F$4674,"&gt;0",'Tenant Data'!$E$2:$E$4674,"&lt;10000")</f>
        <v>7435</v>
      </c>
      <c r="AQ22">
        <f>SUMIFS('Tenant Data'!$E$2:$E$4674,'Tenant Data'!$A$2:$A$4674,"Kansas City Collection",'Tenant Data'!$D$2:$D$4674,"Restaurant",'Tenant Data'!$F$2:$F$4674,"&gt;0",'Tenant Data'!$E$2:$E$4674,"&lt;10000")</f>
        <v>22103</v>
      </c>
      <c r="AR22">
        <f>SUMIFS('Tenant Data'!$E$2:$E$4674,'Tenant Data'!$A$2:$A$4674,"Kansas City Collection",'Tenant Data'!$D$2:$D$4674,"Hobby &amp; Novelty",'Tenant Data'!$F$2:$F$4674,"&gt;0",'Tenant Data'!$E$2:$E$4674,"&lt;10000")</f>
        <v>23010</v>
      </c>
      <c r="AS22">
        <f>SUMIFS('Tenant Data'!$E$2:$E$4674,'Tenant Data'!$A$2:$A$4674,"Kansas City Collection",'Tenant Data'!$D$2:$D$4674,"Service",'Tenant Data'!$F$2:$F$4674,"&gt;0",'Tenant Data'!$E$2:$E$4674,"&lt;10000")</f>
        <v>26513</v>
      </c>
      <c r="AT22">
        <f>SUMIFS('Tenant Data'!$E$2:$E$4674,'Tenant Data'!$A$2:$A$4674,"Kansas City Collection",'Tenant Data'!$D$2:$D$4674,"Tech",'Tenant Data'!$F$2:$F$4674,"&gt;0",'Tenant Data'!$E$2:$E$4674,"&lt;10000")</f>
        <v>5125</v>
      </c>
      <c r="AU22">
        <f>SUMIFS('Tenant Data'!$E$2:$E$4674,'Tenant Data'!$A$2:$A$4674,"Kansas City Collection",'Tenant Data'!$D$2:$D$4674,"Major",'Tenant Data'!$F$2:$F$4674,"&gt;0",'Tenant Data'!$E$2:$E$4674,"&lt;10000")</f>
        <v>10329</v>
      </c>
      <c r="AV22">
        <f>SUMIFS('Tenant Data'!$E$2:$E$4674,'Tenant Data'!$A$2:$A$4674,"Kansas City Collection",'Tenant Data'!$D$2:$D$4674,"Anchor",'Tenant Data'!$F$2:$F$4674,"&gt;0",'Tenant Data'!$E$2:$E$4674,"&lt;10000")</f>
        <v>0</v>
      </c>
      <c r="AW22">
        <f>SUMIFS('Tenant Data'!$E$2:$E$4674,'Tenant Data'!$A$2:$A$4674,"Kansas City Collection",'Tenant Data'!$D$2:$D$4674,"Apple",'Tenant Data'!$F$2:$F$4674,"&gt;0",'Tenant Data'!$E$2:$E$4674,"&lt;10000")</f>
        <v>6167</v>
      </c>
      <c r="AX22">
        <v>0</v>
      </c>
      <c r="AY22" t="str">
        <f>'Property Summary'!B22</f>
        <v>Y</v>
      </c>
      <c r="AZ22">
        <f t="shared" si="12"/>
        <v>230734</v>
      </c>
    </row>
    <row r="23" spans="1:52" x14ac:dyDescent="0.2">
      <c r="A23" t="s">
        <v>22</v>
      </c>
      <c r="B23">
        <f t="shared" si="0"/>
        <v>535.17378820763247</v>
      </c>
      <c r="C23">
        <f t="shared" si="1"/>
        <v>1081.4460606060607</v>
      </c>
      <c r="D23">
        <f t="shared" si="2"/>
        <v>1073.7390406242828</v>
      </c>
      <c r="E23">
        <f t="shared" si="3"/>
        <v>1572.1063679909835</v>
      </c>
      <c r="F23">
        <f t="shared" si="4"/>
        <v>813.2045212451178</v>
      </c>
      <c r="G23">
        <f t="shared" si="5"/>
        <v>763.06909899358834</v>
      </c>
      <c r="H23">
        <f t="shared" si="6"/>
        <v>764.61322360953466</v>
      </c>
      <c r="I23">
        <f t="shared" si="7"/>
        <v>491.15068861269737</v>
      </c>
      <c r="J23" t="str">
        <f t="shared" si="8"/>
        <v/>
      </c>
      <c r="K23">
        <f t="shared" si="9"/>
        <v>930.56045454545449</v>
      </c>
      <c r="L23" t="str">
        <f t="shared" si="10"/>
        <v/>
      </c>
      <c r="M23" t="str">
        <f t="shared" si="11"/>
        <v/>
      </c>
      <c r="N23">
        <f>IFERROR(SUMPRODUCT(('Tenant Data'!$A$2:$A$4674="LaCenterra at Cinco Ranch")*('Tenant Data'!$D$2:$D$4674="Apparel")*('Tenant Data'!$F$2:$F$4674&gt;0)*('Tenant Data'!$E$2:$E$4674&lt;10000)*'Tenant Data'!$J$2:$J$4674*'Tenant Data'!$E$2:$E$4674)/SUMPRODUCT(('Tenant Data'!$A$2:$A$4674="LaCenterra at Cinco Ranch")*('Tenant Data'!$D$2:$D$4674="Apparel")*('Tenant Data'!$F$2:$F$4674&gt;0)*('Tenant Data'!$E$2:$E$4674&lt;10000)*'Tenant Data'!$E$2:$E$4674),"")</f>
        <v>0.11872652367294338</v>
      </c>
      <c r="O23">
        <f>IFERROR(SUMPRODUCT(('Tenant Data'!$A$2:$A$4674="LaCenterra at Cinco Ranch")*('Tenant Data'!$D$2:$D$4674="Shoes")*('Tenant Data'!$F$2:$F$4674&gt;0)*('Tenant Data'!$E$2:$E$4674&lt;10000)*'Tenant Data'!$J$2:$J$4674*'Tenant Data'!$E$2:$E$4674)/SUMPRODUCT(('Tenant Data'!$A$2:$A$4674="LaCenterra at Cinco Ranch")*('Tenant Data'!$D$2:$D$4674="Shoes")*('Tenant Data'!$F$2:$F$4674&gt;0)*('Tenant Data'!$E$2:$E$4674&lt;10000)*'Tenant Data'!$E$2:$E$4674),"")</f>
        <v>5.3077080855823799E-2</v>
      </c>
      <c r="P23">
        <f>IFERROR(SUMPRODUCT(('Tenant Data'!$A$2:$A$4674="LaCenterra at Cinco Ranch")*('Tenant Data'!$D$2:$D$4674="Jewelry")*('Tenant Data'!$F$2:$F$4674&gt;0)*('Tenant Data'!$E$2:$E$4674&lt;10000)*'Tenant Data'!$J$2:$J$4674*'Tenant Data'!$E$2:$E$4674)/SUMPRODUCT(('Tenant Data'!$A$2:$A$4674="LaCenterra at Cinco Ranch")*('Tenant Data'!$D$2:$D$4674="Jewelry")*('Tenant Data'!$F$2:$F$4674&gt;0)*('Tenant Data'!$E$2:$E$4674&lt;10000)*'Tenant Data'!$E$2:$E$4674),"")</f>
        <v>7.9024960770493494E-2</v>
      </c>
      <c r="Q23">
        <f>IFERROR(SUMPRODUCT(('Tenant Data'!$A$2:$A$4674="LaCenterra at Cinco Ranch")*('Tenant Data'!$D$2:$D$4674="Health &amp; Beauty")*('Tenant Data'!$F$2:$F$4674&gt;0)*('Tenant Data'!$E$2:$E$4674&lt;10000)*'Tenant Data'!$J$2:$J$4674*'Tenant Data'!$E$2:$E$4674)/SUMPRODUCT(('Tenant Data'!$A$2:$A$4674="LaCenterra at Cinco Ranch")*('Tenant Data'!$D$2:$D$4674="Health &amp; Beauty")*('Tenant Data'!$F$2:$F$4674&gt;0)*('Tenant Data'!$E$2:$E$4674&lt;10000)*'Tenant Data'!$E$2:$E$4674),"")</f>
        <v>0.10413041711508</v>
      </c>
      <c r="R23">
        <f>IFERROR(SUMPRODUCT(('Tenant Data'!$A$2:$A$4674="LaCenterra at Cinco Ranch")*('Tenant Data'!$D$2:$D$4674="Food &amp; Beverage")*('Tenant Data'!$F$2:$F$4674&gt;0)*('Tenant Data'!$E$2:$E$4674&lt;10000)*'Tenant Data'!$J$2:$J$4674*'Tenant Data'!$E$2:$E$4674)/SUMPRODUCT(('Tenant Data'!$A$2:$A$4674="LaCenterra at Cinco Ranch")*('Tenant Data'!$D$2:$D$4674="Food &amp; Beverage")*('Tenant Data'!$F$2:$F$4674&gt;0)*('Tenant Data'!$E$2:$E$4674&lt;10000)*'Tenant Data'!$E$2:$E$4674),"")</f>
        <v>9.417039111556838E-2</v>
      </c>
      <c r="S23">
        <f>IFERROR(SUMPRODUCT(('Tenant Data'!$A$2:$A$4674="LaCenterra at Cinco Ranch")*('Tenant Data'!$D$2:$D$4674="Restaurant")*('Tenant Data'!$F$2:$F$4674&gt;0)*('Tenant Data'!$E$2:$E$4674&lt;10000)*'Tenant Data'!$J$2:$J$4674*'Tenant Data'!$E$2:$E$4674)/SUMPRODUCT(('Tenant Data'!$A$2:$A$4674="LaCenterra at Cinco Ranch")*('Tenant Data'!$D$2:$D$4674="Restaurant")*('Tenant Data'!$F$2:$F$4674&gt;0)*('Tenant Data'!$E$2:$E$4674&lt;10000)*'Tenant Data'!$E$2:$E$4674),"")</f>
        <v>9.4271955030646198E-2</v>
      </c>
      <c r="T23">
        <f>IFERROR(SUMPRODUCT(('Tenant Data'!$A$2:$A$4674="LaCenterra at Cinco Ranch")*('Tenant Data'!$D$2:$D$4674="Hobby &amp; Novelty")*('Tenant Data'!$F$2:$F$4674&gt;0)*('Tenant Data'!$E$2:$E$4674&lt;10000)*'Tenant Data'!$J$2:$J$4674*'Tenant Data'!$E$2:$E$4674)/SUMPRODUCT(('Tenant Data'!$A$2:$A$4674="LaCenterra at Cinco Ranch")*('Tenant Data'!$D$2:$D$4674="Hobby &amp; Novelty")*('Tenant Data'!$F$2:$F$4674&gt;0)*('Tenant Data'!$E$2:$E$4674&lt;10000)*'Tenant Data'!$E$2:$E$4674),"")</f>
        <v>7.4796330684544887E-2</v>
      </c>
      <c r="U23">
        <f>IFERROR(SUMPRODUCT(('Tenant Data'!$A$2:$A$4674="LaCenterra at Cinco Ranch")*('Tenant Data'!$D$2:$D$4674="Service")*('Tenant Data'!$F$2:$F$4674&gt;0)*('Tenant Data'!$E$2:$E$4674&lt;10000)*'Tenant Data'!$J$2:$J$4674*'Tenant Data'!$E$2:$E$4674)/SUMPRODUCT(('Tenant Data'!$A$2:$A$4674="LaCenterra at Cinco Ranch")*('Tenant Data'!$D$2:$D$4674="Service")*('Tenant Data'!$F$2:$F$4674&gt;0)*('Tenant Data'!$E$2:$E$4674&lt;10000)*'Tenant Data'!$E$2:$E$4674),"")</f>
        <v>0.13546698022237921</v>
      </c>
      <c r="V23" t="str">
        <f>IFERROR(SUMPRODUCT(('Tenant Data'!$A$2:$A$4674="LaCenterra at Cinco Ranch")*('Tenant Data'!$D$2:$D$4674="Tech")*('Tenant Data'!$F$2:$F$4674&gt;0)*('Tenant Data'!$E$2:$E$4674&lt;10000)*'Tenant Data'!$J$2:$J$4674*'Tenant Data'!$E$2:$E$4674)/SUMPRODUCT(('Tenant Data'!$A$2:$A$4674="LaCenterra at Cinco Ranch")*('Tenant Data'!$D$2:$D$4674="Tech")*('Tenant Data'!$F$2:$F$4674&gt;0)*('Tenant Data'!$E$2:$E$4674&lt;10000)*'Tenant Data'!$E$2:$E$4674),"")</f>
        <v/>
      </c>
      <c r="W23">
        <f>IFERROR(SUMPRODUCT(('Tenant Data'!$A$2:$A$4674="LaCenterra at Cinco Ranch")*('Tenant Data'!$D$2:$D$4674="Major")*('Tenant Data'!$F$2:$F$4674&gt;0)*('Tenant Data'!$E$2:$E$4674&lt;10000)*'Tenant Data'!$J$2:$J$4674*'Tenant Data'!$E$2:$E$4674)/SUMPRODUCT(('Tenant Data'!$A$2:$A$4674="LaCenterra at Cinco Ranch")*('Tenant Data'!$D$2:$D$4674="Major")*('Tenant Data'!$F$2:$F$4674&gt;0)*('Tenant Data'!$E$2:$E$4674&lt;10000)*'Tenant Data'!$E$2:$E$4674),"")</f>
        <v>7.2902302766709989E-2</v>
      </c>
      <c r="X23" t="str">
        <f>IFERROR(SUMPRODUCT(('Tenant Data'!$A$2:$A$4674="LaCenterra at Cinco Ranch")*('Tenant Data'!$D$2:$D$4674="Anchor")*('Tenant Data'!$F$2:$F$4674&gt;0)*('Tenant Data'!$E$2:$E$4674&lt;10000)*'Tenant Data'!$J$2:$J$4674*'Tenant Data'!$E$2:$E$4674)/SUMPRODUCT(('Tenant Data'!$A$2:$A$4674="LaCenterra at Cinco Ranch")*('Tenant Data'!$D$2:$D$4674="Anchor")*('Tenant Data'!$F$2:$F$4674&gt;0)*('Tenant Data'!$E$2:$E$4674&lt;10000)*'Tenant Data'!$E$2:$E$4674),"")</f>
        <v/>
      </c>
      <c r="Y23" t="str">
        <f>IFERROR(SUMPRODUCT(('Tenant Data'!$A$2:$A$4674="LaCenterra at Cinco Ranch")*('Tenant Data'!$D$2:$D$4674="Apple")*('Tenant Data'!$F$2:$F$4674&gt;0)*('Tenant Data'!$E$2:$E$4674&lt;10000)*'Tenant Data'!$J$2:$J$4674*'Tenant Data'!$E$2:$E$4674)/SUMPRODUCT(('Tenant Data'!$A$2:$A$4674="LaCenterra at Cinco Ranch")*('Tenant Data'!$D$2:$D$4674="Apple")*('Tenant Data'!$F$2:$F$4674&gt;0)*('Tenant Data'!$E$2:$E$4674&lt;10000)*'Tenant Data'!$E$2:$E$4674),"")</f>
        <v/>
      </c>
      <c r="Z23">
        <f>SUMIFS('Tenant Data'!$F$2:$F$4674,'Tenant Data'!$A$2:$A$4674,"LaCenterra at Cinco Ranch",'Tenant Data'!$D$2:$D$4674,"Apparel",'Tenant Data'!$E$2:$E$4674,"&lt;10000")</f>
        <v>23671807</v>
      </c>
      <c r="AA23">
        <f>SUMIFS('Tenant Data'!$F$2:$F$4674,'Tenant Data'!$A$2:$A$4674,"LaCenterra at Cinco Ranch",'Tenant Data'!$D$2:$D$4674,"Shoes",'Tenant Data'!$E$2:$E$4674,"&lt;10000")</f>
        <v>2676579</v>
      </c>
      <c r="AB23">
        <f>SUMIFS('Tenant Data'!$F$2:$F$4674,'Tenant Data'!$A$2:$A$4674,"LaCenterra at Cinco Ranch",'Tenant Data'!$D$2:$D$4674,"Jewelry",'Tenant Data'!$E$2:$E$4674,"&lt;10000")</f>
        <v>4678281</v>
      </c>
      <c r="AC23">
        <f>SUMIFS('Tenant Data'!$F$2:$F$4674,'Tenant Data'!$A$2:$A$4674,"LaCenterra at Cinco Ranch",'Tenant Data'!$D$2:$D$4674,"Health &amp; Beauty",'Tenant Data'!$E$2:$E$4674,"&lt;10000")</f>
        <v>11158811</v>
      </c>
      <c r="AD23">
        <f>SUMIFS('Tenant Data'!$F$2:$F$4674,'Tenant Data'!$A$2:$A$4674,"LaCenterra at Cinco Ranch",'Tenant Data'!$D$2:$D$4674,"Food &amp; Beverage",'Tenant Data'!$E$2:$E$4674,"&lt;10000")</f>
        <v>13741530</v>
      </c>
      <c r="AE23">
        <f>SUMIFS('Tenant Data'!$F$2:$F$4674,'Tenant Data'!$A$2:$A$4674,"LaCenterra at Cinco Ranch",'Tenant Data'!$D$2:$D$4674,"Restaurant",'Tenant Data'!$E$2:$E$4674,"&lt;10000")</f>
        <v>38441132</v>
      </c>
      <c r="AF23">
        <f>SUMIFS('Tenant Data'!$F$2:$F$4674,'Tenant Data'!$A$2:$A$4674,"LaCenterra at Cinco Ranch",'Tenant Data'!$D$2:$D$4674,"Hobby &amp; Novelty",'Tenant Data'!$E$2:$E$4674,"&lt;10000")</f>
        <v>2694497</v>
      </c>
      <c r="AG23">
        <f>SUMIFS('Tenant Data'!$F$2:$F$4674,'Tenant Data'!$A$2:$A$4674,"LaCenterra at Cinco Ranch",'Tenant Data'!$D$2:$D$4674,"Service",'Tenant Data'!$E$2:$E$4674,"&lt;10000")</f>
        <v>14621556</v>
      </c>
      <c r="AH23">
        <f>SUMIFS('Tenant Data'!$F$2:$F$4674,'Tenant Data'!$A$2:$A$4674,"LaCenterra at Cinco Ranch",'Tenant Data'!$D$2:$D$4674,"Tech",'Tenant Data'!$E$2:$E$4674,"&lt;10000")</f>
        <v>0</v>
      </c>
      <c r="AI23">
        <f>SUMIFS('Tenant Data'!$F$2:$F$4674,'Tenant Data'!$A$2:$A$4674,"LaCenterra at Cinco Ranch",'Tenant Data'!$D$2:$D$4674,"Major",'Tenant Data'!$E$2:$E$4674,"&lt;10000")</f>
        <v>2047233</v>
      </c>
      <c r="AJ23">
        <f>SUMIFS('Tenant Data'!$F$2:$F$4674,'Tenant Data'!$A$2:$A$4674,"LaCenterra at Cinco Ranch",'Tenant Data'!$D$2:$D$4674,"Anchor",'Tenant Data'!$E$2:$E$4674,"&lt;10000")</f>
        <v>0</v>
      </c>
      <c r="AK23">
        <f>SUMIFS('Tenant Data'!$F$2:$F$4674,'Tenant Data'!$A$2:$A$4674,"LaCenterra at Cinco Ranch",'Tenant Data'!$D$2:$D$4674,"Apple",'Tenant Data'!$E$2:$E$4674,"&lt;10000")</f>
        <v>0</v>
      </c>
      <c r="AL23">
        <f>SUMIFS('Tenant Data'!$E$2:$E$4674,'Tenant Data'!$A$2:$A$4674,"LaCenterra at Cinco Ranch",'Tenant Data'!$D$2:$D$4674,"Apparel",'Tenant Data'!$F$2:$F$4674,"&gt;0",'Tenant Data'!$E$2:$E$4674,"&lt;10000")</f>
        <v>44232</v>
      </c>
      <c r="AM23">
        <f>SUMIFS('Tenant Data'!$E$2:$E$4674,'Tenant Data'!$A$2:$A$4674,"LaCenterra at Cinco Ranch",'Tenant Data'!$D$2:$D$4674,"Shoes",'Tenant Data'!$F$2:$F$4674,"&gt;0",'Tenant Data'!$E$2:$E$4674,"&lt;10000")</f>
        <v>2475</v>
      </c>
      <c r="AN23">
        <f>SUMIFS('Tenant Data'!$E$2:$E$4674,'Tenant Data'!$A$2:$A$4674,"LaCenterra at Cinco Ranch",'Tenant Data'!$D$2:$D$4674,"Jewelry",'Tenant Data'!$F$2:$F$4674,"&gt;0",'Tenant Data'!$E$2:$E$4674,"&lt;10000")</f>
        <v>4357</v>
      </c>
      <c r="AO23">
        <f>SUMIFS('Tenant Data'!$E$2:$E$4674,'Tenant Data'!$A$2:$A$4674,"LaCenterra at Cinco Ranch",'Tenant Data'!$D$2:$D$4674,"Health &amp; Beauty",'Tenant Data'!$F$2:$F$4674,"&gt;0",'Tenant Data'!$E$2:$E$4674,"&lt;10000")</f>
        <v>7098</v>
      </c>
      <c r="AP23">
        <f>SUMIFS('Tenant Data'!$E$2:$E$4674,'Tenant Data'!$A$2:$A$4674,"LaCenterra at Cinco Ranch",'Tenant Data'!$D$2:$D$4674,"Food &amp; Beverage",'Tenant Data'!$F$2:$F$4674,"&gt;0",'Tenant Data'!$E$2:$E$4674,"&lt;10000")</f>
        <v>16898</v>
      </c>
      <c r="AQ23">
        <f>SUMIFS('Tenant Data'!$E$2:$E$4674,'Tenant Data'!$A$2:$A$4674,"LaCenterra at Cinco Ranch",'Tenant Data'!$D$2:$D$4674,"Restaurant",'Tenant Data'!$F$2:$F$4674,"&gt;0",'Tenant Data'!$E$2:$E$4674,"&lt;10000")</f>
        <v>50377</v>
      </c>
      <c r="AR23">
        <f>SUMIFS('Tenant Data'!$E$2:$E$4674,'Tenant Data'!$A$2:$A$4674,"LaCenterra at Cinco Ranch",'Tenant Data'!$D$2:$D$4674,"Hobby &amp; Novelty",'Tenant Data'!$F$2:$F$4674,"&gt;0",'Tenant Data'!$E$2:$E$4674,"&lt;10000")</f>
        <v>3524</v>
      </c>
      <c r="AS23">
        <f>SUMIFS('Tenant Data'!$E$2:$E$4674,'Tenant Data'!$A$2:$A$4674,"LaCenterra at Cinco Ranch",'Tenant Data'!$D$2:$D$4674,"Service",'Tenant Data'!$F$2:$F$4674,"&gt;0",'Tenant Data'!$E$2:$E$4674,"&lt;10000")</f>
        <v>29770</v>
      </c>
      <c r="AT23">
        <f>SUMIFS('Tenant Data'!$E$2:$E$4674,'Tenant Data'!$A$2:$A$4674,"LaCenterra at Cinco Ranch",'Tenant Data'!$D$2:$D$4674,"Tech",'Tenant Data'!$F$2:$F$4674,"&gt;0",'Tenant Data'!$E$2:$E$4674,"&lt;10000")</f>
        <v>0</v>
      </c>
      <c r="AU23">
        <f>SUMIFS('Tenant Data'!$E$2:$E$4674,'Tenant Data'!$A$2:$A$4674,"LaCenterra at Cinco Ranch",'Tenant Data'!$D$2:$D$4674,"Major",'Tenant Data'!$F$2:$F$4674,"&gt;0",'Tenant Data'!$E$2:$E$4674,"&lt;10000")</f>
        <v>2200</v>
      </c>
      <c r="AV23">
        <f>SUMIFS('Tenant Data'!$E$2:$E$4674,'Tenant Data'!$A$2:$A$4674,"LaCenterra at Cinco Ranch",'Tenant Data'!$D$2:$D$4674,"Anchor",'Tenant Data'!$F$2:$F$4674,"&gt;0",'Tenant Data'!$E$2:$E$4674,"&lt;10000")</f>
        <v>0</v>
      </c>
      <c r="AW23">
        <f>SUMIFS('Tenant Data'!$E$2:$E$4674,'Tenant Data'!$A$2:$A$4674,"LaCenterra at Cinco Ranch",'Tenant Data'!$D$2:$D$4674,"Apple",'Tenant Data'!$F$2:$F$4674,"&gt;0",'Tenant Data'!$E$2:$E$4674,"&lt;10000")</f>
        <v>0</v>
      </c>
      <c r="AX23">
        <v>0</v>
      </c>
      <c r="AY23" t="str">
        <f>'Property Summary'!B23</f>
        <v>Y</v>
      </c>
      <c r="AZ23">
        <f t="shared" si="12"/>
        <v>160931</v>
      </c>
    </row>
    <row r="24" spans="1:52" x14ac:dyDescent="0.2">
      <c r="A24" t="s">
        <v>37</v>
      </c>
      <c r="B24">
        <f t="shared" si="0"/>
        <v>235.43554344758189</v>
      </c>
      <c r="C24">
        <f t="shared" si="1"/>
        <v>364.05134269148613</v>
      </c>
      <c r="D24">
        <f t="shared" si="2"/>
        <v>694.9915273384546</v>
      </c>
      <c r="E24">
        <f t="shared" si="3"/>
        <v>600.08305084745757</v>
      </c>
      <c r="F24">
        <f t="shared" si="4"/>
        <v>489.27760679551892</v>
      </c>
      <c r="G24">
        <f t="shared" si="5"/>
        <v>667.72367169452366</v>
      </c>
      <c r="H24">
        <f t="shared" si="6"/>
        <v>272.32872364543186</v>
      </c>
      <c r="I24">
        <f t="shared" si="7"/>
        <v>460.81776556776555</v>
      </c>
      <c r="J24">
        <f t="shared" si="8"/>
        <v>225.58183091195519</v>
      </c>
      <c r="K24" t="str">
        <f t="shared" si="9"/>
        <v/>
      </c>
      <c r="L24" t="str">
        <f t="shared" si="10"/>
        <v/>
      </c>
      <c r="M24" t="str">
        <f t="shared" si="11"/>
        <v/>
      </c>
      <c r="N24">
        <f>IFERROR(SUMPRODUCT(('Tenant Data'!$A$2:$A$4674="Liberty Center")*('Tenant Data'!$D$2:$D$4674="Apparel")*('Tenant Data'!$F$2:$F$4674&gt;0)*('Tenant Data'!$E$2:$E$4674&lt;10000)*'Tenant Data'!$J$2:$J$4674*'Tenant Data'!$E$2:$E$4674)/SUMPRODUCT(('Tenant Data'!$A$2:$A$4674="Liberty Center")*('Tenant Data'!$D$2:$D$4674="Apparel")*('Tenant Data'!$F$2:$F$4674&gt;0)*('Tenant Data'!$E$2:$E$4674&lt;10000)*'Tenant Data'!$E$2:$E$4674),"")</f>
        <v>0.12839600128408982</v>
      </c>
      <c r="O24">
        <f>IFERROR(SUMPRODUCT(('Tenant Data'!$A$2:$A$4674="Liberty Center")*('Tenant Data'!$D$2:$D$4674="Shoes")*('Tenant Data'!$F$2:$F$4674&gt;0)*('Tenant Data'!$E$2:$E$4674&lt;10000)*'Tenant Data'!$J$2:$J$4674*'Tenant Data'!$E$2:$E$4674)/SUMPRODUCT(('Tenant Data'!$A$2:$A$4674="Liberty Center")*('Tenant Data'!$D$2:$D$4674="Shoes")*('Tenant Data'!$F$2:$F$4674&gt;0)*('Tenant Data'!$E$2:$E$4674&lt;10000)*'Tenant Data'!$E$2:$E$4674),"")</f>
        <v>0.24073858115529723</v>
      </c>
      <c r="P24">
        <f>IFERROR(SUMPRODUCT(('Tenant Data'!$A$2:$A$4674="Liberty Center")*('Tenant Data'!$D$2:$D$4674="Jewelry")*('Tenant Data'!$F$2:$F$4674&gt;0)*('Tenant Data'!$E$2:$E$4674&lt;10000)*'Tenant Data'!$J$2:$J$4674*'Tenant Data'!$E$2:$E$4674)/SUMPRODUCT(('Tenant Data'!$A$2:$A$4674="Liberty Center")*('Tenant Data'!$D$2:$D$4674="Jewelry")*('Tenant Data'!$F$2:$F$4674&gt;0)*('Tenant Data'!$E$2:$E$4674&lt;10000)*'Tenant Data'!$E$2:$E$4674),"")</f>
        <v>0.10456950854789503</v>
      </c>
      <c r="Q24">
        <f>IFERROR(SUMPRODUCT(('Tenant Data'!$A$2:$A$4674="Liberty Center")*('Tenant Data'!$D$2:$D$4674="Health &amp; Beauty")*('Tenant Data'!$F$2:$F$4674&gt;0)*('Tenant Data'!$E$2:$E$4674&lt;10000)*'Tenant Data'!$J$2:$J$4674*'Tenant Data'!$E$2:$E$4674)/SUMPRODUCT(('Tenant Data'!$A$2:$A$4674="Liberty Center")*('Tenant Data'!$D$2:$D$4674="Health &amp; Beauty")*('Tenant Data'!$F$2:$F$4674&gt;0)*('Tenant Data'!$E$2:$E$4674&lt;10000)*'Tenant Data'!$E$2:$E$4674),"")</f>
        <v>0.10233529844644934</v>
      </c>
      <c r="R24">
        <f>IFERROR(SUMPRODUCT(('Tenant Data'!$A$2:$A$4674="Liberty Center")*('Tenant Data'!$D$2:$D$4674="Food &amp; Beverage")*('Tenant Data'!$F$2:$F$4674&gt;0)*('Tenant Data'!$E$2:$E$4674&lt;10000)*'Tenant Data'!$J$2:$J$4674*'Tenant Data'!$E$2:$E$4674)/SUMPRODUCT(('Tenant Data'!$A$2:$A$4674="Liberty Center")*('Tenant Data'!$D$2:$D$4674="Food &amp; Beverage")*('Tenant Data'!$F$2:$F$4674&gt;0)*('Tenant Data'!$E$2:$E$4674&lt;10000)*'Tenant Data'!$E$2:$E$4674),"")</f>
        <v>0.12885014071927303</v>
      </c>
      <c r="S24">
        <f>IFERROR(SUMPRODUCT(('Tenant Data'!$A$2:$A$4674="Liberty Center")*('Tenant Data'!$D$2:$D$4674="Restaurant")*('Tenant Data'!$F$2:$F$4674&gt;0)*('Tenant Data'!$E$2:$E$4674&lt;10000)*'Tenant Data'!$J$2:$J$4674*'Tenant Data'!$E$2:$E$4674)/SUMPRODUCT(('Tenant Data'!$A$2:$A$4674="Liberty Center")*('Tenant Data'!$D$2:$D$4674="Restaurant")*('Tenant Data'!$F$2:$F$4674&gt;0)*('Tenant Data'!$E$2:$E$4674&lt;10000)*'Tenant Data'!$E$2:$E$4674),"")</f>
        <v>8.0817152579360216E-2</v>
      </c>
      <c r="T24">
        <f>IFERROR(SUMPRODUCT(('Tenant Data'!$A$2:$A$4674="Liberty Center")*('Tenant Data'!$D$2:$D$4674="Hobby &amp; Novelty")*('Tenant Data'!$F$2:$F$4674&gt;0)*('Tenant Data'!$E$2:$E$4674&lt;10000)*'Tenant Data'!$J$2:$J$4674*'Tenant Data'!$E$2:$E$4674)/SUMPRODUCT(('Tenant Data'!$A$2:$A$4674="Liberty Center")*('Tenant Data'!$D$2:$D$4674="Hobby &amp; Novelty")*('Tenant Data'!$F$2:$F$4674&gt;0)*('Tenant Data'!$E$2:$E$4674&lt;10000)*'Tenant Data'!$E$2:$E$4674),"")</f>
        <v>0.10357830985532507</v>
      </c>
      <c r="U24">
        <f>IFERROR(SUMPRODUCT(('Tenant Data'!$A$2:$A$4674="Liberty Center")*('Tenant Data'!$D$2:$D$4674="Service")*('Tenant Data'!$F$2:$F$4674&gt;0)*('Tenant Data'!$E$2:$E$4674&lt;10000)*'Tenant Data'!$J$2:$J$4674*'Tenant Data'!$E$2:$E$4674)/SUMPRODUCT(('Tenant Data'!$A$2:$A$4674="Liberty Center")*('Tenant Data'!$D$2:$D$4674="Service")*('Tenant Data'!$F$2:$F$4674&gt;0)*('Tenant Data'!$E$2:$E$4674&lt;10000)*'Tenant Data'!$E$2:$E$4674),"")</f>
        <v>0.15363547935268804</v>
      </c>
      <c r="V24">
        <f>IFERROR(SUMPRODUCT(('Tenant Data'!$A$2:$A$4674="Liberty Center")*('Tenant Data'!$D$2:$D$4674="Tech")*('Tenant Data'!$F$2:$F$4674&gt;0)*('Tenant Data'!$E$2:$E$4674&lt;10000)*'Tenant Data'!$J$2:$J$4674*'Tenant Data'!$E$2:$E$4674)/SUMPRODUCT(('Tenant Data'!$A$2:$A$4674="Liberty Center")*('Tenant Data'!$D$2:$D$4674="Tech")*('Tenant Data'!$F$2:$F$4674&gt;0)*('Tenant Data'!$E$2:$E$4674&lt;10000)*'Tenant Data'!$E$2:$E$4674),"")</f>
        <v>0.40638037352502321</v>
      </c>
      <c r="W24" t="str">
        <f>IFERROR(SUMPRODUCT(('Tenant Data'!$A$2:$A$4674="Liberty Center")*('Tenant Data'!$D$2:$D$4674="Major")*('Tenant Data'!$F$2:$F$4674&gt;0)*('Tenant Data'!$E$2:$E$4674&lt;10000)*'Tenant Data'!$J$2:$J$4674*'Tenant Data'!$E$2:$E$4674)/SUMPRODUCT(('Tenant Data'!$A$2:$A$4674="Liberty Center")*('Tenant Data'!$D$2:$D$4674="Major")*('Tenant Data'!$F$2:$F$4674&gt;0)*('Tenant Data'!$E$2:$E$4674&lt;10000)*'Tenant Data'!$E$2:$E$4674),"")</f>
        <v/>
      </c>
      <c r="X24" t="str">
        <f>IFERROR(SUMPRODUCT(('Tenant Data'!$A$2:$A$4674="Liberty Center")*('Tenant Data'!$D$2:$D$4674="Anchor")*('Tenant Data'!$F$2:$F$4674&gt;0)*('Tenant Data'!$E$2:$E$4674&lt;10000)*'Tenant Data'!$J$2:$J$4674*'Tenant Data'!$E$2:$E$4674)/SUMPRODUCT(('Tenant Data'!$A$2:$A$4674="Liberty Center")*('Tenant Data'!$D$2:$D$4674="Anchor")*('Tenant Data'!$F$2:$F$4674&gt;0)*('Tenant Data'!$E$2:$E$4674&lt;10000)*'Tenant Data'!$E$2:$E$4674),"")</f>
        <v/>
      </c>
      <c r="Y24" t="str">
        <f>IFERROR(SUMPRODUCT(('Tenant Data'!$A$2:$A$4674="Liberty Center")*('Tenant Data'!$D$2:$D$4674="Apple")*('Tenant Data'!$F$2:$F$4674&gt;0)*('Tenant Data'!$E$2:$E$4674&lt;10000)*'Tenant Data'!$J$2:$J$4674*'Tenant Data'!$E$2:$E$4674)/SUMPRODUCT(('Tenant Data'!$A$2:$A$4674="Liberty Center")*('Tenant Data'!$D$2:$D$4674="Apple")*('Tenant Data'!$F$2:$F$4674&gt;0)*('Tenant Data'!$E$2:$E$4674&lt;10000)*'Tenant Data'!$E$2:$E$4674),"")</f>
        <v/>
      </c>
      <c r="Z24">
        <f>SUMIFS('Tenant Data'!$F$2:$F$4674,'Tenant Data'!$A$2:$A$4674,"Liberty Center",'Tenant Data'!$D$2:$D$4674,"Apparel",'Tenant Data'!$E$2:$E$4674,"&lt;10000")</f>
        <v>19185407</v>
      </c>
      <c r="AA24">
        <f>SUMIFS('Tenant Data'!$F$2:$F$4674,'Tenant Data'!$A$2:$A$4674,"Liberty Center",'Tenant Data'!$D$2:$D$4674,"Shoes",'Tenant Data'!$E$2:$E$4674,"&lt;10000")</f>
        <v>4771985</v>
      </c>
      <c r="AB24">
        <f>SUMIFS('Tenant Data'!$F$2:$F$4674,'Tenant Data'!$A$2:$A$4674,"Liberty Center",'Tenant Data'!$D$2:$D$4674,"Jewelry",'Tenant Data'!$E$2:$E$4674,"&lt;10000")</f>
        <v>6152065</v>
      </c>
      <c r="AC24">
        <f>SUMIFS('Tenant Data'!$F$2:$F$4674,'Tenant Data'!$A$2:$A$4674,"Liberty Center",'Tenant Data'!$D$2:$D$4674,"Health &amp; Beauty",'Tenant Data'!$E$2:$E$4674,"&lt;10000")</f>
        <v>3186441</v>
      </c>
      <c r="AD24">
        <f>SUMIFS('Tenant Data'!$F$2:$F$4674,'Tenant Data'!$A$2:$A$4674,"Liberty Center",'Tenant Data'!$D$2:$D$4674,"Food &amp; Beverage",'Tenant Data'!$E$2:$E$4674,"&lt;10000")</f>
        <v>7948804</v>
      </c>
      <c r="AE24">
        <f>SUMIFS('Tenant Data'!$F$2:$F$4674,'Tenant Data'!$A$2:$A$4674,"Liberty Center",'Tenant Data'!$D$2:$D$4674,"Restaurant",'Tenant Data'!$E$2:$E$4674,"&lt;10000")</f>
        <v>39310228</v>
      </c>
      <c r="AF24">
        <f>SUMIFS('Tenant Data'!$F$2:$F$4674,'Tenant Data'!$A$2:$A$4674,"Liberty Center",'Tenant Data'!$D$2:$D$4674,"Hobby &amp; Novelty",'Tenant Data'!$E$2:$E$4674,"&lt;10000")</f>
        <v>1201242</v>
      </c>
      <c r="AG24">
        <f>SUMIFS('Tenant Data'!$F$2:$F$4674,'Tenant Data'!$A$2:$A$4674,"Liberty Center",'Tenant Data'!$D$2:$D$4674,"Service",'Tenant Data'!$E$2:$E$4674,"&lt;10000")</f>
        <v>6541769</v>
      </c>
      <c r="AH24">
        <f>SUMIFS('Tenant Data'!$F$2:$F$4674,'Tenant Data'!$A$2:$A$4674,"Liberty Center",'Tenant Data'!$D$2:$D$4674,"Tech",'Tenant Data'!$E$2:$E$4674,"&lt;10000")</f>
        <v>1288749</v>
      </c>
      <c r="AI24">
        <f>SUMIFS('Tenant Data'!$F$2:$F$4674,'Tenant Data'!$A$2:$A$4674,"Liberty Center",'Tenant Data'!$D$2:$D$4674,"Major",'Tenant Data'!$E$2:$E$4674,"&lt;10000")</f>
        <v>0</v>
      </c>
      <c r="AJ24">
        <f>SUMIFS('Tenant Data'!$F$2:$F$4674,'Tenant Data'!$A$2:$A$4674,"Liberty Center",'Tenant Data'!$D$2:$D$4674,"Anchor",'Tenant Data'!$E$2:$E$4674,"&lt;10000")</f>
        <v>0</v>
      </c>
      <c r="AK24">
        <f>SUMIFS('Tenant Data'!$F$2:$F$4674,'Tenant Data'!$A$2:$A$4674,"Liberty Center",'Tenant Data'!$D$2:$D$4674,"Apple",'Tenant Data'!$E$2:$E$4674,"&lt;10000")</f>
        <v>0</v>
      </c>
      <c r="AL24">
        <f>SUMIFS('Tenant Data'!$E$2:$E$4674,'Tenant Data'!$A$2:$A$4674,"Liberty Center",'Tenant Data'!$D$2:$D$4674,"Apparel",'Tenant Data'!$F$2:$F$4674,"&gt;0",'Tenant Data'!$E$2:$E$4674,"&lt;10000")</f>
        <v>81489</v>
      </c>
      <c r="AM24">
        <f>SUMIFS('Tenant Data'!$E$2:$E$4674,'Tenant Data'!$A$2:$A$4674,"Liberty Center",'Tenant Data'!$D$2:$D$4674,"Shoes",'Tenant Data'!$F$2:$F$4674,"&gt;0",'Tenant Data'!$E$2:$E$4674,"&lt;10000")</f>
        <v>13108</v>
      </c>
      <c r="AN24">
        <f>SUMIFS('Tenant Data'!$E$2:$E$4674,'Tenant Data'!$A$2:$A$4674,"Liberty Center",'Tenant Data'!$D$2:$D$4674,"Jewelry",'Tenant Data'!$F$2:$F$4674,"&gt;0",'Tenant Data'!$E$2:$E$4674,"&lt;10000")</f>
        <v>8852</v>
      </c>
      <c r="AO24">
        <f>SUMIFS('Tenant Data'!$E$2:$E$4674,'Tenant Data'!$A$2:$A$4674,"Liberty Center",'Tenant Data'!$D$2:$D$4674,"Health &amp; Beauty",'Tenant Data'!$F$2:$F$4674,"&gt;0",'Tenant Data'!$E$2:$E$4674,"&lt;10000")</f>
        <v>5310</v>
      </c>
      <c r="AP24">
        <f>SUMIFS('Tenant Data'!$E$2:$E$4674,'Tenant Data'!$A$2:$A$4674,"Liberty Center",'Tenant Data'!$D$2:$D$4674,"Food &amp; Beverage",'Tenant Data'!$F$2:$F$4674,"&gt;0",'Tenant Data'!$E$2:$E$4674,"&lt;10000")</f>
        <v>16246</v>
      </c>
      <c r="AQ24">
        <f>SUMIFS('Tenant Data'!$E$2:$E$4674,'Tenant Data'!$A$2:$A$4674,"Liberty Center",'Tenant Data'!$D$2:$D$4674,"Restaurant",'Tenant Data'!$F$2:$F$4674,"&gt;0",'Tenant Data'!$E$2:$E$4674,"&lt;10000")</f>
        <v>58872</v>
      </c>
      <c r="AR24">
        <f>SUMIFS('Tenant Data'!$E$2:$E$4674,'Tenant Data'!$A$2:$A$4674,"Liberty Center",'Tenant Data'!$D$2:$D$4674,"Hobby &amp; Novelty",'Tenant Data'!$F$2:$F$4674,"&gt;0",'Tenant Data'!$E$2:$E$4674,"&lt;10000")</f>
        <v>4411</v>
      </c>
      <c r="AS24">
        <f>SUMIFS('Tenant Data'!$E$2:$E$4674,'Tenant Data'!$A$2:$A$4674,"Liberty Center",'Tenant Data'!$D$2:$D$4674,"Service",'Tenant Data'!$F$2:$F$4674,"&gt;0",'Tenant Data'!$E$2:$E$4674,"&lt;10000")</f>
        <v>14196</v>
      </c>
      <c r="AT24">
        <f>SUMIFS('Tenant Data'!$E$2:$E$4674,'Tenant Data'!$A$2:$A$4674,"Liberty Center",'Tenant Data'!$D$2:$D$4674,"Tech",'Tenant Data'!$F$2:$F$4674,"&gt;0",'Tenant Data'!$E$2:$E$4674,"&lt;10000")</f>
        <v>5713</v>
      </c>
      <c r="AU24">
        <f>SUMIFS('Tenant Data'!$E$2:$E$4674,'Tenant Data'!$A$2:$A$4674,"Liberty Center",'Tenant Data'!$D$2:$D$4674,"Major",'Tenant Data'!$F$2:$F$4674,"&gt;0",'Tenant Data'!$E$2:$E$4674,"&lt;10000")</f>
        <v>0</v>
      </c>
      <c r="AV24">
        <f>SUMIFS('Tenant Data'!$E$2:$E$4674,'Tenant Data'!$A$2:$A$4674,"Liberty Center",'Tenant Data'!$D$2:$D$4674,"Anchor",'Tenant Data'!$F$2:$F$4674,"&gt;0",'Tenant Data'!$E$2:$E$4674,"&lt;10000")</f>
        <v>0</v>
      </c>
      <c r="AW24">
        <f>SUMIFS('Tenant Data'!$E$2:$E$4674,'Tenant Data'!$A$2:$A$4674,"Liberty Center",'Tenant Data'!$D$2:$D$4674,"Apple",'Tenant Data'!$F$2:$F$4674,"&gt;0",'Tenant Data'!$E$2:$E$4674,"&lt;10000")</f>
        <v>0</v>
      </c>
      <c r="AX24">
        <v>0</v>
      </c>
      <c r="AY24" t="str">
        <f>'Property Summary'!B24</f>
        <v>Y</v>
      </c>
      <c r="AZ24">
        <f t="shared" si="12"/>
        <v>208197</v>
      </c>
    </row>
    <row r="25" spans="1:52" x14ac:dyDescent="0.2">
      <c r="A25" t="s">
        <v>26</v>
      </c>
      <c r="B25">
        <f t="shared" si="0"/>
        <v>277.1082655183219</v>
      </c>
      <c r="C25">
        <f t="shared" si="1"/>
        <v>400.07242074074071</v>
      </c>
      <c r="D25">
        <f t="shared" si="2"/>
        <v>812.50482220835943</v>
      </c>
      <c r="E25">
        <f t="shared" si="3"/>
        <v>817.82933256899503</v>
      </c>
      <c r="F25">
        <f t="shared" si="4"/>
        <v>573.43421035169217</v>
      </c>
      <c r="G25">
        <f t="shared" si="5"/>
        <v>430.59089799111501</v>
      </c>
      <c r="H25">
        <f t="shared" si="6"/>
        <v>249.8054625</v>
      </c>
      <c r="I25">
        <f t="shared" si="7"/>
        <v>450.19516309412859</v>
      </c>
      <c r="J25">
        <f t="shared" si="8"/>
        <v>65.084306095979244</v>
      </c>
      <c r="K25">
        <f t="shared" si="9"/>
        <v>864.34225714285708</v>
      </c>
      <c r="L25" t="str">
        <f t="shared" si="10"/>
        <v/>
      </c>
      <c r="M25" t="str">
        <f t="shared" si="11"/>
        <v/>
      </c>
      <c r="N25">
        <f>IFERROR(SUMPRODUCT(('Tenant Data'!$A$2:$A$4674="Mall at Partridge Creek")*('Tenant Data'!$D$2:$D$4674="Apparel")*('Tenant Data'!$F$2:$F$4674&gt;0)*('Tenant Data'!$E$2:$E$4674&lt;10000)*'Tenant Data'!$J$2:$J$4674*'Tenant Data'!$E$2:$E$4674)/SUMPRODUCT(('Tenant Data'!$A$2:$A$4674="Mall at Partridge Creek")*('Tenant Data'!$D$2:$D$4674="Apparel")*('Tenant Data'!$F$2:$F$4674&gt;0)*('Tenant Data'!$E$2:$E$4674&lt;10000)*'Tenant Data'!$E$2:$E$4674),"")</f>
        <v>0.11909441773813313</v>
      </c>
      <c r="O25">
        <f>IFERROR(SUMPRODUCT(('Tenant Data'!$A$2:$A$4674="Mall at Partridge Creek")*('Tenant Data'!$D$2:$D$4674="Shoes")*('Tenant Data'!$F$2:$F$4674&gt;0)*('Tenant Data'!$E$2:$E$4674&lt;10000)*'Tenant Data'!$J$2:$J$4674*'Tenant Data'!$E$2:$E$4674)/SUMPRODUCT(('Tenant Data'!$A$2:$A$4674="Mall at Partridge Creek")*('Tenant Data'!$D$2:$D$4674="Shoes")*('Tenant Data'!$F$2:$F$4674&gt;0)*('Tenant Data'!$E$2:$E$4674&lt;10000)*'Tenant Data'!$E$2:$E$4674),"")</f>
        <v>0.1166469954427457</v>
      </c>
      <c r="P25">
        <f>IFERROR(SUMPRODUCT(('Tenant Data'!$A$2:$A$4674="Mall at Partridge Creek")*('Tenant Data'!$D$2:$D$4674="Jewelry")*('Tenant Data'!$F$2:$F$4674&gt;0)*('Tenant Data'!$E$2:$E$4674&lt;10000)*'Tenant Data'!$J$2:$J$4674*'Tenant Data'!$E$2:$E$4674)/SUMPRODUCT(('Tenant Data'!$A$2:$A$4674="Mall at Partridge Creek")*('Tenant Data'!$D$2:$D$4674="Jewelry")*('Tenant Data'!$F$2:$F$4674&gt;0)*('Tenant Data'!$E$2:$E$4674&lt;10000)*'Tenant Data'!$E$2:$E$4674),"")</f>
        <v>0.11575992014835877</v>
      </c>
      <c r="Q25">
        <f>IFERROR(SUMPRODUCT(('Tenant Data'!$A$2:$A$4674="Mall at Partridge Creek")*('Tenant Data'!$D$2:$D$4674="Health &amp; Beauty")*('Tenant Data'!$F$2:$F$4674&gt;0)*('Tenant Data'!$E$2:$E$4674&lt;10000)*'Tenant Data'!$J$2:$J$4674*'Tenant Data'!$E$2:$E$4674)/SUMPRODUCT(('Tenant Data'!$A$2:$A$4674="Mall at Partridge Creek")*('Tenant Data'!$D$2:$D$4674="Health &amp; Beauty")*('Tenant Data'!$F$2:$F$4674&gt;0)*('Tenant Data'!$E$2:$E$4674&lt;10000)*'Tenant Data'!$E$2:$E$4674),"")</f>
        <v>0.18357419578429293</v>
      </c>
      <c r="R25">
        <f>IFERROR(SUMPRODUCT(('Tenant Data'!$A$2:$A$4674="Mall at Partridge Creek")*('Tenant Data'!$D$2:$D$4674="Food &amp; Beverage")*('Tenant Data'!$F$2:$F$4674&gt;0)*('Tenant Data'!$E$2:$E$4674&lt;10000)*'Tenant Data'!$J$2:$J$4674*'Tenant Data'!$E$2:$E$4674)/SUMPRODUCT(('Tenant Data'!$A$2:$A$4674="Mall at Partridge Creek")*('Tenant Data'!$D$2:$D$4674="Food &amp; Beverage")*('Tenant Data'!$F$2:$F$4674&gt;0)*('Tenant Data'!$E$2:$E$4674&lt;10000)*'Tenant Data'!$E$2:$E$4674),"")</f>
        <v>0.19481500222900386</v>
      </c>
      <c r="S25">
        <f>IFERROR(SUMPRODUCT(('Tenant Data'!$A$2:$A$4674="Mall at Partridge Creek")*('Tenant Data'!$D$2:$D$4674="Restaurant")*('Tenant Data'!$F$2:$F$4674&gt;0)*('Tenant Data'!$E$2:$E$4674&lt;10000)*'Tenant Data'!$J$2:$J$4674*'Tenant Data'!$E$2:$E$4674)/SUMPRODUCT(('Tenant Data'!$A$2:$A$4674="Mall at Partridge Creek")*('Tenant Data'!$D$2:$D$4674="Restaurant")*('Tenant Data'!$F$2:$F$4674&gt;0)*('Tenant Data'!$E$2:$E$4674&lt;10000)*'Tenant Data'!$E$2:$E$4674),"")</f>
        <v>8.307466833242666E-2</v>
      </c>
      <c r="T25">
        <f>IFERROR(SUMPRODUCT(('Tenant Data'!$A$2:$A$4674="Mall at Partridge Creek")*('Tenant Data'!$D$2:$D$4674="Hobby &amp; Novelty")*('Tenant Data'!$F$2:$F$4674&gt;0)*('Tenant Data'!$E$2:$E$4674&lt;10000)*'Tenant Data'!$J$2:$J$4674*'Tenant Data'!$E$2:$E$4674)/SUMPRODUCT(('Tenant Data'!$A$2:$A$4674="Mall at Partridge Creek")*('Tenant Data'!$D$2:$D$4674="Hobby &amp; Novelty")*('Tenant Data'!$F$2:$F$4674&gt;0)*('Tenant Data'!$E$2:$E$4674&lt;10000)*'Tenant Data'!$E$2:$E$4674),"")</f>
        <v>0.14799516243564931</v>
      </c>
      <c r="U25">
        <f>IFERROR(SUMPRODUCT(('Tenant Data'!$A$2:$A$4674="Mall at Partridge Creek")*('Tenant Data'!$D$2:$D$4674="Service")*('Tenant Data'!$F$2:$F$4674&gt;0)*('Tenant Data'!$E$2:$E$4674&lt;10000)*'Tenant Data'!$J$2:$J$4674*'Tenant Data'!$E$2:$E$4674)/SUMPRODUCT(('Tenant Data'!$A$2:$A$4674="Mall at Partridge Creek")*('Tenant Data'!$D$2:$D$4674="Service")*('Tenant Data'!$F$2:$F$4674&gt;0)*('Tenant Data'!$E$2:$E$4674&lt;10000)*'Tenant Data'!$E$2:$E$4674),"")</f>
        <v>7.6181640982241408E-2</v>
      </c>
      <c r="V25">
        <f>IFERROR(SUMPRODUCT(('Tenant Data'!$A$2:$A$4674="Mall at Partridge Creek")*('Tenant Data'!$D$2:$D$4674="Tech")*('Tenant Data'!$F$2:$F$4674&gt;0)*('Tenant Data'!$E$2:$E$4674&lt;10000)*'Tenant Data'!$J$2:$J$4674*'Tenant Data'!$E$2:$E$4674)/SUMPRODUCT(('Tenant Data'!$A$2:$A$4674="Mall at Partridge Creek")*('Tenant Data'!$D$2:$D$4674="Tech")*('Tenant Data'!$F$2:$F$4674&gt;0)*('Tenant Data'!$E$2:$E$4674&lt;10000)*'Tenant Data'!$E$2:$E$4674),"")</f>
        <v>0.44874332403347938</v>
      </c>
      <c r="W25">
        <f>IFERROR(SUMPRODUCT(('Tenant Data'!$A$2:$A$4674="Mall at Partridge Creek")*('Tenant Data'!$D$2:$D$4674="Major")*('Tenant Data'!$F$2:$F$4674&gt;0)*('Tenant Data'!$E$2:$E$4674&lt;10000)*'Tenant Data'!$J$2:$J$4674*'Tenant Data'!$E$2:$E$4674)/SUMPRODUCT(('Tenant Data'!$A$2:$A$4674="Mall at Partridge Creek")*('Tenant Data'!$D$2:$D$4674="Major")*('Tenant Data'!$F$2:$F$4674&gt;0)*('Tenant Data'!$E$2:$E$4674&lt;10000)*'Tenant Data'!$E$2:$E$4674),"")</f>
        <v>0.10648559553740271</v>
      </c>
      <c r="X25" t="str">
        <f>IFERROR(SUMPRODUCT(('Tenant Data'!$A$2:$A$4674="Mall at Partridge Creek")*('Tenant Data'!$D$2:$D$4674="Anchor")*('Tenant Data'!$F$2:$F$4674&gt;0)*('Tenant Data'!$E$2:$E$4674&lt;10000)*'Tenant Data'!$J$2:$J$4674*'Tenant Data'!$E$2:$E$4674)/SUMPRODUCT(('Tenant Data'!$A$2:$A$4674="Mall at Partridge Creek")*('Tenant Data'!$D$2:$D$4674="Anchor")*('Tenant Data'!$F$2:$F$4674&gt;0)*('Tenant Data'!$E$2:$E$4674&lt;10000)*'Tenant Data'!$E$2:$E$4674),"")</f>
        <v/>
      </c>
      <c r="Y25" t="str">
        <f>IFERROR(SUMPRODUCT(('Tenant Data'!$A$2:$A$4674="Mall at Partridge Creek")*('Tenant Data'!$D$2:$D$4674="Apple")*('Tenant Data'!$F$2:$F$4674&gt;0)*('Tenant Data'!$E$2:$E$4674&lt;10000)*'Tenant Data'!$J$2:$J$4674*'Tenant Data'!$E$2:$E$4674)/SUMPRODUCT(('Tenant Data'!$A$2:$A$4674="Mall at Partridge Creek")*('Tenant Data'!$D$2:$D$4674="Apple")*('Tenant Data'!$F$2:$F$4674&gt;0)*('Tenant Data'!$E$2:$E$4674&lt;10000)*'Tenant Data'!$E$2:$E$4674),"")</f>
        <v/>
      </c>
      <c r="Z25">
        <f>SUMIFS('Tenant Data'!$F$2:$F$4674,'Tenant Data'!$A$2:$A$4674,"Mall at Partridge Creek",'Tenant Data'!$D$2:$D$4674,"Apparel",'Tenant Data'!$E$2:$E$4674,"&lt;10000")</f>
        <v>29182548.549999997</v>
      </c>
      <c r="AA25">
        <f>SUMIFS('Tenant Data'!$F$2:$F$4674,'Tenant Data'!$A$2:$A$4674,"Mall at Partridge Creek",'Tenant Data'!$D$2:$D$4674,"Shoes",'Tenant Data'!$E$2:$E$4674,"&lt;10000")</f>
        <v>4050733.26</v>
      </c>
      <c r="AB25">
        <f>SUMIFS('Tenant Data'!$F$2:$F$4674,'Tenant Data'!$A$2:$A$4674,"Mall at Partridge Creek",'Tenant Data'!$D$2:$D$4674,"Jewelry",'Tenant Data'!$E$2:$E$4674,"&lt;10000")</f>
        <v>9117116.6100000013</v>
      </c>
      <c r="AC25">
        <f>SUMIFS('Tenant Data'!$F$2:$F$4674,'Tenant Data'!$A$2:$A$4674,"Mall at Partridge Creek",'Tenant Data'!$D$2:$D$4674,"Health &amp; Beauty",'Tenant Data'!$E$2:$E$4674,"&lt;10000")</f>
        <v>9986513.9799999986</v>
      </c>
      <c r="AD25">
        <f>SUMIFS('Tenant Data'!$F$2:$F$4674,'Tenant Data'!$A$2:$A$4674,"Mall at Partridge Creek",'Tenant Data'!$D$2:$D$4674,"Food &amp; Beverage",'Tenant Data'!$E$2:$E$4674,"&lt;10000")</f>
        <v>3456661.4200000004</v>
      </c>
      <c r="AE25">
        <f>SUMIFS('Tenant Data'!$F$2:$F$4674,'Tenant Data'!$A$2:$A$4674,"Mall at Partridge Creek",'Tenant Data'!$D$2:$D$4674,"Restaurant",'Tenant Data'!$E$2:$E$4674,"&lt;10000")</f>
        <v>15411278.829999998</v>
      </c>
      <c r="AF25">
        <f>SUMIFS('Tenant Data'!$F$2:$F$4674,'Tenant Data'!$A$2:$A$4674,"Mall at Partridge Creek",'Tenant Data'!$D$2:$D$4674,"Hobby &amp; Novelty",'Tenant Data'!$E$2:$E$4674,"&lt;10000")</f>
        <v>599533.11</v>
      </c>
      <c r="AG25">
        <f>SUMIFS('Tenant Data'!$F$2:$F$4674,'Tenant Data'!$A$2:$A$4674,"Mall at Partridge Creek",'Tenant Data'!$D$2:$D$4674,"Service",'Tenant Data'!$E$2:$E$4674,"&lt;10000")</f>
        <v>5796712.9199999999</v>
      </c>
      <c r="AH25">
        <f>SUMIFS('Tenant Data'!$F$2:$F$4674,'Tenant Data'!$A$2:$A$4674,"Mall at Partridge Creek",'Tenant Data'!$D$2:$D$4674,"Tech",'Tenant Data'!$E$2:$E$4674,"&lt;10000")</f>
        <v>100360</v>
      </c>
      <c r="AI25">
        <f>SUMIFS('Tenant Data'!$F$2:$F$4674,'Tenant Data'!$A$2:$A$4674,"Mall at Partridge Creek",'Tenant Data'!$D$2:$D$4674,"Major",'Tenant Data'!$E$2:$E$4674,"&lt;10000")</f>
        <v>1210079.1599999999</v>
      </c>
      <c r="AJ25">
        <f>SUMIFS('Tenant Data'!$F$2:$F$4674,'Tenant Data'!$A$2:$A$4674,"Mall at Partridge Creek",'Tenant Data'!$D$2:$D$4674,"Anchor",'Tenant Data'!$E$2:$E$4674,"&lt;10000")</f>
        <v>0</v>
      </c>
      <c r="AK25">
        <f>SUMIFS('Tenant Data'!$F$2:$F$4674,'Tenant Data'!$A$2:$A$4674,"Mall at Partridge Creek",'Tenant Data'!$D$2:$D$4674,"Apple",'Tenant Data'!$E$2:$E$4674,"&lt;10000")</f>
        <v>0</v>
      </c>
      <c r="AL25">
        <f>SUMIFS('Tenant Data'!$E$2:$E$4674,'Tenant Data'!$A$2:$A$4674,"Mall at Partridge Creek",'Tenant Data'!$D$2:$D$4674,"Apparel",'Tenant Data'!$F$2:$F$4674,"&gt;0",'Tenant Data'!$E$2:$E$4674,"&lt;10000")</f>
        <v>105311</v>
      </c>
      <c r="AM25">
        <f>SUMIFS('Tenant Data'!$E$2:$E$4674,'Tenant Data'!$A$2:$A$4674,"Mall at Partridge Creek",'Tenant Data'!$D$2:$D$4674,"Shoes",'Tenant Data'!$F$2:$F$4674,"&gt;0",'Tenant Data'!$E$2:$E$4674,"&lt;10000")</f>
        <v>10125</v>
      </c>
      <c r="AN25">
        <f>SUMIFS('Tenant Data'!$E$2:$E$4674,'Tenant Data'!$A$2:$A$4674,"Mall at Partridge Creek",'Tenant Data'!$D$2:$D$4674,"Jewelry",'Tenant Data'!$F$2:$F$4674,"&gt;0",'Tenant Data'!$E$2:$E$4674,"&lt;10000")</f>
        <v>11221</v>
      </c>
      <c r="AO25">
        <f>SUMIFS('Tenant Data'!$E$2:$E$4674,'Tenant Data'!$A$2:$A$4674,"Mall at Partridge Creek",'Tenant Data'!$D$2:$D$4674,"Health &amp; Beauty",'Tenant Data'!$F$2:$F$4674,"&gt;0",'Tenant Data'!$E$2:$E$4674,"&lt;10000")</f>
        <v>12211</v>
      </c>
      <c r="AP25">
        <f>SUMIFS('Tenant Data'!$E$2:$E$4674,'Tenant Data'!$A$2:$A$4674,"Mall at Partridge Creek",'Tenant Data'!$D$2:$D$4674,"Food &amp; Beverage",'Tenant Data'!$F$2:$F$4674,"&gt;0",'Tenant Data'!$E$2:$E$4674,"&lt;10000")</f>
        <v>6028</v>
      </c>
      <c r="AQ25">
        <f>SUMIFS('Tenant Data'!$E$2:$E$4674,'Tenant Data'!$A$2:$A$4674,"Mall at Partridge Creek",'Tenant Data'!$D$2:$D$4674,"Restaurant",'Tenant Data'!$F$2:$F$4674,"&gt;0",'Tenant Data'!$E$2:$E$4674,"&lt;10000")</f>
        <v>35791</v>
      </c>
      <c r="AR25">
        <f>SUMIFS('Tenant Data'!$E$2:$E$4674,'Tenant Data'!$A$2:$A$4674,"Mall at Partridge Creek",'Tenant Data'!$D$2:$D$4674,"Hobby &amp; Novelty",'Tenant Data'!$F$2:$F$4674,"&gt;0",'Tenant Data'!$E$2:$E$4674,"&lt;10000")</f>
        <v>2400</v>
      </c>
      <c r="AS25">
        <f>SUMIFS('Tenant Data'!$E$2:$E$4674,'Tenant Data'!$A$2:$A$4674,"Mall at Partridge Creek",'Tenant Data'!$D$2:$D$4674,"Service",'Tenant Data'!$F$2:$F$4674,"&gt;0",'Tenant Data'!$E$2:$E$4674,"&lt;10000")</f>
        <v>12876</v>
      </c>
      <c r="AT25">
        <f>SUMIFS('Tenant Data'!$E$2:$E$4674,'Tenant Data'!$A$2:$A$4674,"Mall at Partridge Creek",'Tenant Data'!$D$2:$D$4674,"Tech",'Tenant Data'!$F$2:$F$4674,"&gt;0",'Tenant Data'!$E$2:$E$4674,"&lt;10000")</f>
        <v>1542</v>
      </c>
      <c r="AU25">
        <f>SUMIFS('Tenant Data'!$E$2:$E$4674,'Tenant Data'!$A$2:$A$4674,"Mall at Partridge Creek",'Tenant Data'!$D$2:$D$4674,"Major",'Tenant Data'!$F$2:$F$4674,"&gt;0",'Tenant Data'!$E$2:$E$4674,"&lt;10000")</f>
        <v>1400</v>
      </c>
      <c r="AV25">
        <f>SUMIFS('Tenant Data'!$E$2:$E$4674,'Tenant Data'!$A$2:$A$4674,"Mall at Partridge Creek",'Tenant Data'!$D$2:$D$4674,"Anchor",'Tenant Data'!$F$2:$F$4674,"&gt;0",'Tenant Data'!$E$2:$E$4674,"&lt;10000")</f>
        <v>0</v>
      </c>
      <c r="AW25">
        <f>SUMIFS('Tenant Data'!$E$2:$E$4674,'Tenant Data'!$A$2:$A$4674,"Mall at Partridge Creek",'Tenant Data'!$D$2:$D$4674,"Apple",'Tenant Data'!$F$2:$F$4674,"&gt;0",'Tenant Data'!$E$2:$E$4674,"&lt;10000")</f>
        <v>0</v>
      </c>
      <c r="AX25">
        <v>1</v>
      </c>
      <c r="AY25" t="str">
        <f>'Property Summary'!B25</f>
        <v>Y</v>
      </c>
      <c r="AZ25">
        <f t="shared" si="12"/>
        <v>198905</v>
      </c>
    </row>
    <row r="26" spans="1:52" x14ac:dyDescent="0.2">
      <c r="A26" t="s">
        <v>63</v>
      </c>
      <c r="B26">
        <f t="shared" si="0"/>
        <v>298.45757556819365</v>
      </c>
      <c r="C26">
        <f t="shared" si="1"/>
        <v>514.19832626888376</v>
      </c>
      <c r="D26">
        <f t="shared" si="2"/>
        <v>820.1516959798995</v>
      </c>
      <c r="E26">
        <f t="shared" si="3"/>
        <v>535.15235962511406</v>
      </c>
      <c r="F26">
        <f t="shared" si="4"/>
        <v>1138.9328529970981</v>
      </c>
      <c r="G26">
        <f t="shared" si="5"/>
        <v>1200.6280250648229</v>
      </c>
      <c r="H26">
        <f t="shared" si="6"/>
        <v>355.84181954324225</v>
      </c>
      <c r="I26">
        <f t="shared" si="7"/>
        <v>152.34574976122255</v>
      </c>
      <c r="J26">
        <f t="shared" si="8"/>
        <v>435.20792880258898</v>
      </c>
      <c r="K26">
        <f t="shared" si="9"/>
        <v>360.12780112044817</v>
      </c>
      <c r="L26" t="str">
        <f t="shared" si="10"/>
        <v/>
      </c>
      <c r="M26" t="str">
        <f t="shared" si="11"/>
        <v/>
      </c>
      <c r="N26">
        <f>IFERROR(SUMPRODUCT(('Tenant Data'!$A$2:$A$4674="Mall at Prince Georges")*('Tenant Data'!$D$2:$D$4674="Apparel")*('Tenant Data'!$F$2:$F$4674&gt;0)*('Tenant Data'!$E$2:$E$4674&lt;10000)*'Tenant Data'!$J$2:$J$4674*'Tenant Data'!$E$2:$E$4674)/SUMPRODUCT(('Tenant Data'!$A$2:$A$4674="Mall at Prince Georges")*('Tenant Data'!$D$2:$D$4674="Apparel")*('Tenant Data'!$F$2:$F$4674&gt;0)*('Tenant Data'!$E$2:$E$4674&lt;10000)*'Tenant Data'!$E$2:$E$4674),"")</f>
        <v>0.23810921601983914</v>
      </c>
      <c r="O26">
        <f>IFERROR(SUMPRODUCT(('Tenant Data'!$A$2:$A$4674="Mall at Prince Georges")*('Tenant Data'!$D$2:$D$4674="Shoes")*('Tenant Data'!$F$2:$F$4674&gt;0)*('Tenant Data'!$E$2:$E$4674&lt;10000)*'Tenant Data'!$J$2:$J$4674*'Tenant Data'!$E$2:$E$4674)/SUMPRODUCT(('Tenant Data'!$A$2:$A$4674="Mall at Prince Georges")*('Tenant Data'!$D$2:$D$4674="Shoes")*('Tenant Data'!$F$2:$F$4674&gt;0)*('Tenant Data'!$E$2:$E$4674&lt;10000)*'Tenant Data'!$E$2:$E$4674),"")</f>
        <v>0.13859079057123203</v>
      </c>
      <c r="P26">
        <f>IFERROR(SUMPRODUCT(('Tenant Data'!$A$2:$A$4674="Mall at Prince Georges")*('Tenant Data'!$D$2:$D$4674="Jewelry")*('Tenant Data'!$F$2:$F$4674&gt;0)*('Tenant Data'!$E$2:$E$4674&lt;10000)*'Tenant Data'!$J$2:$J$4674*'Tenant Data'!$E$2:$E$4674)/SUMPRODUCT(('Tenant Data'!$A$2:$A$4674="Mall at Prince Georges")*('Tenant Data'!$D$2:$D$4674="Jewelry")*('Tenant Data'!$F$2:$F$4674&gt;0)*('Tenant Data'!$E$2:$E$4674&lt;10000)*'Tenant Data'!$E$2:$E$4674),"")</f>
        <v>0.21483430235146031</v>
      </c>
      <c r="Q26">
        <f>IFERROR(SUMPRODUCT(('Tenant Data'!$A$2:$A$4674="Mall at Prince Georges")*('Tenant Data'!$D$2:$D$4674="Health &amp; Beauty")*('Tenant Data'!$F$2:$F$4674&gt;0)*('Tenant Data'!$E$2:$E$4674&lt;10000)*'Tenant Data'!$J$2:$J$4674*'Tenant Data'!$E$2:$E$4674)/SUMPRODUCT(('Tenant Data'!$A$2:$A$4674="Mall at Prince Georges")*('Tenant Data'!$D$2:$D$4674="Health &amp; Beauty")*('Tenant Data'!$F$2:$F$4674&gt;0)*('Tenant Data'!$E$2:$E$4674&lt;10000)*'Tenant Data'!$E$2:$E$4674),"")</f>
        <v>0.1787006740299453</v>
      </c>
      <c r="R26">
        <f>IFERROR(SUMPRODUCT(('Tenant Data'!$A$2:$A$4674="Mall at Prince Georges")*('Tenant Data'!$D$2:$D$4674="Food &amp; Beverage")*('Tenant Data'!$F$2:$F$4674&gt;0)*('Tenant Data'!$E$2:$E$4674&lt;10000)*'Tenant Data'!$J$2:$J$4674*'Tenant Data'!$E$2:$E$4674)/SUMPRODUCT(('Tenant Data'!$A$2:$A$4674="Mall at Prince Georges")*('Tenant Data'!$D$2:$D$4674="Food &amp; Beverage")*('Tenant Data'!$F$2:$F$4674&gt;0)*('Tenant Data'!$E$2:$E$4674&lt;10000)*'Tenant Data'!$E$2:$E$4674),"")</f>
        <v>0.18144815341513895</v>
      </c>
      <c r="S26">
        <f>IFERROR(SUMPRODUCT(('Tenant Data'!$A$2:$A$4674="Mall at Prince Georges")*('Tenant Data'!$D$2:$D$4674="Restaurant")*('Tenant Data'!$F$2:$F$4674&gt;0)*('Tenant Data'!$E$2:$E$4674&lt;10000)*'Tenant Data'!$J$2:$J$4674*'Tenant Data'!$E$2:$E$4674)/SUMPRODUCT(('Tenant Data'!$A$2:$A$4674="Mall at Prince Georges")*('Tenant Data'!$D$2:$D$4674="Restaurant")*('Tenant Data'!$F$2:$F$4674&gt;0)*('Tenant Data'!$E$2:$E$4674&lt;10000)*'Tenant Data'!$E$2:$E$4674),"")</f>
        <v>0.10949629131377352</v>
      </c>
      <c r="T26">
        <f>IFERROR(SUMPRODUCT(('Tenant Data'!$A$2:$A$4674="Mall at Prince Georges")*('Tenant Data'!$D$2:$D$4674="Hobby &amp; Novelty")*('Tenant Data'!$F$2:$F$4674&gt;0)*('Tenant Data'!$E$2:$E$4674&lt;10000)*'Tenant Data'!$J$2:$J$4674*'Tenant Data'!$E$2:$E$4674)/SUMPRODUCT(('Tenant Data'!$A$2:$A$4674="Mall at Prince Georges")*('Tenant Data'!$D$2:$D$4674="Hobby &amp; Novelty")*('Tenant Data'!$F$2:$F$4674&gt;0)*('Tenant Data'!$E$2:$E$4674&lt;10000)*'Tenant Data'!$E$2:$E$4674),"")</f>
        <v>0.22072533280787651</v>
      </c>
      <c r="U26">
        <f>IFERROR(SUMPRODUCT(('Tenant Data'!$A$2:$A$4674="Mall at Prince Georges")*('Tenant Data'!$D$2:$D$4674="Service")*('Tenant Data'!$F$2:$F$4674&gt;0)*('Tenant Data'!$E$2:$E$4674&lt;10000)*'Tenant Data'!$J$2:$J$4674*'Tenant Data'!$E$2:$E$4674)/SUMPRODUCT(('Tenant Data'!$A$2:$A$4674="Mall at Prince Georges")*('Tenant Data'!$D$2:$D$4674="Service")*('Tenant Data'!$F$2:$F$4674&gt;0)*('Tenant Data'!$E$2:$E$4674&lt;10000)*'Tenant Data'!$E$2:$E$4674),"")</f>
        <v>0.54287613005153412</v>
      </c>
      <c r="V26">
        <f>IFERROR(SUMPRODUCT(('Tenant Data'!$A$2:$A$4674="Mall at Prince Georges")*('Tenant Data'!$D$2:$D$4674="Tech")*('Tenant Data'!$F$2:$F$4674&gt;0)*('Tenant Data'!$E$2:$E$4674&lt;10000)*'Tenant Data'!$J$2:$J$4674*'Tenant Data'!$E$2:$E$4674)/SUMPRODUCT(('Tenant Data'!$A$2:$A$4674="Mall at Prince Georges")*('Tenant Data'!$D$2:$D$4674="Tech")*('Tenant Data'!$F$2:$F$4674&gt;0)*('Tenant Data'!$E$2:$E$4674&lt;10000)*'Tenant Data'!$E$2:$E$4674),"")</f>
        <v>0.31636583298139748</v>
      </c>
      <c r="W26">
        <f>IFERROR(SUMPRODUCT(('Tenant Data'!$A$2:$A$4674="Mall at Prince Georges")*('Tenant Data'!$D$2:$D$4674="Major")*('Tenant Data'!$F$2:$F$4674&gt;0)*('Tenant Data'!$E$2:$E$4674&lt;10000)*'Tenant Data'!$J$2:$J$4674*'Tenant Data'!$E$2:$E$4674)/SUMPRODUCT(('Tenant Data'!$A$2:$A$4674="Mall at Prince Georges")*('Tenant Data'!$D$2:$D$4674="Major")*('Tenant Data'!$F$2:$F$4674&gt;0)*('Tenant Data'!$E$2:$E$4674&lt;10000)*'Tenant Data'!$E$2:$E$4674),"")</f>
        <v>8.8662891033275806E-2</v>
      </c>
      <c r="X26" t="str">
        <f>IFERROR(SUMPRODUCT(('Tenant Data'!$A$2:$A$4674="Mall at Prince Georges")*('Tenant Data'!$D$2:$D$4674="Anchor")*('Tenant Data'!$F$2:$F$4674&gt;0)*('Tenant Data'!$E$2:$E$4674&lt;10000)*'Tenant Data'!$J$2:$J$4674*'Tenant Data'!$E$2:$E$4674)/SUMPRODUCT(('Tenant Data'!$A$2:$A$4674="Mall at Prince Georges")*('Tenant Data'!$D$2:$D$4674="Anchor")*('Tenant Data'!$F$2:$F$4674&gt;0)*('Tenant Data'!$E$2:$E$4674&lt;10000)*'Tenant Data'!$E$2:$E$4674),"")</f>
        <v/>
      </c>
      <c r="Y26" t="str">
        <f>IFERROR(SUMPRODUCT(('Tenant Data'!$A$2:$A$4674="Mall at Prince Georges")*('Tenant Data'!$D$2:$D$4674="Apple")*('Tenant Data'!$F$2:$F$4674&gt;0)*('Tenant Data'!$E$2:$E$4674&lt;10000)*'Tenant Data'!$J$2:$J$4674*'Tenant Data'!$E$2:$E$4674)/SUMPRODUCT(('Tenant Data'!$A$2:$A$4674="Mall at Prince Georges")*('Tenant Data'!$D$2:$D$4674="Apple")*('Tenant Data'!$F$2:$F$4674&gt;0)*('Tenant Data'!$E$2:$E$4674&lt;10000)*'Tenant Data'!$E$2:$E$4674),"")</f>
        <v/>
      </c>
      <c r="Z26">
        <f>SUMIFS('Tenant Data'!$F$2:$F$4674,'Tenant Data'!$A$2:$A$4674,"Mall at Prince Georges",'Tenant Data'!$D$2:$D$4674,"Apparel",'Tenant Data'!$E$2:$E$4674,"&lt;10000")</f>
        <v>14326859</v>
      </c>
      <c r="AA26">
        <f>SUMIFS('Tenant Data'!$F$2:$F$4674,'Tenant Data'!$A$2:$A$4674,"Mall at Prince Georges",'Tenant Data'!$D$2:$D$4674,"Shoes",'Tenant Data'!$E$2:$E$4674,"&lt;10000")</f>
        <v>23655694</v>
      </c>
      <c r="AB26">
        <f>SUMIFS('Tenant Data'!$F$2:$F$4674,'Tenant Data'!$A$2:$A$4674,"Mall at Prince Georges",'Tenant Data'!$D$2:$D$4674,"Jewelry",'Tenant Data'!$E$2:$E$4674,"&lt;10000")</f>
        <v>7834089</v>
      </c>
      <c r="AC26">
        <f>SUMIFS('Tenant Data'!$F$2:$F$4674,'Tenant Data'!$A$2:$A$4674,"Mall at Prince Georges",'Tenant Data'!$D$2:$D$4674,"Health &amp; Beauty",'Tenant Data'!$E$2:$E$4674,"&lt;10000")</f>
        <v>6452332</v>
      </c>
      <c r="AD26">
        <f>SUMIFS('Tenant Data'!$F$2:$F$4674,'Tenant Data'!$A$2:$A$4674,"Mall at Prince Georges",'Tenant Data'!$D$2:$D$4674,"Food &amp; Beverage",'Tenant Data'!$E$2:$E$4674,"&lt;10000")</f>
        <v>11381356</v>
      </c>
      <c r="AE26">
        <f>SUMIFS('Tenant Data'!$F$2:$F$4674,'Tenant Data'!$A$2:$A$4674,"Mall at Prince Georges",'Tenant Data'!$D$2:$D$4674,"Restaurant",'Tenant Data'!$E$2:$E$4674,"&lt;10000")</f>
        <v>11113013</v>
      </c>
      <c r="AF26">
        <f>SUMIFS('Tenant Data'!$F$2:$F$4674,'Tenant Data'!$A$2:$A$4674,"Mall at Prince Georges",'Tenant Data'!$D$2:$D$4674,"Hobby &amp; Novelty",'Tenant Data'!$E$2:$E$4674,"&lt;10000")</f>
        <v>1900907</v>
      </c>
      <c r="AG26">
        <f>SUMIFS('Tenant Data'!$F$2:$F$4674,'Tenant Data'!$A$2:$A$4674,"Mall at Prince Georges",'Tenant Data'!$D$2:$D$4674,"Service",'Tenant Data'!$E$2:$E$4674,"&lt;10000")</f>
        <v>159506</v>
      </c>
      <c r="AH26">
        <f>SUMIFS('Tenant Data'!$F$2:$F$4674,'Tenant Data'!$A$2:$A$4674,"Mall at Prince Georges",'Tenant Data'!$D$2:$D$4674,"Tech",'Tenant Data'!$E$2:$E$4674,"&lt;10000")</f>
        <v>1075834</v>
      </c>
      <c r="AI26">
        <f>SUMIFS('Tenant Data'!$F$2:$F$4674,'Tenant Data'!$A$2:$A$4674,"Mall at Prince Georges",'Tenant Data'!$D$2:$D$4674,"Major",'Tenant Data'!$E$2:$E$4674,"&lt;10000")</f>
        <v>3085575</v>
      </c>
      <c r="AJ26">
        <f>SUMIFS('Tenant Data'!$F$2:$F$4674,'Tenant Data'!$A$2:$A$4674,"Mall at Prince Georges",'Tenant Data'!$D$2:$D$4674,"Anchor",'Tenant Data'!$E$2:$E$4674,"&lt;10000")</f>
        <v>0</v>
      </c>
      <c r="AK26">
        <f>SUMIFS('Tenant Data'!$F$2:$F$4674,'Tenant Data'!$A$2:$A$4674,"Mall at Prince Georges",'Tenant Data'!$D$2:$D$4674,"Apple",'Tenant Data'!$E$2:$E$4674,"&lt;10000")</f>
        <v>0</v>
      </c>
      <c r="AL26">
        <f>SUMIFS('Tenant Data'!$E$2:$E$4674,'Tenant Data'!$A$2:$A$4674,"Mall at Prince Georges",'Tenant Data'!$D$2:$D$4674,"Apparel",'Tenant Data'!$F$2:$F$4674,"&gt;0",'Tenant Data'!$E$2:$E$4674,"&lt;10000")</f>
        <v>48003</v>
      </c>
      <c r="AM26">
        <f>SUMIFS('Tenant Data'!$E$2:$E$4674,'Tenant Data'!$A$2:$A$4674,"Mall at Prince Georges",'Tenant Data'!$D$2:$D$4674,"Shoes",'Tenant Data'!$F$2:$F$4674,"&gt;0",'Tenant Data'!$E$2:$E$4674,"&lt;10000")</f>
        <v>46005</v>
      </c>
      <c r="AN26">
        <f>SUMIFS('Tenant Data'!$E$2:$E$4674,'Tenant Data'!$A$2:$A$4674,"Mall at Prince Georges",'Tenant Data'!$D$2:$D$4674,"Jewelry",'Tenant Data'!$F$2:$F$4674,"&gt;0",'Tenant Data'!$E$2:$E$4674,"&lt;10000")</f>
        <v>9552</v>
      </c>
      <c r="AO26">
        <f>SUMIFS('Tenant Data'!$E$2:$E$4674,'Tenant Data'!$A$2:$A$4674,"Mall at Prince Georges",'Tenant Data'!$D$2:$D$4674,"Health &amp; Beauty",'Tenant Data'!$F$2:$F$4674,"&gt;0",'Tenant Data'!$E$2:$E$4674,"&lt;10000")</f>
        <v>12057</v>
      </c>
      <c r="AP26">
        <f>SUMIFS('Tenant Data'!$E$2:$E$4674,'Tenant Data'!$A$2:$A$4674,"Mall at Prince Georges",'Tenant Data'!$D$2:$D$4674,"Food &amp; Beverage",'Tenant Data'!$F$2:$F$4674,"&gt;0",'Tenant Data'!$E$2:$E$4674,"&lt;10000")</f>
        <v>9993</v>
      </c>
      <c r="AQ26">
        <f>SUMIFS('Tenant Data'!$E$2:$E$4674,'Tenant Data'!$A$2:$A$4674,"Mall at Prince Georges",'Tenant Data'!$D$2:$D$4674,"Restaurant",'Tenant Data'!$F$2:$F$4674,"&gt;0",'Tenant Data'!$E$2:$E$4674,"&lt;10000")</f>
        <v>9256</v>
      </c>
      <c r="AR26">
        <f>SUMIFS('Tenant Data'!$E$2:$E$4674,'Tenant Data'!$A$2:$A$4674,"Mall at Prince Georges",'Tenant Data'!$D$2:$D$4674,"Hobby &amp; Novelty",'Tenant Data'!$F$2:$F$4674,"&gt;0",'Tenant Data'!$E$2:$E$4674,"&lt;10000")</f>
        <v>5342</v>
      </c>
      <c r="AS26">
        <f>SUMIFS('Tenant Data'!$E$2:$E$4674,'Tenant Data'!$A$2:$A$4674,"Mall at Prince Georges",'Tenant Data'!$D$2:$D$4674,"Service",'Tenant Data'!$F$2:$F$4674,"&gt;0",'Tenant Data'!$E$2:$E$4674,"&lt;10000")</f>
        <v>1047</v>
      </c>
      <c r="AT26">
        <f>SUMIFS('Tenant Data'!$E$2:$E$4674,'Tenant Data'!$A$2:$A$4674,"Mall at Prince Georges",'Tenant Data'!$D$2:$D$4674,"Tech",'Tenant Data'!$F$2:$F$4674,"&gt;0",'Tenant Data'!$E$2:$E$4674,"&lt;10000")</f>
        <v>2472</v>
      </c>
      <c r="AU26">
        <f>SUMIFS('Tenant Data'!$E$2:$E$4674,'Tenant Data'!$A$2:$A$4674,"Mall at Prince Georges",'Tenant Data'!$D$2:$D$4674,"Major",'Tenant Data'!$F$2:$F$4674,"&gt;0",'Tenant Data'!$E$2:$E$4674,"&lt;10000")</f>
        <v>8568</v>
      </c>
      <c r="AV26">
        <f>SUMIFS('Tenant Data'!$E$2:$E$4674,'Tenant Data'!$A$2:$A$4674,"Mall at Prince Georges",'Tenant Data'!$D$2:$D$4674,"Anchor",'Tenant Data'!$F$2:$F$4674,"&gt;0",'Tenant Data'!$E$2:$E$4674,"&lt;10000")</f>
        <v>0</v>
      </c>
      <c r="AW26">
        <f>SUMIFS('Tenant Data'!$E$2:$E$4674,'Tenant Data'!$A$2:$A$4674,"Mall at Prince Georges",'Tenant Data'!$D$2:$D$4674,"Apple",'Tenant Data'!$F$2:$F$4674,"&gt;0",'Tenant Data'!$E$2:$E$4674,"&lt;10000")</f>
        <v>0</v>
      </c>
      <c r="AX26">
        <v>1</v>
      </c>
      <c r="AY26" t="str">
        <f>'Property Summary'!B26</f>
        <v>Y</v>
      </c>
      <c r="AZ26">
        <f t="shared" si="12"/>
        <v>152295</v>
      </c>
    </row>
    <row r="27" spans="1:52" x14ac:dyDescent="0.2">
      <c r="A27" t="s">
        <v>25</v>
      </c>
      <c r="B27">
        <f t="shared" si="0"/>
        <v>261.22757695181622</v>
      </c>
      <c r="C27">
        <f t="shared" si="1"/>
        <v>598.35535395790771</v>
      </c>
      <c r="D27">
        <f t="shared" si="2"/>
        <v>1253.8803386861314</v>
      </c>
      <c r="E27">
        <f t="shared" si="3"/>
        <v>762.46644642713613</v>
      </c>
      <c r="F27">
        <f t="shared" si="4"/>
        <v>769.52736920777284</v>
      </c>
      <c r="G27">
        <f t="shared" si="5"/>
        <v>1318.5199335754141</v>
      </c>
      <c r="H27">
        <f t="shared" si="6"/>
        <v>256.75003078966432</v>
      </c>
      <c r="I27">
        <f t="shared" si="7"/>
        <v>287.92866410037067</v>
      </c>
      <c r="J27">
        <f t="shared" si="8"/>
        <v>347.40798427849523</v>
      </c>
      <c r="K27" t="str">
        <f t="shared" si="9"/>
        <v/>
      </c>
      <c r="L27" t="str">
        <f t="shared" si="10"/>
        <v/>
      </c>
      <c r="M27">
        <f t="shared" si="11"/>
        <v>6816.324169530355</v>
      </c>
      <c r="N27">
        <f>IFERROR(SUMPRODUCT(('Tenant Data'!$A$2:$A$4674="Mall at Wellington Green")*('Tenant Data'!$D$2:$D$4674="Apparel")*('Tenant Data'!$F$2:$F$4674&gt;0)*('Tenant Data'!$E$2:$E$4674&lt;10000)*'Tenant Data'!$J$2:$J$4674*'Tenant Data'!$E$2:$E$4674)/SUMPRODUCT(('Tenant Data'!$A$2:$A$4674="Mall at Wellington Green")*('Tenant Data'!$D$2:$D$4674="Apparel")*('Tenant Data'!$F$2:$F$4674&gt;0)*('Tenant Data'!$E$2:$E$4674&lt;10000)*'Tenant Data'!$E$2:$E$4674),"")</f>
        <v>8.681052673884318E-2</v>
      </c>
      <c r="O27">
        <f>IFERROR(SUMPRODUCT(('Tenant Data'!$A$2:$A$4674="Mall at Wellington Green")*('Tenant Data'!$D$2:$D$4674="Shoes")*('Tenant Data'!$F$2:$F$4674&gt;0)*('Tenant Data'!$E$2:$E$4674&lt;10000)*'Tenant Data'!$J$2:$J$4674*'Tenant Data'!$E$2:$E$4674)/SUMPRODUCT(('Tenant Data'!$A$2:$A$4674="Mall at Wellington Green")*('Tenant Data'!$D$2:$D$4674="Shoes")*('Tenant Data'!$F$2:$F$4674&gt;0)*('Tenant Data'!$E$2:$E$4674&lt;10000)*'Tenant Data'!$E$2:$E$4674),"")</f>
        <v>0.11802200797725795</v>
      </c>
      <c r="P27">
        <f>IFERROR(SUMPRODUCT(('Tenant Data'!$A$2:$A$4674="Mall at Wellington Green")*('Tenant Data'!$D$2:$D$4674="Jewelry")*('Tenant Data'!$F$2:$F$4674&gt;0)*('Tenant Data'!$E$2:$E$4674&lt;10000)*'Tenant Data'!$J$2:$J$4674*'Tenant Data'!$E$2:$E$4674)/SUMPRODUCT(('Tenant Data'!$A$2:$A$4674="Mall at Wellington Green")*('Tenant Data'!$D$2:$D$4674="Jewelry")*('Tenant Data'!$F$2:$F$4674&gt;0)*('Tenant Data'!$E$2:$E$4674&lt;10000)*'Tenant Data'!$E$2:$E$4674),"")</f>
        <v>0.15674046729765129</v>
      </c>
      <c r="Q27">
        <f>IFERROR(SUMPRODUCT(('Tenant Data'!$A$2:$A$4674="Mall at Wellington Green")*('Tenant Data'!$D$2:$D$4674="Health &amp; Beauty")*('Tenant Data'!$F$2:$F$4674&gt;0)*('Tenant Data'!$E$2:$E$4674&lt;10000)*'Tenant Data'!$J$2:$J$4674*'Tenant Data'!$E$2:$E$4674)/SUMPRODUCT(('Tenant Data'!$A$2:$A$4674="Mall at Wellington Green")*('Tenant Data'!$D$2:$D$4674="Health &amp; Beauty")*('Tenant Data'!$F$2:$F$4674&gt;0)*('Tenant Data'!$E$2:$E$4674&lt;10000)*'Tenant Data'!$E$2:$E$4674),"")</f>
        <v>0.16892323538024576</v>
      </c>
      <c r="R27">
        <f>IFERROR(SUMPRODUCT(('Tenant Data'!$A$2:$A$4674="Mall at Wellington Green")*('Tenant Data'!$D$2:$D$4674="Food &amp; Beverage")*('Tenant Data'!$F$2:$F$4674&gt;0)*('Tenant Data'!$E$2:$E$4674&lt;10000)*'Tenant Data'!$J$2:$J$4674*'Tenant Data'!$E$2:$E$4674)/SUMPRODUCT(('Tenant Data'!$A$2:$A$4674="Mall at Wellington Green")*('Tenant Data'!$D$2:$D$4674="Food &amp; Beverage")*('Tenant Data'!$F$2:$F$4674&gt;0)*('Tenant Data'!$E$2:$E$4674&lt;10000)*'Tenant Data'!$E$2:$E$4674),"")</f>
        <v>0.19137163018538997</v>
      </c>
      <c r="S27">
        <f>IFERROR(SUMPRODUCT(('Tenant Data'!$A$2:$A$4674="Mall at Wellington Green")*('Tenant Data'!$D$2:$D$4674="Restaurant")*('Tenant Data'!$F$2:$F$4674&gt;0)*('Tenant Data'!$E$2:$E$4674&lt;10000)*'Tenant Data'!$J$2:$J$4674*'Tenant Data'!$E$2:$E$4674)/SUMPRODUCT(('Tenant Data'!$A$2:$A$4674="Mall at Wellington Green")*('Tenant Data'!$D$2:$D$4674="Restaurant")*('Tenant Data'!$F$2:$F$4674&gt;0)*('Tenant Data'!$E$2:$E$4674&lt;10000)*'Tenant Data'!$E$2:$E$4674),"")</f>
        <v>9.8376407721286696E-2</v>
      </c>
      <c r="T27">
        <f>IFERROR(SUMPRODUCT(('Tenant Data'!$A$2:$A$4674="Mall at Wellington Green")*('Tenant Data'!$D$2:$D$4674="Hobby &amp; Novelty")*('Tenant Data'!$F$2:$F$4674&gt;0)*('Tenant Data'!$E$2:$E$4674&lt;10000)*'Tenant Data'!$J$2:$J$4674*'Tenant Data'!$E$2:$E$4674)/SUMPRODUCT(('Tenant Data'!$A$2:$A$4674="Mall at Wellington Green")*('Tenant Data'!$D$2:$D$4674="Hobby &amp; Novelty")*('Tenant Data'!$F$2:$F$4674&gt;0)*('Tenant Data'!$E$2:$E$4674&lt;10000)*'Tenant Data'!$E$2:$E$4674),"")</f>
        <v>0.1030993367347952</v>
      </c>
      <c r="U27">
        <f>IFERROR(SUMPRODUCT(('Tenant Data'!$A$2:$A$4674="Mall at Wellington Green")*('Tenant Data'!$D$2:$D$4674="Service")*('Tenant Data'!$F$2:$F$4674&gt;0)*('Tenant Data'!$E$2:$E$4674&lt;10000)*'Tenant Data'!$J$2:$J$4674*'Tenant Data'!$E$2:$E$4674)/SUMPRODUCT(('Tenant Data'!$A$2:$A$4674="Mall at Wellington Green")*('Tenant Data'!$D$2:$D$4674="Service")*('Tenant Data'!$F$2:$F$4674&gt;0)*('Tenant Data'!$E$2:$E$4674&lt;10000)*'Tenant Data'!$E$2:$E$4674),"")</f>
        <v>0.18090565249183443</v>
      </c>
      <c r="V27">
        <f>IFERROR(SUMPRODUCT(('Tenant Data'!$A$2:$A$4674="Mall at Wellington Green")*('Tenant Data'!$D$2:$D$4674="Tech")*('Tenant Data'!$F$2:$F$4674&gt;0)*('Tenant Data'!$E$2:$E$4674&lt;10000)*'Tenant Data'!$J$2:$J$4674*'Tenant Data'!$E$2:$E$4674)/SUMPRODUCT(('Tenant Data'!$A$2:$A$4674="Mall at Wellington Green")*('Tenant Data'!$D$2:$D$4674="Tech")*('Tenant Data'!$F$2:$F$4674&gt;0)*('Tenant Data'!$E$2:$E$4674&lt;10000)*'Tenant Data'!$E$2:$E$4674),"")</f>
        <v>0.35835982140539774</v>
      </c>
      <c r="W27" t="str">
        <f>IFERROR(SUMPRODUCT(('Tenant Data'!$A$2:$A$4674="Mall at Wellington Green")*('Tenant Data'!$D$2:$D$4674="Major")*('Tenant Data'!$F$2:$F$4674&gt;0)*('Tenant Data'!$E$2:$E$4674&lt;10000)*'Tenant Data'!$J$2:$J$4674*'Tenant Data'!$E$2:$E$4674)/SUMPRODUCT(('Tenant Data'!$A$2:$A$4674="Mall at Wellington Green")*('Tenant Data'!$D$2:$D$4674="Major")*('Tenant Data'!$F$2:$F$4674&gt;0)*('Tenant Data'!$E$2:$E$4674&lt;10000)*'Tenant Data'!$E$2:$E$4674),"")</f>
        <v/>
      </c>
      <c r="X27" t="str">
        <f>IFERROR(SUMPRODUCT(('Tenant Data'!$A$2:$A$4674="Mall at Wellington Green")*('Tenant Data'!$D$2:$D$4674="Anchor")*('Tenant Data'!$F$2:$F$4674&gt;0)*('Tenant Data'!$E$2:$E$4674&lt;10000)*'Tenant Data'!$J$2:$J$4674*'Tenant Data'!$E$2:$E$4674)/SUMPRODUCT(('Tenant Data'!$A$2:$A$4674="Mall at Wellington Green")*('Tenant Data'!$D$2:$D$4674="Anchor")*('Tenant Data'!$F$2:$F$4674&gt;0)*('Tenant Data'!$E$2:$E$4674&lt;10000)*'Tenant Data'!$E$2:$E$4674),"")</f>
        <v/>
      </c>
      <c r="Y27">
        <f>IFERROR(SUMPRODUCT(('Tenant Data'!$A$2:$A$4674="Mall at Wellington Green")*('Tenant Data'!$D$2:$D$4674="Apple")*('Tenant Data'!$F$2:$F$4674&gt;0)*('Tenant Data'!$E$2:$E$4674&lt;10000)*'Tenant Data'!$J$2:$J$4674*'Tenant Data'!$E$2:$E$4674)/SUMPRODUCT(('Tenant Data'!$A$2:$A$4674="Mall at Wellington Green")*('Tenant Data'!$D$2:$D$4674="Apple")*('Tenant Data'!$F$2:$F$4674&gt;0)*('Tenant Data'!$E$2:$E$4674&lt;10000)*'Tenant Data'!$E$2:$E$4674),"")</f>
        <v>5.8817085727259077E-3</v>
      </c>
      <c r="Z27">
        <f>SUMIFS('Tenant Data'!$F$2:$F$4674,'Tenant Data'!$A$2:$A$4674,"Mall at Wellington Green",'Tenant Data'!$D$2:$D$4674,"Apparel",'Tenant Data'!$E$2:$E$4674,"&lt;10000")</f>
        <v>21675096.969999999</v>
      </c>
      <c r="AA27">
        <f>SUMIFS('Tenant Data'!$F$2:$F$4674,'Tenant Data'!$A$2:$A$4674,"Mall at Wellington Green",'Tenant Data'!$D$2:$D$4674,"Shoes",'Tenant Data'!$E$2:$E$4674,"&lt;10000")</f>
        <v>18451484.050000001</v>
      </c>
      <c r="AB27">
        <f>SUMIFS('Tenant Data'!$F$2:$F$4674,'Tenant Data'!$A$2:$A$4674,"Mall at Wellington Green",'Tenant Data'!$D$2:$D$4674,"Jewelry",'Tenant Data'!$E$2:$E$4674,"&lt;10000")</f>
        <v>17178160.640000001</v>
      </c>
      <c r="AC27">
        <f>SUMIFS('Tenant Data'!$F$2:$F$4674,'Tenant Data'!$A$2:$A$4674,"Mall at Wellington Green",'Tenant Data'!$D$2:$D$4674,"Health &amp; Beauty",'Tenant Data'!$E$2:$E$4674,"&lt;10000")</f>
        <v>9485845.0600000005</v>
      </c>
      <c r="AD27">
        <f>SUMIFS('Tenant Data'!$F$2:$F$4674,'Tenant Data'!$A$2:$A$4674,"Mall at Wellington Green",'Tenant Data'!$D$2:$D$4674,"Food &amp; Beverage",'Tenant Data'!$E$2:$E$4674,"&lt;10000")</f>
        <v>5662951.9100000001</v>
      </c>
      <c r="AE27">
        <f>SUMIFS('Tenant Data'!$F$2:$F$4674,'Tenant Data'!$A$2:$A$4674,"Mall at Wellington Green",'Tenant Data'!$D$2:$D$4674,"Restaurant",'Tenant Data'!$E$2:$E$4674,"&lt;10000")</f>
        <v>14887408.57</v>
      </c>
      <c r="AF27">
        <f>SUMIFS('Tenant Data'!$F$2:$F$4674,'Tenant Data'!$A$2:$A$4674,"Mall at Wellington Green",'Tenant Data'!$D$2:$D$4674,"Hobby &amp; Novelty",'Tenant Data'!$E$2:$E$4674,"&lt;10000")</f>
        <v>4252807.51</v>
      </c>
      <c r="AG27">
        <f>SUMIFS('Tenant Data'!$F$2:$F$4674,'Tenant Data'!$A$2:$A$4674,"Mall at Wellington Green",'Tenant Data'!$D$2:$D$4674,"Service",'Tenant Data'!$E$2:$E$4674,"&lt;10000")</f>
        <v>6058594.9500000002</v>
      </c>
      <c r="AH27">
        <f>SUMIFS('Tenant Data'!$F$2:$F$4674,'Tenant Data'!$A$2:$A$4674,"Mall at Wellington Green",'Tenant Data'!$D$2:$D$4674,"Tech",'Tenant Data'!$E$2:$E$4674,"&lt;10000")</f>
        <v>618733.62</v>
      </c>
      <c r="AI27">
        <f>SUMIFS('Tenant Data'!$F$2:$F$4674,'Tenant Data'!$A$2:$A$4674,"Mall at Wellington Green",'Tenant Data'!$D$2:$D$4674,"Major",'Tenant Data'!$E$2:$E$4674,"&lt;10000")</f>
        <v>0</v>
      </c>
      <c r="AJ27">
        <f>SUMIFS('Tenant Data'!$F$2:$F$4674,'Tenant Data'!$A$2:$A$4674,"Mall at Wellington Green",'Tenant Data'!$D$2:$D$4674,"Anchor",'Tenant Data'!$E$2:$E$4674,"&lt;10000")</f>
        <v>0</v>
      </c>
      <c r="AK27">
        <f>SUMIFS('Tenant Data'!$F$2:$F$4674,'Tenant Data'!$A$2:$A$4674,"Mall at Wellington Green",'Tenant Data'!$D$2:$D$4674,"Apple",'Tenant Data'!$E$2:$E$4674,"&lt;10000")</f>
        <v>47605208</v>
      </c>
      <c r="AL27">
        <f>SUMIFS('Tenant Data'!$E$2:$E$4674,'Tenant Data'!$A$2:$A$4674,"Mall at Wellington Green",'Tenant Data'!$D$2:$D$4674,"Apparel",'Tenant Data'!$F$2:$F$4674,"&gt;0",'Tenant Data'!$E$2:$E$4674,"&lt;10000")</f>
        <v>82974</v>
      </c>
      <c r="AM27">
        <f>SUMIFS('Tenant Data'!$E$2:$E$4674,'Tenant Data'!$A$2:$A$4674,"Mall at Wellington Green",'Tenant Data'!$D$2:$D$4674,"Shoes",'Tenant Data'!$F$2:$F$4674,"&gt;0",'Tenant Data'!$E$2:$E$4674,"&lt;10000")</f>
        <v>30837</v>
      </c>
      <c r="AN27">
        <f>SUMIFS('Tenant Data'!$E$2:$E$4674,'Tenant Data'!$A$2:$A$4674,"Mall at Wellington Green",'Tenant Data'!$D$2:$D$4674,"Jewelry",'Tenant Data'!$F$2:$F$4674,"&gt;0",'Tenant Data'!$E$2:$E$4674,"&lt;10000")</f>
        <v>13700</v>
      </c>
      <c r="AO27">
        <f>SUMIFS('Tenant Data'!$E$2:$E$4674,'Tenant Data'!$A$2:$A$4674,"Mall at Wellington Green",'Tenant Data'!$D$2:$D$4674,"Health &amp; Beauty",'Tenant Data'!$F$2:$F$4674,"&gt;0",'Tenant Data'!$E$2:$E$4674,"&lt;10000")</f>
        <v>12441</v>
      </c>
      <c r="AP27">
        <f>SUMIFS('Tenant Data'!$E$2:$E$4674,'Tenant Data'!$A$2:$A$4674,"Mall at Wellington Green",'Tenant Data'!$D$2:$D$4674,"Food &amp; Beverage",'Tenant Data'!$F$2:$F$4674,"&gt;0",'Tenant Data'!$E$2:$E$4674,"&lt;10000")</f>
        <v>7359</v>
      </c>
      <c r="AQ27">
        <f>SUMIFS('Tenant Data'!$E$2:$E$4674,'Tenant Data'!$A$2:$A$4674,"Mall at Wellington Green",'Tenant Data'!$D$2:$D$4674,"Restaurant",'Tenant Data'!$F$2:$F$4674,"&gt;0",'Tenant Data'!$E$2:$E$4674,"&lt;10000")</f>
        <v>11291</v>
      </c>
      <c r="AR27">
        <f>SUMIFS('Tenant Data'!$E$2:$E$4674,'Tenant Data'!$A$2:$A$4674,"Mall at Wellington Green",'Tenant Data'!$D$2:$D$4674,"Hobby &amp; Novelty",'Tenant Data'!$F$2:$F$4674,"&gt;0",'Tenant Data'!$E$2:$E$4674,"&lt;10000")</f>
        <v>16564</v>
      </c>
      <c r="AS27">
        <f>SUMIFS('Tenant Data'!$E$2:$E$4674,'Tenant Data'!$A$2:$A$4674,"Mall at Wellington Green",'Tenant Data'!$D$2:$D$4674,"Service",'Tenant Data'!$F$2:$F$4674,"&gt;0",'Tenant Data'!$E$2:$E$4674,"&lt;10000")</f>
        <v>21042</v>
      </c>
      <c r="AT27">
        <f>SUMIFS('Tenant Data'!$E$2:$E$4674,'Tenant Data'!$A$2:$A$4674,"Mall at Wellington Green",'Tenant Data'!$D$2:$D$4674,"Tech",'Tenant Data'!$F$2:$F$4674,"&gt;0",'Tenant Data'!$E$2:$E$4674,"&lt;10000")</f>
        <v>1781</v>
      </c>
      <c r="AU27">
        <f>SUMIFS('Tenant Data'!$E$2:$E$4674,'Tenant Data'!$A$2:$A$4674,"Mall at Wellington Green",'Tenant Data'!$D$2:$D$4674,"Major",'Tenant Data'!$F$2:$F$4674,"&gt;0",'Tenant Data'!$E$2:$E$4674,"&lt;10000")</f>
        <v>0</v>
      </c>
      <c r="AV27">
        <f>SUMIFS('Tenant Data'!$E$2:$E$4674,'Tenant Data'!$A$2:$A$4674,"Mall at Wellington Green",'Tenant Data'!$D$2:$D$4674,"Anchor",'Tenant Data'!$F$2:$F$4674,"&gt;0",'Tenant Data'!$E$2:$E$4674,"&lt;10000")</f>
        <v>0</v>
      </c>
      <c r="AW27">
        <f>SUMIFS('Tenant Data'!$E$2:$E$4674,'Tenant Data'!$A$2:$A$4674,"Mall at Wellington Green",'Tenant Data'!$D$2:$D$4674,"Apple",'Tenant Data'!$F$2:$F$4674,"&gt;0",'Tenant Data'!$E$2:$E$4674,"&lt;10000")</f>
        <v>6984</v>
      </c>
      <c r="AX27">
        <v>1</v>
      </c>
      <c r="AY27" t="str">
        <f>'Property Summary'!B27</f>
        <v>Y</v>
      </c>
      <c r="AZ27">
        <f t="shared" si="12"/>
        <v>204973</v>
      </c>
    </row>
    <row r="28" spans="1:52" x14ac:dyDescent="0.2">
      <c r="A28" t="s">
        <v>43</v>
      </c>
      <c r="B28">
        <f t="shared" si="0"/>
        <v>260.03734973986849</v>
      </c>
      <c r="C28">
        <f t="shared" si="1"/>
        <v>639.15979492767974</v>
      </c>
      <c r="D28">
        <f t="shared" si="2"/>
        <v>1042.6309348468069</v>
      </c>
      <c r="E28">
        <f t="shared" si="3"/>
        <v>544.98670766744476</v>
      </c>
      <c r="F28">
        <f t="shared" si="4"/>
        <v>1222.9330486008835</v>
      </c>
      <c r="G28">
        <f t="shared" si="5"/>
        <v>702.1110163934427</v>
      </c>
      <c r="H28">
        <f t="shared" si="6"/>
        <v>343.20958273381297</v>
      </c>
      <c r="I28">
        <f t="shared" si="7"/>
        <v>251.36407919878764</v>
      </c>
      <c r="J28" t="str">
        <f t="shared" si="8"/>
        <v/>
      </c>
      <c r="K28" t="str">
        <f t="shared" si="9"/>
        <v/>
      </c>
      <c r="L28" t="str">
        <f t="shared" si="10"/>
        <v/>
      </c>
      <c r="M28" t="str">
        <f t="shared" si="11"/>
        <v/>
      </c>
      <c r="N28">
        <f>IFERROR(SUMPRODUCT(('Tenant Data'!$A$2:$A$4674="Mall del Norte")*('Tenant Data'!$D$2:$D$4674="Apparel")*('Tenant Data'!$F$2:$F$4674&gt;0)*('Tenant Data'!$E$2:$E$4674&lt;10000)*'Tenant Data'!$J$2:$J$4674*'Tenant Data'!$E$2:$E$4674)/SUMPRODUCT(('Tenant Data'!$A$2:$A$4674="Mall del Norte")*('Tenant Data'!$D$2:$D$4674="Apparel")*('Tenant Data'!$F$2:$F$4674&gt;0)*('Tenant Data'!$E$2:$E$4674&lt;10000)*'Tenant Data'!$E$2:$E$4674),"")</f>
        <v>0.12864384035970672</v>
      </c>
      <c r="O28">
        <f>IFERROR(SUMPRODUCT(('Tenant Data'!$A$2:$A$4674="Mall del Norte")*('Tenant Data'!$D$2:$D$4674="Shoes")*('Tenant Data'!$F$2:$F$4674&gt;0)*('Tenant Data'!$E$2:$E$4674&lt;10000)*'Tenant Data'!$J$2:$J$4674*'Tenant Data'!$E$2:$E$4674)/SUMPRODUCT(('Tenant Data'!$A$2:$A$4674="Mall del Norte")*('Tenant Data'!$D$2:$D$4674="Shoes")*('Tenant Data'!$F$2:$F$4674&gt;0)*('Tenant Data'!$E$2:$E$4674&lt;10000)*'Tenant Data'!$E$2:$E$4674),"")</f>
        <v>0.1059919743274805</v>
      </c>
      <c r="P28">
        <f>IFERROR(SUMPRODUCT(('Tenant Data'!$A$2:$A$4674="Mall del Norte")*('Tenant Data'!$D$2:$D$4674="Jewelry")*('Tenant Data'!$F$2:$F$4674&gt;0)*('Tenant Data'!$E$2:$E$4674&lt;10000)*'Tenant Data'!$J$2:$J$4674*'Tenant Data'!$E$2:$E$4674)/SUMPRODUCT(('Tenant Data'!$A$2:$A$4674="Mall del Norte")*('Tenant Data'!$D$2:$D$4674="Jewelry")*('Tenant Data'!$F$2:$F$4674&gt;0)*('Tenant Data'!$E$2:$E$4674&lt;10000)*'Tenant Data'!$E$2:$E$4674),"")</f>
        <v>0.14323115831446956</v>
      </c>
      <c r="Q28">
        <f>IFERROR(SUMPRODUCT(('Tenant Data'!$A$2:$A$4674="Mall del Norte")*('Tenant Data'!$D$2:$D$4674="Health &amp; Beauty")*('Tenant Data'!$F$2:$F$4674&gt;0)*('Tenant Data'!$E$2:$E$4674&lt;10000)*'Tenant Data'!$J$2:$J$4674*'Tenant Data'!$E$2:$E$4674)/SUMPRODUCT(('Tenant Data'!$A$2:$A$4674="Mall del Norte")*('Tenant Data'!$D$2:$D$4674="Health &amp; Beauty")*('Tenant Data'!$F$2:$F$4674&gt;0)*('Tenant Data'!$E$2:$E$4674&lt;10000)*'Tenant Data'!$E$2:$E$4674),"")</f>
        <v>0.16995554925513753</v>
      </c>
      <c r="R28">
        <f>IFERROR(SUMPRODUCT(('Tenant Data'!$A$2:$A$4674="Mall del Norte")*('Tenant Data'!$D$2:$D$4674="Food &amp; Beverage")*('Tenant Data'!$F$2:$F$4674&gt;0)*('Tenant Data'!$E$2:$E$4674&lt;10000)*'Tenant Data'!$J$2:$J$4674*'Tenant Data'!$E$2:$E$4674)/SUMPRODUCT(('Tenant Data'!$A$2:$A$4674="Mall del Norte")*('Tenant Data'!$D$2:$D$4674="Food &amp; Beverage")*('Tenant Data'!$F$2:$F$4674&gt;0)*('Tenant Data'!$E$2:$E$4674&lt;10000)*'Tenant Data'!$E$2:$E$4674),"")</f>
        <v>0.15165831287159284</v>
      </c>
      <c r="S28">
        <f>IFERROR(SUMPRODUCT(('Tenant Data'!$A$2:$A$4674="Mall del Norte")*('Tenant Data'!$D$2:$D$4674="Restaurant")*('Tenant Data'!$F$2:$F$4674&gt;0)*('Tenant Data'!$E$2:$E$4674&lt;10000)*'Tenant Data'!$J$2:$J$4674*'Tenant Data'!$E$2:$E$4674)/SUMPRODUCT(('Tenant Data'!$A$2:$A$4674="Mall del Norte")*('Tenant Data'!$D$2:$D$4674="Restaurant")*('Tenant Data'!$F$2:$F$4674&gt;0)*('Tenant Data'!$E$2:$E$4674&lt;10000)*'Tenant Data'!$E$2:$E$4674),"")</f>
        <v>9.8269093245649308E-2</v>
      </c>
      <c r="T28">
        <f>IFERROR(SUMPRODUCT(('Tenant Data'!$A$2:$A$4674="Mall del Norte")*('Tenant Data'!$D$2:$D$4674="Hobby &amp; Novelty")*('Tenant Data'!$F$2:$F$4674&gt;0)*('Tenant Data'!$E$2:$E$4674&lt;10000)*'Tenant Data'!$J$2:$J$4674*'Tenant Data'!$E$2:$E$4674)/SUMPRODUCT(('Tenant Data'!$A$2:$A$4674="Mall del Norte")*('Tenant Data'!$D$2:$D$4674="Hobby &amp; Novelty")*('Tenant Data'!$F$2:$F$4674&gt;0)*('Tenant Data'!$E$2:$E$4674&lt;10000)*'Tenant Data'!$E$2:$E$4674),"")</f>
        <v>0.11409923145633728</v>
      </c>
      <c r="U28">
        <f>IFERROR(SUMPRODUCT(('Tenant Data'!$A$2:$A$4674="Mall del Norte")*('Tenant Data'!$D$2:$D$4674="Service")*('Tenant Data'!$F$2:$F$4674&gt;0)*('Tenant Data'!$E$2:$E$4674&lt;10000)*'Tenant Data'!$J$2:$J$4674*'Tenant Data'!$E$2:$E$4674)/SUMPRODUCT(('Tenant Data'!$A$2:$A$4674="Mall del Norte")*('Tenant Data'!$D$2:$D$4674="Service")*('Tenant Data'!$F$2:$F$4674&gt;0)*('Tenant Data'!$E$2:$E$4674&lt;10000)*'Tenant Data'!$E$2:$E$4674),"")</f>
        <v>0.24510764781215907</v>
      </c>
      <c r="V28" t="str">
        <f>IFERROR(SUMPRODUCT(('Tenant Data'!$A$2:$A$4674="Mall del Norte")*('Tenant Data'!$D$2:$D$4674="Tech")*('Tenant Data'!$F$2:$F$4674&gt;0)*('Tenant Data'!$E$2:$E$4674&lt;10000)*'Tenant Data'!$J$2:$J$4674*'Tenant Data'!$E$2:$E$4674)/SUMPRODUCT(('Tenant Data'!$A$2:$A$4674="Mall del Norte")*('Tenant Data'!$D$2:$D$4674="Tech")*('Tenant Data'!$F$2:$F$4674&gt;0)*('Tenant Data'!$E$2:$E$4674&lt;10000)*'Tenant Data'!$E$2:$E$4674),"")</f>
        <v/>
      </c>
      <c r="W28" t="str">
        <f>IFERROR(SUMPRODUCT(('Tenant Data'!$A$2:$A$4674="Mall del Norte")*('Tenant Data'!$D$2:$D$4674="Major")*('Tenant Data'!$F$2:$F$4674&gt;0)*('Tenant Data'!$E$2:$E$4674&lt;10000)*'Tenant Data'!$J$2:$J$4674*'Tenant Data'!$E$2:$E$4674)/SUMPRODUCT(('Tenant Data'!$A$2:$A$4674="Mall del Norte")*('Tenant Data'!$D$2:$D$4674="Major")*('Tenant Data'!$F$2:$F$4674&gt;0)*('Tenant Data'!$E$2:$E$4674&lt;10000)*'Tenant Data'!$E$2:$E$4674),"")</f>
        <v/>
      </c>
      <c r="X28" t="str">
        <f>IFERROR(SUMPRODUCT(('Tenant Data'!$A$2:$A$4674="Mall del Norte")*('Tenant Data'!$D$2:$D$4674="Anchor")*('Tenant Data'!$F$2:$F$4674&gt;0)*('Tenant Data'!$E$2:$E$4674&lt;10000)*'Tenant Data'!$J$2:$J$4674*'Tenant Data'!$E$2:$E$4674)/SUMPRODUCT(('Tenant Data'!$A$2:$A$4674="Mall del Norte")*('Tenant Data'!$D$2:$D$4674="Anchor")*('Tenant Data'!$F$2:$F$4674&gt;0)*('Tenant Data'!$E$2:$E$4674&lt;10000)*'Tenant Data'!$E$2:$E$4674),"")</f>
        <v/>
      </c>
      <c r="Y28" t="str">
        <f>IFERROR(SUMPRODUCT(('Tenant Data'!$A$2:$A$4674="Mall del Norte")*('Tenant Data'!$D$2:$D$4674="Apple")*('Tenant Data'!$F$2:$F$4674&gt;0)*('Tenant Data'!$E$2:$E$4674&lt;10000)*'Tenant Data'!$J$2:$J$4674*'Tenant Data'!$E$2:$E$4674)/SUMPRODUCT(('Tenant Data'!$A$2:$A$4674="Mall del Norte")*('Tenant Data'!$D$2:$D$4674="Apple")*('Tenant Data'!$F$2:$F$4674&gt;0)*('Tenant Data'!$E$2:$E$4674&lt;10000)*'Tenant Data'!$E$2:$E$4674),"")</f>
        <v/>
      </c>
      <c r="Z28">
        <f>SUMIFS('Tenant Data'!$F$2:$F$4674,'Tenant Data'!$A$2:$A$4674,"Mall del Norte",'Tenant Data'!$D$2:$D$4674,"Apparel",'Tenant Data'!$E$2:$E$4674,"&lt;10000")</f>
        <v>15194502.419999996</v>
      </c>
      <c r="AA28">
        <f>SUMIFS('Tenant Data'!$F$2:$F$4674,'Tenant Data'!$A$2:$A$4674,"Mall del Norte",'Tenant Data'!$D$2:$D$4674,"Shoes",'Tenant Data'!$E$2:$E$4674,"&lt;10000")</f>
        <v>12903357.939999999</v>
      </c>
      <c r="AB28">
        <f>SUMIFS('Tenant Data'!$F$2:$F$4674,'Tenant Data'!$A$2:$A$4674,"Mall del Norte",'Tenant Data'!$D$2:$D$4674,"Jewelry",'Tenant Data'!$E$2:$E$4674,"&lt;10000")</f>
        <v>11297948.810000001</v>
      </c>
      <c r="AC28">
        <f>SUMIFS('Tenant Data'!$F$2:$F$4674,'Tenant Data'!$A$2:$A$4674,"Mall del Norte",'Tenant Data'!$D$2:$D$4674,"Health &amp; Beauty",'Tenant Data'!$E$2:$E$4674,"&lt;10000")</f>
        <v>6070061.9500000002</v>
      </c>
      <c r="AD28">
        <f>SUMIFS('Tenant Data'!$F$2:$F$4674,'Tenant Data'!$A$2:$A$4674,"Mall del Norte",'Tenant Data'!$D$2:$D$4674,"Food &amp; Beverage",'Tenant Data'!$E$2:$E$4674,"&lt;10000")</f>
        <v>3321486.1599999997</v>
      </c>
      <c r="AE28">
        <f>SUMIFS('Tenant Data'!$F$2:$F$4674,'Tenant Data'!$A$2:$A$4674,"Mall del Norte",'Tenant Data'!$D$2:$D$4674,"Restaurant",'Tenant Data'!$E$2:$E$4674,"&lt;10000")</f>
        <v>12420343.880000001</v>
      </c>
      <c r="AF28">
        <f>SUMIFS('Tenant Data'!$F$2:$F$4674,'Tenant Data'!$A$2:$A$4674,"Mall del Norte",'Tenant Data'!$D$2:$D$4674,"Hobby &amp; Novelty",'Tenant Data'!$E$2:$E$4674,"&lt;10000")</f>
        <v>3339429.24</v>
      </c>
      <c r="AG28">
        <f>SUMIFS('Tenant Data'!$F$2:$F$4674,'Tenant Data'!$A$2:$A$4674,"Mall del Norte",'Tenant Data'!$D$2:$D$4674,"Service",'Tenant Data'!$E$2:$E$4674,"&lt;10000")</f>
        <v>3814952.63</v>
      </c>
      <c r="AH28">
        <f>SUMIFS('Tenant Data'!$F$2:$F$4674,'Tenant Data'!$A$2:$A$4674,"Mall del Norte",'Tenant Data'!$D$2:$D$4674,"Tech",'Tenant Data'!$E$2:$E$4674,"&lt;10000")</f>
        <v>0</v>
      </c>
      <c r="AI28">
        <f>SUMIFS('Tenant Data'!$F$2:$F$4674,'Tenant Data'!$A$2:$A$4674,"Mall del Norte",'Tenant Data'!$D$2:$D$4674,"Major",'Tenant Data'!$E$2:$E$4674,"&lt;10000")</f>
        <v>0</v>
      </c>
      <c r="AJ28">
        <f>SUMIFS('Tenant Data'!$F$2:$F$4674,'Tenant Data'!$A$2:$A$4674,"Mall del Norte",'Tenant Data'!$D$2:$D$4674,"Anchor",'Tenant Data'!$E$2:$E$4674,"&lt;10000")</f>
        <v>0</v>
      </c>
      <c r="AK28">
        <f>SUMIFS('Tenant Data'!$F$2:$F$4674,'Tenant Data'!$A$2:$A$4674,"Mall del Norte",'Tenant Data'!$D$2:$D$4674,"Apple",'Tenant Data'!$E$2:$E$4674,"&lt;10000")</f>
        <v>0</v>
      </c>
      <c r="AL28">
        <f>SUMIFS('Tenant Data'!$E$2:$E$4674,'Tenant Data'!$A$2:$A$4674,"Mall del Norte",'Tenant Data'!$D$2:$D$4674,"Apparel",'Tenant Data'!$F$2:$F$4674,"&gt;0",'Tenant Data'!$E$2:$E$4674,"&lt;10000")</f>
        <v>58432</v>
      </c>
      <c r="AM28">
        <f>SUMIFS('Tenant Data'!$E$2:$E$4674,'Tenant Data'!$A$2:$A$4674,"Mall del Norte",'Tenant Data'!$D$2:$D$4674,"Shoes",'Tenant Data'!$F$2:$F$4674,"&gt;0",'Tenant Data'!$E$2:$E$4674,"&lt;10000")</f>
        <v>20188</v>
      </c>
      <c r="AN28">
        <f>SUMIFS('Tenant Data'!$E$2:$E$4674,'Tenant Data'!$A$2:$A$4674,"Mall del Norte",'Tenant Data'!$D$2:$D$4674,"Jewelry",'Tenant Data'!$F$2:$F$4674,"&gt;0",'Tenant Data'!$E$2:$E$4674,"&lt;10000")</f>
        <v>10836</v>
      </c>
      <c r="AO28">
        <f>SUMIFS('Tenant Data'!$E$2:$E$4674,'Tenant Data'!$A$2:$A$4674,"Mall del Norte",'Tenant Data'!$D$2:$D$4674,"Health &amp; Beauty",'Tenant Data'!$F$2:$F$4674,"&gt;0",'Tenant Data'!$E$2:$E$4674,"&lt;10000")</f>
        <v>11138</v>
      </c>
      <c r="AP28">
        <f>SUMIFS('Tenant Data'!$E$2:$E$4674,'Tenant Data'!$A$2:$A$4674,"Mall del Norte",'Tenant Data'!$D$2:$D$4674,"Food &amp; Beverage",'Tenant Data'!$F$2:$F$4674,"&gt;0",'Tenant Data'!$E$2:$E$4674,"&lt;10000")</f>
        <v>2716</v>
      </c>
      <c r="AQ28">
        <f>SUMIFS('Tenant Data'!$E$2:$E$4674,'Tenant Data'!$A$2:$A$4674,"Mall del Norte",'Tenant Data'!$D$2:$D$4674,"Restaurant",'Tenant Data'!$F$2:$F$4674,"&gt;0",'Tenant Data'!$E$2:$E$4674,"&lt;10000")</f>
        <v>17690</v>
      </c>
      <c r="AR28">
        <f>SUMIFS('Tenant Data'!$E$2:$E$4674,'Tenant Data'!$A$2:$A$4674,"Mall del Norte",'Tenant Data'!$D$2:$D$4674,"Hobby &amp; Novelty",'Tenant Data'!$F$2:$F$4674,"&gt;0",'Tenant Data'!$E$2:$E$4674,"&lt;10000")</f>
        <v>9730</v>
      </c>
      <c r="AS28">
        <f>SUMIFS('Tenant Data'!$E$2:$E$4674,'Tenant Data'!$A$2:$A$4674,"Mall del Norte",'Tenant Data'!$D$2:$D$4674,"Service",'Tenant Data'!$F$2:$F$4674,"&gt;0",'Tenant Data'!$E$2:$E$4674,"&lt;10000")</f>
        <v>15177</v>
      </c>
      <c r="AT28">
        <f>SUMIFS('Tenant Data'!$E$2:$E$4674,'Tenant Data'!$A$2:$A$4674,"Mall del Norte",'Tenant Data'!$D$2:$D$4674,"Tech",'Tenant Data'!$F$2:$F$4674,"&gt;0",'Tenant Data'!$E$2:$E$4674,"&lt;10000")</f>
        <v>0</v>
      </c>
      <c r="AU28">
        <f>SUMIFS('Tenant Data'!$E$2:$E$4674,'Tenant Data'!$A$2:$A$4674,"Mall del Norte",'Tenant Data'!$D$2:$D$4674,"Major",'Tenant Data'!$F$2:$F$4674,"&gt;0",'Tenant Data'!$E$2:$E$4674,"&lt;10000")</f>
        <v>0</v>
      </c>
      <c r="AV28">
        <f>SUMIFS('Tenant Data'!$E$2:$E$4674,'Tenant Data'!$A$2:$A$4674,"Mall del Norte",'Tenant Data'!$D$2:$D$4674,"Anchor",'Tenant Data'!$F$2:$F$4674,"&gt;0",'Tenant Data'!$E$2:$E$4674,"&lt;10000")</f>
        <v>0</v>
      </c>
      <c r="AW28">
        <f>SUMIFS('Tenant Data'!$E$2:$E$4674,'Tenant Data'!$A$2:$A$4674,"Mall del Norte",'Tenant Data'!$D$2:$D$4674,"Apple",'Tenant Data'!$F$2:$F$4674,"&gt;0",'Tenant Data'!$E$2:$E$4674,"&lt;10000")</f>
        <v>0</v>
      </c>
      <c r="AX28">
        <v>1</v>
      </c>
      <c r="AY28" t="str">
        <f>'Property Summary'!B28</f>
        <v>Y</v>
      </c>
      <c r="AZ28">
        <f t="shared" si="12"/>
        <v>145907</v>
      </c>
    </row>
    <row r="29" spans="1:52" x14ac:dyDescent="0.2">
      <c r="A29" t="s">
        <v>24</v>
      </c>
      <c r="B29">
        <f t="shared" si="0"/>
        <v>384.60051871612785</v>
      </c>
      <c r="C29">
        <f t="shared" si="1"/>
        <v>413.91993782641134</v>
      </c>
      <c r="D29">
        <f t="shared" si="2"/>
        <v>1269.2207380597542</v>
      </c>
      <c r="E29">
        <f t="shared" si="3"/>
        <v>566.83628987012992</v>
      </c>
      <c r="F29">
        <f t="shared" si="4"/>
        <v>878.58873949579834</v>
      </c>
      <c r="G29">
        <f t="shared" si="5"/>
        <v>451.12136939680266</v>
      </c>
      <c r="H29">
        <f t="shared" si="6"/>
        <v>414.30366164837972</v>
      </c>
      <c r="I29">
        <f t="shared" si="7"/>
        <v>634.5098072146659</v>
      </c>
      <c r="J29" t="str">
        <f t="shared" si="8"/>
        <v/>
      </c>
      <c r="K29">
        <f t="shared" si="9"/>
        <v>804.71707600281502</v>
      </c>
      <c r="L29" t="str">
        <f t="shared" si="10"/>
        <v/>
      </c>
      <c r="M29" t="str">
        <f t="shared" si="11"/>
        <v/>
      </c>
      <c r="N29">
        <f>IFERROR(SUMPRODUCT(('Tenant Data'!$A$2:$A$4674="Mayfaire Town Center")*('Tenant Data'!$D$2:$D$4674="Apparel")*('Tenant Data'!$F$2:$F$4674&gt;0)*('Tenant Data'!$E$2:$E$4674&lt;10000)*'Tenant Data'!$J$2:$J$4674*'Tenant Data'!$E$2:$E$4674)/SUMPRODUCT(('Tenant Data'!$A$2:$A$4674="Mayfaire Town Center")*('Tenant Data'!$D$2:$D$4674="Apparel")*('Tenant Data'!$F$2:$F$4674&gt;0)*('Tenant Data'!$E$2:$E$4674&lt;10000)*'Tenant Data'!$E$2:$E$4674),"")</f>
        <v>0.11478781502759247</v>
      </c>
      <c r="O29">
        <f>IFERROR(SUMPRODUCT(('Tenant Data'!$A$2:$A$4674="Mayfaire Town Center")*('Tenant Data'!$D$2:$D$4674="Shoes")*('Tenant Data'!$F$2:$F$4674&gt;0)*('Tenant Data'!$E$2:$E$4674&lt;10000)*'Tenant Data'!$J$2:$J$4674*'Tenant Data'!$E$2:$E$4674)/SUMPRODUCT(('Tenant Data'!$A$2:$A$4674="Mayfaire Town Center")*('Tenant Data'!$D$2:$D$4674="Shoes")*('Tenant Data'!$F$2:$F$4674&gt;0)*('Tenant Data'!$E$2:$E$4674&lt;10000)*'Tenant Data'!$E$2:$E$4674),"")</f>
        <v>9.0124079046820349E-2</v>
      </c>
      <c r="P29">
        <f>IFERROR(SUMPRODUCT(('Tenant Data'!$A$2:$A$4674="Mayfaire Town Center")*('Tenant Data'!$D$2:$D$4674="Jewelry")*('Tenant Data'!$F$2:$F$4674&gt;0)*('Tenant Data'!$E$2:$E$4674&lt;10000)*'Tenant Data'!$J$2:$J$4674*'Tenant Data'!$E$2:$E$4674)/SUMPRODUCT(('Tenant Data'!$A$2:$A$4674="Mayfaire Town Center")*('Tenant Data'!$D$2:$D$4674="Jewelry")*('Tenant Data'!$F$2:$F$4674&gt;0)*('Tenant Data'!$E$2:$E$4674&lt;10000)*'Tenant Data'!$E$2:$E$4674),"")</f>
        <v>8.3805917004906846E-2</v>
      </c>
      <c r="Q29">
        <f>IFERROR(SUMPRODUCT(('Tenant Data'!$A$2:$A$4674="Mayfaire Town Center")*('Tenant Data'!$D$2:$D$4674="Health &amp; Beauty")*('Tenant Data'!$F$2:$F$4674&gt;0)*('Tenant Data'!$E$2:$E$4674&lt;10000)*'Tenant Data'!$J$2:$J$4674*'Tenant Data'!$E$2:$E$4674)/SUMPRODUCT(('Tenant Data'!$A$2:$A$4674="Mayfaire Town Center")*('Tenant Data'!$D$2:$D$4674="Health &amp; Beauty")*('Tenant Data'!$F$2:$F$4674&gt;0)*('Tenant Data'!$E$2:$E$4674&lt;10000)*'Tenant Data'!$E$2:$E$4674),"")</f>
        <v>0.20973136597967448</v>
      </c>
      <c r="R29">
        <f>IFERROR(SUMPRODUCT(('Tenant Data'!$A$2:$A$4674="Mayfaire Town Center")*('Tenant Data'!$D$2:$D$4674="Food &amp; Beverage")*('Tenant Data'!$F$2:$F$4674&gt;0)*('Tenant Data'!$E$2:$E$4674&lt;10000)*'Tenant Data'!$J$2:$J$4674*'Tenant Data'!$E$2:$E$4674)/SUMPRODUCT(('Tenant Data'!$A$2:$A$4674="Mayfaire Town Center")*('Tenant Data'!$D$2:$D$4674="Food &amp; Beverage")*('Tenant Data'!$F$2:$F$4674&gt;0)*('Tenant Data'!$E$2:$E$4674&lt;10000)*'Tenant Data'!$E$2:$E$4674),"")</f>
        <v>6.8797863715793398E-2</v>
      </c>
      <c r="S29">
        <f>IFERROR(SUMPRODUCT(('Tenant Data'!$A$2:$A$4674="Mayfaire Town Center")*('Tenant Data'!$D$2:$D$4674="Restaurant")*('Tenant Data'!$F$2:$F$4674&gt;0)*('Tenant Data'!$E$2:$E$4674&lt;10000)*'Tenant Data'!$J$2:$J$4674*'Tenant Data'!$E$2:$E$4674)/SUMPRODUCT(('Tenant Data'!$A$2:$A$4674="Mayfaire Town Center")*('Tenant Data'!$D$2:$D$4674="Restaurant")*('Tenant Data'!$F$2:$F$4674&gt;0)*('Tenant Data'!$E$2:$E$4674&lt;10000)*'Tenant Data'!$E$2:$E$4674),"")</f>
        <v>9.8049581298977159E-2</v>
      </c>
      <c r="T29">
        <f>IFERROR(SUMPRODUCT(('Tenant Data'!$A$2:$A$4674="Mayfaire Town Center")*('Tenant Data'!$D$2:$D$4674="Hobby &amp; Novelty")*('Tenant Data'!$F$2:$F$4674&gt;0)*('Tenant Data'!$E$2:$E$4674&lt;10000)*'Tenant Data'!$J$2:$J$4674*'Tenant Data'!$E$2:$E$4674)/SUMPRODUCT(('Tenant Data'!$A$2:$A$4674="Mayfaire Town Center")*('Tenant Data'!$D$2:$D$4674="Hobby &amp; Novelty")*('Tenant Data'!$F$2:$F$4674&gt;0)*('Tenant Data'!$E$2:$E$4674&lt;10000)*'Tenant Data'!$E$2:$E$4674),"")</f>
        <v>0.16994029515664172</v>
      </c>
      <c r="U29">
        <f>IFERROR(SUMPRODUCT(('Tenant Data'!$A$2:$A$4674="Mayfaire Town Center")*('Tenant Data'!$D$2:$D$4674="Service")*('Tenant Data'!$F$2:$F$4674&gt;0)*('Tenant Data'!$E$2:$E$4674&lt;10000)*'Tenant Data'!$J$2:$J$4674*'Tenant Data'!$E$2:$E$4674)/SUMPRODUCT(('Tenant Data'!$A$2:$A$4674="Mayfaire Town Center")*('Tenant Data'!$D$2:$D$4674="Service")*('Tenant Data'!$F$2:$F$4674&gt;0)*('Tenant Data'!$E$2:$E$4674&lt;10000)*'Tenant Data'!$E$2:$E$4674),"")</f>
        <v>5.3879519001029427E-2</v>
      </c>
      <c r="V29" t="str">
        <f>IFERROR(SUMPRODUCT(('Tenant Data'!$A$2:$A$4674="Mayfaire Town Center")*('Tenant Data'!$D$2:$D$4674="Tech")*('Tenant Data'!$F$2:$F$4674&gt;0)*('Tenant Data'!$E$2:$E$4674&lt;10000)*'Tenant Data'!$J$2:$J$4674*'Tenant Data'!$E$2:$E$4674)/SUMPRODUCT(('Tenant Data'!$A$2:$A$4674="Mayfaire Town Center")*('Tenant Data'!$D$2:$D$4674="Tech")*('Tenant Data'!$F$2:$F$4674&gt;0)*('Tenant Data'!$E$2:$E$4674&lt;10000)*'Tenant Data'!$E$2:$E$4674),"")</f>
        <v/>
      </c>
      <c r="W29">
        <f>IFERROR(SUMPRODUCT(('Tenant Data'!$A$2:$A$4674="Mayfaire Town Center")*('Tenant Data'!$D$2:$D$4674="Major")*('Tenant Data'!$F$2:$F$4674&gt;0)*('Tenant Data'!$E$2:$E$4674&lt;10000)*'Tenant Data'!$J$2:$J$4674*'Tenant Data'!$E$2:$E$4674)/SUMPRODUCT(('Tenant Data'!$A$2:$A$4674="Mayfaire Town Center")*('Tenant Data'!$D$2:$D$4674="Major")*('Tenant Data'!$F$2:$F$4674&gt;0)*('Tenant Data'!$E$2:$E$4674&lt;10000)*'Tenant Data'!$E$2:$E$4674),"")</f>
        <v>0.11093133545132522</v>
      </c>
      <c r="X29" t="str">
        <f>IFERROR(SUMPRODUCT(('Tenant Data'!$A$2:$A$4674="Mayfaire Town Center")*('Tenant Data'!$D$2:$D$4674="Anchor")*('Tenant Data'!$F$2:$F$4674&gt;0)*('Tenant Data'!$E$2:$E$4674&lt;10000)*'Tenant Data'!$J$2:$J$4674*'Tenant Data'!$E$2:$E$4674)/SUMPRODUCT(('Tenant Data'!$A$2:$A$4674="Mayfaire Town Center")*('Tenant Data'!$D$2:$D$4674="Anchor")*('Tenant Data'!$F$2:$F$4674&gt;0)*('Tenant Data'!$E$2:$E$4674&lt;10000)*'Tenant Data'!$E$2:$E$4674),"")</f>
        <v/>
      </c>
      <c r="Y29" t="str">
        <f>IFERROR(SUMPRODUCT(('Tenant Data'!$A$2:$A$4674="Mayfaire Town Center")*('Tenant Data'!$D$2:$D$4674="Apple")*('Tenant Data'!$F$2:$F$4674&gt;0)*('Tenant Data'!$E$2:$E$4674&lt;10000)*'Tenant Data'!$J$2:$J$4674*'Tenant Data'!$E$2:$E$4674)/SUMPRODUCT(('Tenant Data'!$A$2:$A$4674="Mayfaire Town Center")*('Tenant Data'!$D$2:$D$4674="Apple")*('Tenant Data'!$F$2:$F$4674&gt;0)*('Tenant Data'!$E$2:$E$4674&lt;10000)*'Tenant Data'!$E$2:$E$4674),"")</f>
        <v/>
      </c>
      <c r="Z29">
        <f>SUMIFS('Tenant Data'!$F$2:$F$4674,'Tenant Data'!$A$2:$A$4674,"Mayfaire Town Center",'Tenant Data'!$D$2:$D$4674,"Apparel",'Tenant Data'!$E$2:$E$4674,"&lt;10000")</f>
        <v>50314593.659999996</v>
      </c>
      <c r="AA29">
        <f>SUMIFS('Tenant Data'!$F$2:$F$4674,'Tenant Data'!$A$2:$A$4674,"Mayfaire Town Center",'Tenant Data'!$D$2:$D$4674,"Shoes",'Tenant Data'!$E$2:$E$4674,"&lt;10000")</f>
        <v>1664372.07</v>
      </c>
      <c r="AB29">
        <f>SUMIFS('Tenant Data'!$F$2:$F$4674,'Tenant Data'!$A$2:$A$4674,"Mayfaire Town Center",'Tenant Data'!$D$2:$D$4674,"Jewelry",'Tenant Data'!$E$2:$E$4674,"&lt;10000")</f>
        <v>17884589.419999998</v>
      </c>
      <c r="AC29">
        <f>SUMIFS('Tenant Data'!$F$2:$F$4674,'Tenant Data'!$A$2:$A$4674,"Mayfaire Town Center",'Tenant Data'!$D$2:$D$4674,"Health &amp; Beauty",'Tenant Data'!$E$2:$E$4674,"&lt;10000")</f>
        <v>5455799.29</v>
      </c>
      <c r="AD29">
        <f>SUMIFS('Tenant Data'!$F$2:$F$4674,'Tenant Data'!$A$2:$A$4674,"Mayfaire Town Center",'Tenant Data'!$D$2:$D$4674,"Food &amp; Beverage",'Tenant Data'!$E$2:$E$4674,"&lt;10000")</f>
        <v>1777385.02</v>
      </c>
      <c r="AE29">
        <f>SUMIFS('Tenant Data'!$F$2:$F$4674,'Tenant Data'!$A$2:$A$4674,"Mayfaire Town Center",'Tenant Data'!$D$2:$D$4674,"Restaurant",'Tenant Data'!$E$2:$E$4674,"&lt;10000")</f>
        <v>10073991.300000001</v>
      </c>
      <c r="AF29">
        <f>SUMIFS('Tenant Data'!$F$2:$F$4674,'Tenant Data'!$A$2:$A$4674,"Mayfaire Town Center",'Tenant Data'!$D$2:$D$4674,"Hobby &amp; Novelty",'Tenant Data'!$E$2:$E$4674,"&lt;10000")</f>
        <v>4870968.1500000004</v>
      </c>
      <c r="AG29">
        <f>SUMIFS('Tenant Data'!$F$2:$F$4674,'Tenant Data'!$A$2:$A$4674,"Mayfaire Town Center",'Tenant Data'!$D$2:$D$4674,"Service",'Tenant Data'!$E$2:$E$4674,"&lt;10000")</f>
        <v>5364780.42</v>
      </c>
      <c r="AH29">
        <f>SUMIFS('Tenant Data'!$F$2:$F$4674,'Tenant Data'!$A$2:$A$4674,"Mayfaire Town Center",'Tenant Data'!$D$2:$D$4674,"Tech",'Tenant Data'!$E$2:$E$4674,"&lt;10000")</f>
        <v>0</v>
      </c>
      <c r="AI29">
        <f>SUMIFS('Tenant Data'!$F$2:$F$4674,'Tenant Data'!$A$2:$A$4674,"Mayfaire Town Center",'Tenant Data'!$D$2:$D$4674,"Major",'Tenant Data'!$E$2:$E$4674,"&lt;10000")</f>
        <v>2287005.9300000002</v>
      </c>
      <c r="AJ29">
        <f>SUMIFS('Tenant Data'!$F$2:$F$4674,'Tenant Data'!$A$2:$A$4674,"Mayfaire Town Center",'Tenant Data'!$D$2:$D$4674,"Anchor",'Tenant Data'!$E$2:$E$4674,"&lt;10000")</f>
        <v>0</v>
      </c>
      <c r="AK29">
        <f>SUMIFS('Tenant Data'!$F$2:$F$4674,'Tenant Data'!$A$2:$A$4674,"Mayfaire Town Center",'Tenant Data'!$D$2:$D$4674,"Apple",'Tenant Data'!$E$2:$E$4674,"&lt;10000")</f>
        <v>0</v>
      </c>
      <c r="AL29">
        <f>SUMIFS('Tenant Data'!$E$2:$E$4674,'Tenant Data'!$A$2:$A$4674,"Mayfaire Town Center",'Tenant Data'!$D$2:$D$4674,"Apparel",'Tenant Data'!$F$2:$F$4674,"&gt;0",'Tenant Data'!$E$2:$E$4674,"&lt;10000")</f>
        <v>130823</v>
      </c>
      <c r="AM29">
        <f>SUMIFS('Tenant Data'!$E$2:$E$4674,'Tenant Data'!$A$2:$A$4674,"Mayfaire Town Center",'Tenant Data'!$D$2:$D$4674,"Shoes",'Tenant Data'!$F$2:$F$4674,"&gt;0",'Tenant Data'!$E$2:$E$4674,"&lt;10000")</f>
        <v>4021</v>
      </c>
      <c r="AN29">
        <f>SUMIFS('Tenant Data'!$E$2:$E$4674,'Tenant Data'!$A$2:$A$4674,"Mayfaire Town Center",'Tenant Data'!$D$2:$D$4674,"Jewelry",'Tenant Data'!$F$2:$F$4674,"&gt;0",'Tenant Data'!$E$2:$E$4674,"&lt;10000")</f>
        <v>14091</v>
      </c>
      <c r="AO29">
        <f>SUMIFS('Tenant Data'!$E$2:$E$4674,'Tenant Data'!$A$2:$A$4674,"Mayfaire Town Center",'Tenant Data'!$D$2:$D$4674,"Health &amp; Beauty",'Tenant Data'!$F$2:$F$4674,"&gt;0",'Tenant Data'!$E$2:$E$4674,"&lt;10000")</f>
        <v>9625</v>
      </c>
      <c r="AP29">
        <f>SUMIFS('Tenant Data'!$E$2:$E$4674,'Tenant Data'!$A$2:$A$4674,"Mayfaire Town Center",'Tenant Data'!$D$2:$D$4674,"Food &amp; Beverage",'Tenant Data'!$F$2:$F$4674,"&gt;0",'Tenant Data'!$E$2:$E$4674,"&lt;10000")</f>
        <v>2023</v>
      </c>
      <c r="AQ29">
        <f>SUMIFS('Tenant Data'!$E$2:$E$4674,'Tenant Data'!$A$2:$A$4674,"Mayfaire Town Center",'Tenant Data'!$D$2:$D$4674,"Restaurant",'Tenant Data'!$F$2:$F$4674,"&gt;0",'Tenant Data'!$E$2:$E$4674,"&lt;10000")</f>
        <v>22331</v>
      </c>
      <c r="AR29">
        <f>SUMIFS('Tenant Data'!$E$2:$E$4674,'Tenant Data'!$A$2:$A$4674,"Mayfaire Town Center",'Tenant Data'!$D$2:$D$4674,"Hobby &amp; Novelty",'Tenant Data'!$F$2:$F$4674,"&gt;0",'Tenant Data'!$E$2:$E$4674,"&lt;10000")</f>
        <v>11757</v>
      </c>
      <c r="AS29">
        <f>SUMIFS('Tenant Data'!$E$2:$E$4674,'Tenant Data'!$A$2:$A$4674,"Mayfaire Town Center",'Tenant Data'!$D$2:$D$4674,"Service",'Tenant Data'!$F$2:$F$4674,"&gt;0",'Tenant Data'!$E$2:$E$4674,"&lt;10000")</f>
        <v>8455</v>
      </c>
      <c r="AT29">
        <f>SUMIFS('Tenant Data'!$E$2:$E$4674,'Tenant Data'!$A$2:$A$4674,"Mayfaire Town Center",'Tenant Data'!$D$2:$D$4674,"Tech",'Tenant Data'!$F$2:$F$4674,"&gt;0",'Tenant Data'!$E$2:$E$4674,"&lt;10000")</f>
        <v>0</v>
      </c>
      <c r="AU29">
        <f>SUMIFS('Tenant Data'!$E$2:$E$4674,'Tenant Data'!$A$2:$A$4674,"Mayfaire Town Center",'Tenant Data'!$D$2:$D$4674,"Major",'Tenant Data'!$F$2:$F$4674,"&gt;0",'Tenant Data'!$E$2:$E$4674,"&lt;10000")</f>
        <v>2842</v>
      </c>
      <c r="AV29">
        <f>SUMIFS('Tenant Data'!$E$2:$E$4674,'Tenant Data'!$A$2:$A$4674,"Mayfaire Town Center",'Tenant Data'!$D$2:$D$4674,"Anchor",'Tenant Data'!$F$2:$F$4674,"&gt;0",'Tenant Data'!$E$2:$E$4674,"&lt;10000")</f>
        <v>0</v>
      </c>
      <c r="AW29">
        <f>SUMIFS('Tenant Data'!$E$2:$E$4674,'Tenant Data'!$A$2:$A$4674,"Mayfaire Town Center",'Tenant Data'!$D$2:$D$4674,"Apple",'Tenant Data'!$F$2:$F$4674,"&gt;0",'Tenant Data'!$E$2:$E$4674,"&lt;10000")</f>
        <v>0</v>
      </c>
      <c r="AX29">
        <v>0</v>
      </c>
      <c r="AY29" t="str">
        <f>'Property Summary'!B29</f>
        <v>Y</v>
      </c>
      <c r="AZ29">
        <f t="shared" si="12"/>
        <v>205968</v>
      </c>
    </row>
    <row r="30" spans="1:52" x14ac:dyDescent="0.2">
      <c r="A30" t="s">
        <v>27</v>
      </c>
      <c r="B30">
        <f t="shared" si="0"/>
        <v>344.03691615788119</v>
      </c>
      <c r="C30">
        <f t="shared" si="1"/>
        <v>398.82627846138939</v>
      </c>
      <c r="D30">
        <f t="shared" si="2"/>
        <v>975.53769139966266</v>
      </c>
      <c r="E30">
        <f t="shared" si="3"/>
        <v>456.40852702702705</v>
      </c>
      <c r="F30">
        <f t="shared" si="4"/>
        <v>420.32775516693164</v>
      </c>
      <c r="G30">
        <f t="shared" si="5"/>
        <v>692.02499387004502</v>
      </c>
      <c r="H30">
        <f t="shared" si="6"/>
        <v>205.46046399902701</v>
      </c>
      <c r="I30">
        <f t="shared" si="7"/>
        <v>544.7116028827038</v>
      </c>
      <c r="J30">
        <f t="shared" si="8"/>
        <v>204.33168889947595</v>
      </c>
      <c r="K30" t="str">
        <f t="shared" si="9"/>
        <v/>
      </c>
      <c r="L30" t="str">
        <f t="shared" si="10"/>
        <v/>
      </c>
      <c r="M30" t="str">
        <f t="shared" si="11"/>
        <v/>
      </c>
      <c r="N30">
        <f>IFERROR(SUMPRODUCT(('Tenant Data'!$A$2:$A$4674="Mesa Mall")*('Tenant Data'!$D$2:$D$4674="Apparel")*('Tenant Data'!$F$2:$F$4674&gt;0)*('Tenant Data'!$E$2:$E$4674&lt;10000)*'Tenant Data'!$J$2:$J$4674*'Tenant Data'!$E$2:$E$4674)/SUMPRODUCT(('Tenant Data'!$A$2:$A$4674="Mesa Mall")*('Tenant Data'!$D$2:$D$4674="Apparel")*('Tenant Data'!$F$2:$F$4674&gt;0)*('Tenant Data'!$E$2:$E$4674&lt;10000)*'Tenant Data'!$E$2:$E$4674),"")</f>
        <v>0.10501417504106443</v>
      </c>
      <c r="O30">
        <f>IFERROR(SUMPRODUCT(('Tenant Data'!$A$2:$A$4674="Mesa Mall")*('Tenant Data'!$D$2:$D$4674="Shoes")*('Tenant Data'!$F$2:$F$4674&gt;0)*('Tenant Data'!$E$2:$E$4674&lt;10000)*'Tenant Data'!$J$2:$J$4674*'Tenant Data'!$E$2:$E$4674)/SUMPRODUCT(('Tenant Data'!$A$2:$A$4674="Mesa Mall")*('Tenant Data'!$D$2:$D$4674="Shoes")*('Tenant Data'!$F$2:$F$4674&gt;0)*('Tenant Data'!$E$2:$E$4674&lt;10000)*'Tenant Data'!$E$2:$E$4674),"")</f>
        <v>9.9304740217673756E-2</v>
      </c>
      <c r="P30">
        <f>IFERROR(SUMPRODUCT(('Tenant Data'!$A$2:$A$4674="Mesa Mall")*('Tenant Data'!$D$2:$D$4674="Jewelry")*('Tenant Data'!$F$2:$F$4674&gt;0)*('Tenant Data'!$E$2:$E$4674&lt;10000)*'Tenant Data'!$J$2:$J$4674*'Tenant Data'!$E$2:$E$4674)/SUMPRODUCT(('Tenant Data'!$A$2:$A$4674="Mesa Mall")*('Tenant Data'!$D$2:$D$4674="Jewelry")*('Tenant Data'!$F$2:$F$4674&gt;0)*('Tenant Data'!$E$2:$E$4674&lt;10000)*'Tenant Data'!$E$2:$E$4674),"")</f>
        <v>0.10598787076615014</v>
      </c>
      <c r="Q30">
        <f>IFERROR(SUMPRODUCT(('Tenant Data'!$A$2:$A$4674="Mesa Mall")*('Tenant Data'!$D$2:$D$4674="Health &amp; Beauty")*('Tenant Data'!$F$2:$F$4674&gt;0)*('Tenant Data'!$E$2:$E$4674&lt;10000)*'Tenant Data'!$J$2:$J$4674*'Tenant Data'!$E$2:$E$4674)/SUMPRODUCT(('Tenant Data'!$A$2:$A$4674="Mesa Mall")*('Tenant Data'!$D$2:$D$4674="Health &amp; Beauty")*('Tenant Data'!$F$2:$F$4674&gt;0)*('Tenant Data'!$E$2:$E$4674&lt;10000)*'Tenant Data'!$E$2:$E$4674),"")</f>
        <v>0.16271117069316576</v>
      </c>
      <c r="R30">
        <f>IFERROR(SUMPRODUCT(('Tenant Data'!$A$2:$A$4674="Mesa Mall")*('Tenant Data'!$D$2:$D$4674="Food &amp; Beverage")*('Tenant Data'!$F$2:$F$4674&gt;0)*('Tenant Data'!$E$2:$E$4674&lt;10000)*'Tenant Data'!$J$2:$J$4674*'Tenant Data'!$E$2:$E$4674)/SUMPRODUCT(('Tenant Data'!$A$2:$A$4674="Mesa Mall")*('Tenant Data'!$D$2:$D$4674="Food &amp; Beverage")*('Tenant Data'!$F$2:$F$4674&gt;0)*('Tenant Data'!$E$2:$E$4674&lt;10000)*'Tenant Data'!$E$2:$E$4674),"")</f>
        <v>0.17172717550937841</v>
      </c>
      <c r="S30">
        <f>IFERROR(SUMPRODUCT(('Tenant Data'!$A$2:$A$4674="Mesa Mall")*('Tenant Data'!$D$2:$D$4674="Restaurant")*('Tenant Data'!$F$2:$F$4674&gt;0)*('Tenant Data'!$E$2:$E$4674&lt;10000)*'Tenant Data'!$J$2:$J$4674*'Tenant Data'!$E$2:$E$4674)/SUMPRODUCT(('Tenant Data'!$A$2:$A$4674="Mesa Mall")*('Tenant Data'!$D$2:$D$4674="Restaurant")*('Tenant Data'!$F$2:$F$4674&gt;0)*('Tenant Data'!$E$2:$E$4674&lt;10000)*'Tenant Data'!$E$2:$E$4674),"")</f>
        <v>0.15041093507956724</v>
      </c>
      <c r="T30">
        <f>IFERROR(SUMPRODUCT(('Tenant Data'!$A$2:$A$4674="Mesa Mall")*('Tenant Data'!$D$2:$D$4674="Hobby &amp; Novelty")*('Tenant Data'!$F$2:$F$4674&gt;0)*('Tenant Data'!$E$2:$E$4674&lt;10000)*'Tenant Data'!$J$2:$J$4674*'Tenant Data'!$E$2:$E$4674)/SUMPRODUCT(('Tenant Data'!$A$2:$A$4674="Mesa Mall")*('Tenant Data'!$D$2:$D$4674="Hobby &amp; Novelty")*('Tenant Data'!$F$2:$F$4674&gt;0)*('Tenant Data'!$E$2:$E$4674&lt;10000)*'Tenant Data'!$E$2:$E$4674),"")</f>
        <v>0.15047098768104336</v>
      </c>
      <c r="U30">
        <f>IFERROR(SUMPRODUCT(('Tenant Data'!$A$2:$A$4674="Mesa Mall")*('Tenant Data'!$D$2:$D$4674="Service")*('Tenant Data'!$F$2:$F$4674&gt;0)*('Tenant Data'!$E$2:$E$4674&lt;10000)*'Tenant Data'!$J$2:$J$4674*'Tenant Data'!$E$2:$E$4674)/SUMPRODUCT(('Tenant Data'!$A$2:$A$4674="Mesa Mall")*('Tenant Data'!$D$2:$D$4674="Service")*('Tenant Data'!$F$2:$F$4674&gt;0)*('Tenant Data'!$E$2:$E$4674&lt;10000)*'Tenant Data'!$E$2:$E$4674),"")</f>
        <v>0.1719899596436458</v>
      </c>
      <c r="V30">
        <f>IFERROR(SUMPRODUCT(('Tenant Data'!$A$2:$A$4674="Mesa Mall")*('Tenant Data'!$D$2:$D$4674="Tech")*('Tenant Data'!$F$2:$F$4674&gt;0)*('Tenant Data'!$E$2:$E$4674&lt;10000)*'Tenant Data'!$J$2:$J$4674*'Tenant Data'!$E$2:$E$4674)/SUMPRODUCT(('Tenant Data'!$A$2:$A$4674="Mesa Mall")*('Tenant Data'!$D$2:$D$4674="Tech")*('Tenant Data'!$F$2:$F$4674&gt;0)*('Tenant Data'!$E$2:$E$4674&lt;10000)*'Tenant Data'!$E$2:$E$4674),"")</f>
        <v>9.260865189633713E-2</v>
      </c>
      <c r="W30" t="str">
        <f>IFERROR(SUMPRODUCT(('Tenant Data'!$A$2:$A$4674="Mesa Mall")*('Tenant Data'!$D$2:$D$4674="Major")*('Tenant Data'!$F$2:$F$4674&gt;0)*('Tenant Data'!$E$2:$E$4674&lt;10000)*'Tenant Data'!$J$2:$J$4674*'Tenant Data'!$E$2:$E$4674)/SUMPRODUCT(('Tenant Data'!$A$2:$A$4674="Mesa Mall")*('Tenant Data'!$D$2:$D$4674="Major")*('Tenant Data'!$F$2:$F$4674&gt;0)*('Tenant Data'!$E$2:$E$4674&lt;10000)*'Tenant Data'!$E$2:$E$4674),"")</f>
        <v/>
      </c>
      <c r="X30" t="str">
        <f>IFERROR(SUMPRODUCT(('Tenant Data'!$A$2:$A$4674="Mesa Mall")*('Tenant Data'!$D$2:$D$4674="Anchor")*('Tenant Data'!$F$2:$F$4674&gt;0)*('Tenant Data'!$E$2:$E$4674&lt;10000)*'Tenant Data'!$J$2:$J$4674*'Tenant Data'!$E$2:$E$4674)/SUMPRODUCT(('Tenant Data'!$A$2:$A$4674="Mesa Mall")*('Tenant Data'!$D$2:$D$4674="Anchor")*('Tenant Data'!$F$2:$F$4674&gt;0)*('Tenant Data'!$E$2:$E$4674&lt;10000)*'Tenant Data'!$E$2:$E$4674),"")</f>
        <v/>
      </c>
      <c r="Y30" t="str">
        <f>IFERROR(SUMPRODUCT(('Tenant Data'!$A$2:$A$4674="Mesa Mall")*('Tenant Data'!$D$2:$D$4674="Apple")*('Tenant Data'!$F$2:$F$4674&gt;0)*('Tenant Data'!$E$2:$E$4674&lt;10000)*'Tenant Data'!$J$2:$J$4674*'Tenant Data'!$E$2:$E$4674)/SUMPRODUCT(('Tenant Data'!$A$2:$A$4674="Mesa Mall")*('Tenant Data'!$D$2:$D$4674="Apple")*('Tenant Data'!$F$2:$F$4674&gt;0)*('Tenant Data'!$E$2:$E$4674&lt;10000)*'Tenant Data'!$E$2:$E$4674),"")</f>
        <v/>
      </c>
      <c r="Z30">
        <f>SUMIFS('Tenant Data'!$F$2:$F$4674,'Tenant Data'!$A$2:$A$4674,"Mesa Mall",'Tenant Data'!$D$2:$D$4674,"Apparel",'Tenant Data'!$E$2:$E$4674,"&lt;10000")</f>
        <v>20004026.490000002</v>
      </c>
      <c r="AA30">
        <f>SUMIFS('Tenant Data'!$F$2:$F$4674,'Tenant Data'!$A$2:$A$4674,"Mesa Mall",'Tenant Data'!$D$2:$D$4674,"Shoes",'Tenant Data'!$E$2:$E$4674,"&lt;10000")</f>
        <v>8232572.04</v>
      </c>
      <c r="AB30">
        <f>SUMIFS('Tenant Data'!$F$2:$F$4674,'Tenant Data'!$A$2:$A$4674,"Mesa Mall",'Tenant Data'!$D$2:$D$4674,"Jewelry",'Tenant Data'!$E$2:$E$4674,"&lt;10000")</f>
        <v>5784938.5099999998</v>
      </c>
      <c r="AC30">
        <f>SUMIFS('Tenant Data'!$F$2:$F$4674,'Tenant Data'!$A$2:$A$4674,"Mesa Mall",'Tenant Data'!$D$2:$D$4674,"Health &amp; Beauty",'Tenant Data'!$E$2:$E$4674,"&lt;10000")</f>
        <v>4390650.03</v>
      </c>
      <c r="AD30">
        <f>SUMIFS('Tenant Data'!$F$2:$F$4674,'Tenant Data'!$A$2:$A$4674,"Mesa Mall",'Tenant Data'!$D$2:$D$4674,"Food &amp; Beverage",'Tenant Data'!$E$2:$E$4674,"&lt;10000")</f>
        <v>1321930.79</v>
      </c>
      <c r="AE30">
        <f>SUMIFS('Tenant Data'!$F$2:$F$4674,'Tenant Data'!$A$2:$A$4674,"Mesa Mall",'Tenant Data'!$D$2:$D$4674,"Restaurant",'Tenant Data'!$E$2:$E$4674,"&lt;10000")</f>
        <v>1693385.1600000001</v>
      </c>
      <c r="AF30">
        <f>SUMIFS('Tenant Data'!$F$2:$F$4674,'Tenant Data'!$A$2:$A$4674,"Mesa Mall",'Tenant Data'!$D$2:$D$4674,"Hobby &amp; Novelty",'Tenant Data'!$E$2:$E$4674,"&lt;10000")</f>
        <v>3378591.87</v>
      </c>
      <c r="AG30">
        <f>SUMIFS('Tenant Data'!$F$2:$F$4674,'Tenant Data'!$A$2:$A$4674,"Mesa Mall",'Tenant Data'!$D$2:$D$4674,"Service",'Tenant Data'!$E$2:$E$4674,"&lt;10000")</f>
        <v>2191919.4900000002</v>
      </c>
      <c r="AH30">
        <f>SUMIFS('Tenant Data'!$F$2:$F$4674,'Tenant Data'!$A$2:$A$4674,"Mesa Mall",'Tenant Data'!$D$2:$D$4674,"Tech",'Tenant Data'!$E$2:$E$4674,"&lt;10000")</f>
        <v>857784.43</v>
      </c>
      <c r="AI30">
        <f>SUMIFS('Tenant Data'!$F$2:$F$4674,'Tenant Data'!$A$2:$A$4674,"Mesa Mall",'Tenant Data'!$D$2:$D$4674,"Major",'Tenant Data'!$E$2:$E$4674,"&lt;10000")</f>
        <v>0</v>
      </c>
      <c r="AJ30">
        <f>SUMIFS('Tenant Data'!$F$2:$F$4674,'Tenant Data'!$A$2:$A$4674,"Mesa Mall",'Tenant Data'!$D$2:$D$4674,"Anchor",'Tenant Data'!$E$2:$E$4674,"&lt;10000")</f>
        <v>0</v>
      </c>
      <c r="AK30">
        <f>SUMIFS('Tenant Data'!$F$2:$F$4674,'Tenant Data'!$A$2:$A$4674,"Mesa Mall",'Tenant Data'!$D$2:$D$4674,"Apple",'Tenant Data'!$E$2:$E$4674,"&lt;10000")</f>
        <v>0</v>
      </c>
      <c r="AL30">
        <f>SUMIFS('Tenant Data'!$E$2:$E$4674,'Tenant Data'!$A$2:$A$4674,"Mesa Mall",'Tenant Data'!$D$2:$D$4674,"Apparel",'Tenant Data'!$F$2:$F$4674,"&gt;0",'Tenant Data'!$E$2:$E$4674,"&lt;10000")</f>
        <v>58145</v>
      </c>
      <c r="AM30">
        <f>SUMIFS('Tenant Data'!$E$2:$E$4674,'Tenant Data'!$A$2:$A$4674,"Mesa Mall",'Tenant Data'!$D$2:$D$4674,"Shoes",'Tenant Data'!$F$2:$F$4674,"&gt;0",'Tenant Data'!$E$2:$E$4674,"&lt;10000")</f>
        <v>20642</v>
      </c>
      <c r="AN30">
        <f>SUMIFS('Tenant Data'!$E$2:$E$4674,'Tenant Data'!$A$2:$A$4674,"Mesa Mall",'Tenant Data'!$D$2:$D$4674,"Jewelry",'Tenant Data'!$F$2:$F$4674,"&gt;0",'Tenant Data'!$E$2:$E$4674,"&lt;10000")</f>
        <v>5930</v>
      </c>
      <c r="AO30">
        <f>SUMIFS('Tenant Data'!$E$2:$E$4674,'Tenant Data'!$A$2:$A$4674,"Mesa Mall",'Tenant Data'!$D$2:$D$4674,"Health &amp; Beauty",'Tenant Data'!$F$2:$F$4674,"&gt;0",'Tenant Data'!$E$2:$E$4674,"&lt;10000")</f>
        <v>9620</v>
      </c>
      <c r="AP30">
        <f>SUMIFS('Tenant Data'!$E$2:$E$4674,'Tenant Data'!$A$2:$A$4674,"Mesa Mall",'Tenant Data'!$D$2:$D$4674,"Food &amp; Beverage",'Tenant Data'!$F$2:$F$4674,"&gt;0",'Tenant Data'!$E$2:$E$4674,"&lt;10000")</f>
        <v>3145</v>
      </c>
      <c r="AQ30">
        <f>SUMIFS('Tenant Data'!$E$2:$E$4674,'Tenant Data'!$A$2:$A$4674,"Mesa Mall",'Tenant Data'!$D$2:$D$4674,"Restaurant",'Tenant Data'!$F$2:$F$4674,"&gt;0",'Tenant Data'!$E$2:$E$4674,"&lt;10000")</f>
        <v>2447</v>
      </c>
      <c r="AR30">
        <f>SUMIFS('Tenant Data'!$E$2:$E$4674,'Tenant Data'!$A$2:$A$4674,"Mesa Mall",'Tenant Data'!$D$2:$D$4674,"Hobby &amp; Novelty",'Tenant Data'!$F$2:$F$4674,"&gt;0",'Tenant Data'!$E$2:$E$4674,"&lt;10000")</f>
        <v>16444</v>
      </c>
      <c r="AS30">
        <f>SUMIFS('Tenant Data'!$E$2:$E$4674,'Tenant Data'!$A$2:$A$4674,"Mesa Mall",'Tenant Data'!$D$2:$D$4674,"Service",'Tenant Data'!$F$2:$F$4674,"&gt;0",'Tenant Data'!$E$2:$E$4674,"&lt;10000")</f>
        <v>4024</v>
      </c>
      <c r="AT30">
        <f>SUMIFS('Tenant Data'!$E$2:$E$4674,'Tenant Data'!$A$2:$A$4674,"Mesa Mall",'Tenant Data'!$D$2:$D$4674,"Tech",'Tenant Data'!$F$2:$F$4674,"&gt;0",'Tenant Data'!$E$2:$E$4674,"&lt;10000")</f>
        <v>4198</v>
      </c>
      <c r="AU30">
        <f>SUMIFS('Tenant Data'!$E$2:$E$4674,'Tenant Data'!$A$2:$A$4674,"Mesa Mall",'Tenant Data'!$D$2:$D$4674,"Major",'Tenant Data'!$F$2:$F$4674,"&gt;0",'Tenant Data'!$E$2:$E$4674,"&lt;10000")</f>
        <v>0</v>
      </c>
      <c r="AV30">
        <f>SUMIFS('Tenant Data'!$E$2:$E$4674,'Tenant Data'!$A$2:$A$4674,"Mesa Mall",'Tenant Data'!$D$2:$D$4674,"Anchor",'Tenant Data'!$F$2:$F$4674,"&gt;0",'Tenant Data'!$E$2:$E$4674,"&lt;10000")</f>
        <v>0</v>
      </c>
      <c r="AW30">
        <f>SUMIFS('Tenant Data'!$E$2:$E$4674,'Tenant Data'!$A$2:$A$4674,"Mesa Mall",'Tenant Data'!$D$2:$D$4674,"Apple",'Tenant Data'!$F$2:$F$4674,"&gt;0",'Tenant Data'!$E$2:$E$4674,"&lt;10000")</f>
        <v>0</v>
      </c>
      <c r="AX30">
        <v>1</v>
      </c>
      <c r="AY30" t="str">
        <f>'Property Summary'!B30</f>
        <v>Y</v>
      </c>
      <c r="AZ30">
        <f t="shared" si="12"/>
        <v>124595</v>
      </c>
    </row>
    <row r="31" spans="1:52" x14ac:dyDescent="0.2">
      <c r="A31" t="s">
        <v>36</v>
      </c>
      <c r="B31">
        <f t="shared" si="0"/>
        <v>407.65462624392501</v>
      </c>
      <c r="C31">
        <f t="shared" si="1"/>
        <v>503.56823009947169</v>
      </c>
      <c r="D31">
        <f t="shared" si="2"/>
        <v>1600.4487495958615</v>
      </c>
      <c r="E31">
        <f t="shared" si="3"/>
        <v>697.28893428812114</v>
      </c>
      <c r="F31">
        <f t="shared" si="4"/>
        <v>1081.6042027290448</v>
      </c>
      <c r="G31">
        <f t="shared" si="5"/>
        <v>705.29094467656387</v>
      </c>
      <c r="H31">
        <f t="shared" si="6"/>
        <v>526.1728247874355</v>
      </c>
      <c r="I31">
        <f t="shared" si="7"/>
        <v>522.98448311593313</v>
      </c>
      <c r="J31" t="str">
        <f t="shared" si="8"/>
        <v/>
      </c>
      <c r="K31" t="str">
        <f t="shared" si="9"/>
        <v/>
      </c>
      <c r="L31" t="str">
        <f t="shared" si="10"/>
        <v/>
      </c>
      <c r="M31" t="str">
        <f t="shared" si="11"/>
        <v/>
      </c>
      <c r="N31">
        <f>IFERROR(SUMPRODUCT(('Tenant Data'!$A$2:$A$4674="Oak Park Mall")*('Tenant Data'!$D$2:$D$4674="Apparel")*('Tenant Data'!$F$2:$F$4674&gt;0)*('Tenant Data'!$E$2:$E$4674&lt;10000)*'Tenant Data'!$J$2:$J$4674*'Tenant Data'!$E$2:$E$4674)/SUMPRODUCT(('Tenant Data'!$A$2:$A$4674="Oak Park Mall")*('Tenant Data'!$D$2:$D$4674="Apparel")*('Tenant Data'!$F$2:$F$4674&gt;0)*('Tenant Data'!$E$2:$E$4674&lt;10000)*'Tenant Data'!$E$2:$E$4674),"")</f>
        <v>0.12760941670817055</v>
      </c>
      <c r="O31">
        <f>IFERROR(SUMPRODUCT(('Tenant Data'!$A$2:$A$4674="Oak Park Mall")*('Tenant Data'!$D$2:$D$4674="Shoes")*('Tenant Data'!$F$2:$F$4674&gt;0)*('Tenant Data'!$E$2:$E$4674&lt;10000)*'Tenant Data'!$J$2:$J$4674*'Tenant Data'!$E$2:$E$4674)/SUMPRODUCT(('Tenant Data'!$A$2:$A$4674="Oak Park Mall")*('Tenant Data'!$D$2:$D$4674="Shoes")*('Tenant Data'!$F$2:$F$4674&gt;0)*('Tenant Data'!$E$2:$E$4674&lt;10000)*'Tenant Data'!$E$2:$E$4674),"")</f>
        <v>0.13739112006306411</v>
      </c>
      <c r="P31">
        <f>IFERROR(SUMPRODUCT(('Tenant Data'!$A$2:$A$4674="Oak Park Mall")*('Tenant Data'!$D$2:$D$4674="Jewelry")*('Tenant Data'!$F$2:$F$4674&gt;0)*('Tenant Data'!$E$2:$E$4674&lt;10000)*'Tenant Data'!$J$2:$J$4674*'Tenant Data'!$E$2:$E$4674)/SUMPRODUCT(('Tenant Data'!$A$2:$A$4674="Oak Park Mall")*('Tenant Data'!$D$2:$D$4674="Jewelry")*('Tenant Data'!$F$2:$F$4674&gt;0)*('Tenant Data'!$E$2:$E$4674&lt;10000)*'Tenant Data'!$E$2:$E$4674),"")</f>
        <v>9.8248924665140999E-2</v>
      </c>
      <c r="Q31">
        <f>IFERROR(SUMPRODUCT(('Tenant Data'!$A$2:$A$4674="Oak Park Mall")*('Tenant Data'!$D$2:$D$4674="Health &amp; Beauty")*('Tenant Data'!$F$2:$F$4674&gt;0)*('Tenant Data'!$E$2:$E$4674&lt;10000)*'Tenant Data'!$J$2:$J$4674*'Tenant Data'!$E$2:$E$4674)/SUMPRODUCT(('Tenant Data'!$A$2:$A$4674="Oak Park Mall")*('Tenant Data'!$D$2:$D$4674="Health &amp; Beauty")*('Tenant Data'!$F$2:$F$4674&gt;0)*('Tenant Data'!$E$2:$E$4674&lt;10000)*'Tenant Data'!$E$2:$E$4674),"")</f>
        <v>0.19010150451099211</v>
      </c>
      <c r="R31">
        <f>IFERROR(SUMPRODUCT(('Tenant Data'!$A$2:$A$4674="Oak Park Mall")*('Tenant Data'!$D$2:$D$4674="Food &amp; Beverage")*('Tenant Data'!$F$2:$F$4674&gt;0)*('Tenant Data'!$E$2:$E$4674&lt;10000)*'Tenant Data'!$J$2:$J$4674*'Tenant Data'!$E$2:$E$4674)/SUMPRODUCT(('Tenant Data'!$A$2:$A$4674="Oak Park Mall")*('Tenant Data'!$D$2:$D$4674="Food &amp; Beverage")*('Tenant Data'!$F$2:$F$4674&gt;0)*('Tenant Data'!$E$2:$E$4674&lt;10000)*'Tenant Data'!$E$2:$E$4674),"")</f>
        <v>0.18030715342104028</v>
      </c>
      <c r="S31">
        <f>IFERROR(SUMPRODUCT(('Tenant Data'!$A$2:$A$4674="Oak Park Mall")*('Tenant Data'!$D$2:$D$4674="Restaurant")*('Tenant Data'!$F$2:$F$4674&gt;0)*('Tenant Data'!$E$2:$E$4674&lt;10000)*'Tenant Data'!$J$2:$J$4674*'Tenant Data'!$E$2:$E$4674)/SUMPRODUCT(('Tenant Data'!$A$2:$A$4674="Oak Park Mall")*('Tenant Data'!$D$2:$D$4674="Restaurant")*('Tenant Data'!$F$2:$F$4674&gt;0)*('Tenant Data'!$E$2:$E$4674&lt;10000)*'Tenant Data'!$E$2:$E$4674),"")</f>
        <v>7.7408173390210042E-2</v>
      </c>
      <c r="T31">
        <f>IFERROR(SUMPRODUCT(('Tenant Data'!$A$2:$A$4674="Oak Park Mall")*('Tenant Data'!$D$2:$D$4674="Hobby &amp; Novelty")*('Tenant Data'!$F$2:$F$4674&gt;0)*('Tenant Data'!$E$2:$E$4674&lt;10000)*'Tenant Data'!$J$2:$J$4674*'Tenant Data'!$E$2:$E$4674)/SUMPRODUCT(('Tenant Data'!$A$2:$A$4674="Oak Park Mall")*('Tenant Data'!$D$2:$D$4674="Hobby &amp; Novelty")*('Tenant Data'!$F$2:$F$4674&gt;0)*('Tenant Data'!$E$2:$E$4674&lt;10000)*'Tenant Data'!$E$2:$E$4674),"")</f>
        <v>0.12420867855911202</v>
      </c>
      <c r="U31">
        <f>IFERROR(SUMPRODUCT(('Tenant Data'!$A$2:$A$4674="Oak Park Mall")*('Tenant Data'!$D$2:$D$4674="Service")*('Tenant Data'!$F$2:$F$4674&gt;0)*('Tenant Data'!$E$2:$E$4674&lt;10000)*'Tenant Data'!$J$2:$J$4674*'Tenant Data'!$E$2:$E$4674)/SUMPRODUCT(('Tenant Data'!$A$2:$A$4674="Oak Park Mall")*('Tenant Data'!$D$2:$D$4674="Service")*('Tenant Data'!$F$2:$F$4674&gt;0)*('Tenant Data'!$E$2:$E$4674&lt;10000)*'Tenant Data'!$E$2:$E$4674),"")</f>
        <v>0.12413381621701806</v>
      </c>
      <c r="V31" t="str">
        <f>IFERROR(SUMPRODUCT(('Tenant Data'!$A$2:$A$4674="Oak Park Mall")*('Tenant Data'!$D$2:$D$4674="Tech")*('Tenant Data'!$F$2:$F$4674&gt;0)*('Tenant Data'!$E$2:$E$4674&lt;10000)*'Tenant Data'!$J$2:$J$4674*'Tenant Data'!$E$2:$E$4674)/SUMPRODUCT(('Tenant Data'!$A$2:$A$4674="Oak Park Mall")*('Tenant Data'!$D$2:$D$4674="Tech")*('Tenant Data'!$F$2:$F$4674&gt;0)*('Tenant Data'!$E$2:$E$4674&lt;10000)*'Tenant Data'!$E$2:$E$4674),"")</f>
        <v/>
      </c>
      <c r="W31" t="str">
        <f>IFERROR(SUMPRODUCT(('Tenant Data'!$A$2:$A$4674="Oak Park Mall")*('Tenant Data'!$D$2:$D$4674="Major")*('Tenant Data'!$F$2:$F$4674&gt;0)*('Tenant Data'!$E$2:$E$4674&lt;10000)*'Tenant Data'!$J$2:$J$4674*'Tenant Data'!$E$2:$E$4674)/SUMPRODUCT(('Tenant Data'!$A$2:$A$4674="Oak Park Mall")*('Tenant Data'!$D$2:$D$4674="Major")*('Tenant Data'!$F$2:$F$4674&gt;0)*('Tenant Data'!$E$2:$E$4674&lt;10000)*'Tenant Data'!$E$2:$E$4674),"")</f>
        <v/>
      </c>
      <c r="X31" t="str">
        <f>IFERROR(SUMPRODUCT(('Tenant Data'!$A$2:$A$4674="Oak Park Mall")*('Tenant Data'!$D$2:$D$4674="Anchor")*('Tenant Data'!$F$2:$F$4674&gt;0)*('Tenant Data'!$E$2:$E$4674&lt;10000)*'Tenant Data'!$J$2:$J$4674*'Tenant Data'!$E$2:$E$4674)/SUMPRODUCT(('Tenant Data'!$A$2:$A$4674="Oak Park Mall")*('Tenant Data'!$D$2:$D$4674="Anchor")*('Tenant Data'!$F$2:$F$4674&gt;0)*('Tenant Data'!$E$2:$E$4674&lt;10000)*'Tenant Data'!$E$2:$E$4674),"")</f>
        <v/>
      </c>
      <c r="Y31" t="str">
        <f>IFERROR(SUMPRODUCT(('Tenant Data'!$A$2:$A$4674="Oak Park Mall")*('Tenant Data'!$D$2:$D$4674="Apple")*('Tenant Data'!$F$2:$F$4674&gt;0)*('Tenant Data'!$E$2:$E$4674&lt;10000)*'Tenant Data'!$J$2:$J$4674*'Tenant Data'!$E$2:$E$4674)/SUMPRODUCT(('Tenant Data'!$A$2:$A$4674="Oak Park Mall")*('Tenant Data'!$D$2:$D$4674="Apple")*('Tenant Data'!$F$2:$F$4674&gt;0)*('Tenant Data'!$E$2:$E$4674&lt;10000)*'Tenant Data'!$E$2:$E$4674),"")</f>
        <v/>
      </c>
      <c r="Z31">
        <f>SUMIFS('Tenant Data'!$F$2:$F$4674,'Tenant Data'!$A$2:$A$4674,"Oak Park Mall",'Tenant Data'!$D$2:$D$4674,"Apparel",'Tenant Data'!$E$2:$E$4674,"&lt;10000")</f>
        <v>51082793.560000002</v>
      </c>
      <c r="AA31">
        <f>SUMIFS('Tenant Data'!$F$2:$F$4674,'Tenant Data'!$A$2:$A$4674,"Oak Park Mall",'Tenant Data'!$D$2:$D$4674,"Shoes",'Tenant Data'!$E$2:$E$4674,"&lt;10000")</f>
        <v>20300346.060000002</v>
      </c>
      <c r="AB31">
        <f>SUMIFS('Tenant Data'!$F$2:$F$4674,'Tenant Data'!$A$2:$A$4674,"Oak Park Mall",'Tenant Data'!$D$2:$D$4674,"Jewelry",'Tenant Data'!$E$2:$E$4674,"&lt;10000")</f>
        <v>19800751.93</v>
      </c>
      <c r="AC31">
        <f>SUMIFS('Tenant Data'!$F$2:$F$4674,'Tenant Data'!$A$2:$A$4674,"Oak Park Mall",'Tenant Data'!$D$2:$D$4674,"Health &amp; Beauty",'Tenant Data'!$E$2:$E$4674,"&lt;10000")</f>
        <v>14898275.369999997</v>
      </c>
      <c r="AD31">
        <f>SUMIFS('Tenant Data'!$F$2:$F$4674,'Tenant Data'!$A$2:$A$4674,"Oak Park Mall",'Tenant Data'!$D$2:$D$4674,"Food &amp; Beverage",'Tenant Data'!$E$2:$E$4674,"&lt;10000")</f>
        <v>5548629.5599999996</v>
      </c>
      <c r="AE31">
        <f>SUMIFS('Tenant Data'!$F$2:$F$4674,'Tenant Data'!$A$2:$A$4674,"Oak Park Mall",'Tenant Data'!$D$2:$D$4674,"Restaurant",'Tenant Data'!$E$2:$E$4674,"&lt;10000")</f>
        <v>23801453.510000002</v>
      </c>
      <c r="AF31">
        <f>SUMIFS('Tenant Data'!$F$2:$F$4674,'Tenant Data'!$A$2:$A$4674,"Oak Park Mall",'Tenant Data'!$D$2:$D$4674,"Hobby &amp; Novelty",'Tenant Data'!$E$2:$E$4674,"&lt;10000")</f>
        <v>14171412.689999999</v>
      </c>
      <c r="AG31">
        <f>SUMIFS('Tenant Data'!$F$2:$F$4674,'Tenant Data'!$A$2:$A$4674,"Oak Park Mall",'Tenant Data'!$D$2:$D$4674,"Service",'Tenant Data'!$E$2:$E$4674,"&lt;10000")</f>
        <v>8580083.4299999997</v>
      </c>
      <c r="AH31">
        <f>SUMIFS('Tenant Data'!$F$2:$F$4674,'Tenant Data'!$A$2:$A$4674,"Oak Park Mall",'Tenant Data'!$D$2:$D$4674,"Tech",'Tenant Data'!$E$2:$E$4674,"&lt;10000")</f>
        <v>0</v>
      </c>
      <c r="AI31">
        <f>SUMIFS('Tenant Data'!$F$2:$F$4674,'Tenant Data'!$A$2:$A$4674,"Oak Park Mall",'Tenant Data'!$D$2:$D$4674,"Major",'Tenant Data'!$E$2:$E$4674,"&lt;10000")</f>
        <v>0</v>
      </c>
      <c r="AJ31">
        <f>SUMIFS('Tenant Data'!$F$2:$F$4674,'Tenant Data'!$A$2:$A$4674,"Oak Park Mall",'Tenant Data'!$D$2:$D$4674,"Anchor",'Tenant Data'!$E$2:$E$4674,"&lt;10000")</f>
        <v>0</v>
      </c>
      <c r="AK31">
        <f>SUMIFS('Tenant Data'!$F$2:$F$4674,'Tenant Data'!$A$2:$A$4674,"Oak Park Mall",'Tenant Data'!$D$2:$D$4674,"Apple",'Tenant Data'!$E$2:$E$4674,"&lt;10000")</f>
        <v>0</v>
      </c>
      <c r="AL31">
        <f>SUMIFS('Tenant Data'!$E$2:$E$4674,'Tenant Data'!$A$2:$A$4674,"Oak Park Mall",'Tenant Data'!$D$2:$D$4674,"Apparel",'Tenant Data'!$F$2:$F$4674,"&gt;0",'Tenant Data'!$E$2:$E$4674,"&lt;10000")</f>
        <v>125309</v>
      </c>
      <c r="AM31">
        <f>SUMIFS('Tenant Data'!$E$2:$E$4674,'Tenant Data'!$A$2:$A$4674,"Oak Park Mall",'Tenant Data'!$D$2:$D$4674,"Shoes",'Tenant Data'!$F$2:$F$4674,"&gt;0",'Tenant Data'!$E$2:$E$4674,"&lt;10000")</f>
        <v>40313</v>
      </c>
      <c r="AN31">
        <f>SUMIFS('Tenant Data'!$E$2:$E$4674,'Tenant Data'!$A$2:$A$4674,"Oak Park Mall",'Tenant Data'!$D$2:$D$4674,"Jewelry",'Tenant Data'!$F$2:$F$4674,"&gt;0",'Tenant Data'!$E$2:$E$4674,"&lt;10000")</f>
        <v>12372</v>
      </c>
      <c r="AO31">
        <f>SUMIFS('Tenant Data'!$E$2:$E$4674,'Tenant Data'!$A$2:$A$4674,"Oak Park Mall",'Tenant Data'!$D$2:$D$4674,"Health &amp; Beauty",'Tenant Data'!$F$2:$F$4674,"&gt;0",'Tenant Data'!$E$2:$E$4674,"&lt;10000")</f>
        <v>21366</v>
      </c>
      <c r="AP31">
        <f>SUMIFS('Tenant Data'!$E$2:$E$4674,'Tenant Data'!$A$2:$A$4674,"Oak Park Mall",'Tenant Data'!$D$2:$D$4674,"Food &amp; Beverage",'Tenant Data'!$F$2:$F$4674,"&gt;0",'Tenant Data'!$E$2:$E$4674,"&lt;10000")</f>
        <v>5130</v>
      </c>
      <c r="AQ31">
        <f>SUMIFS('Tenant Data'!$E$2:$E$4674,'Tenant Data'!$A$2:$A$4674,"Oak Park Mall",'Tenant Data'!$D$2:$D$4674,"Restaurant",'Tenant Data'!$F$2:$F$4674,"&gt;0",'Tenant Data'!$E$2:$E$4674,"&lt;10000")</f>
        <v>33747</v>
      </c>
      <c r="AR31">
        <f>SUMIFS('Tenant Data'!$E$2:$E$4674,'Tenant Data'!$A$2:$A$4674,"Oak Park Mall",'Tenant Data'!$D$2:$D$4674,"Hobby &amp; Novelty",'Tenant Data'!$F$2:$F$4674,"&gt;0",'Tenant Data'!$E$2:$E$4674,"&lt;10000")</f>
        <v>26933</v>
      </c>
      <c r="AS31">
        <f>SUMIFS('Tenant Data'!$E$2:$E$4674,'Tenant Data'!$A$2:$A$4674,"Oak Park Mall",'Tenant Data'!$D$2:$D$4674,"Service",'Tenant Data'!$F$2:$F$4674,"&gt;0",'Tenant Data'!$E$2:$E$4674,"&lt;10000")</f>
        <v>16406</v>
      </c>
      <c r="AT31">
        <f>SUMIFS('Tenant Data'!$E$2:$E$4674,'Tenant Data'!$A$2:$A$4674,"Oak Park Mall",'Tenant Data'!$D$2:$D$4674,"Tech",'Tenant Data'!$F$2:$F$4674,"&gt;0",'Tenant Data'!$E$2:$E$4674,"&lt;10000")</f>
        <v>0</v>
      </c>
      <c r="AU31">
        <f>SUMIFS('Tenant Data'!$E$2:$E$4674,'Tenant Data'!$A$2:$A$4674,"Oak Park Mall",'Tenant Data'!$D$2:$D$4674,"Major",'Tenant Data'!$F$2:$F$4674,"&gt;0",'Tenant Data'!$E$2:$E$4674,"&lt;10000")</f>
        <v>0</v>
      </c>
      <c r="AV31">
        <f>SUMIFS('Tenant Data'!$E$2:$E$4674,'Tenant Data'!$A$2:$A$4674,"Oak Park Mall",'Tenant Data'!$D$2:$D$4674,"Anchor",'Tenant Data'!$F$2:$F$4674,"&gt;0",'Tenant Data'!$E$2:$E$4674,"&lt;10000")</f>
        <v>0</v>
      </c>
      <c r="AW31">
        <f>SUMIFS('Tenant Data'!$E$2:$E$4674,'Tenant Data'!$A$2:$A$4674,"Oak Park Mall",'Tenant Data'!$D$2:$D$4674,"Apple",'Tenant Data'!$F$2:$F$4674,"&gt;0",'Tenant Data'!$E$2:$E$4674,"&lt;10000")</f>
        <v>0</v>
      </c>
      <c r="AX31">
        <v>1</v>
      </c>
      <c r="AY31" t="str">
        <f>'Property Summary'!B31</f>
        <v>Y</v>
      </c>
      <c r="AZ31">
        <f t="shared" si="12"/>
        <v>281576</v>
      </c>
    </row>
    <row r="32" spans="1:52" x14ac:dyDescent="0.2">
      <c r="A32" t="s">
        <v>20</v>
      </c>
      <c r="B32">
        <f t="shared" si="0"/>
        <v>841.37708651701928</v>
      </c>
      <c r="C32">
        <f t="shared" si="1"/>
        <v>785.95299165935035</v>
      </c>
      <c r="D32">
        <f t="shared" si="2"/>
        <v>1072.768768371843</v>
      </c>
      <c r="E32">
        <f t="shared" si="3"/>
        <v>481.26817366059652</v>
      </c>
      <c r="F32">
        <f t="shared" si="4"/>
        <v>659.98502354244556</v>
      </c>
      <c r="G32">
        <f t="shared" si="5"/>
        <v>708.655640310786</v>
      </c>
      <c r="H32">
        <f t="shared" si="6"/>
        <v>523.74956896551726</v>
      </c>
      <c r="I32">
        <f t="shared" si="7"/>
        <v>466.58099115605518</v>
      </c>
      <c r="J32" t="str">
        <f t="shared" si="8"/>
        <v/>
      </c>
      <c r="K32">
        <f t="shared" si="9"/>
        <v>937.27421523809505</v>
      </c>
      <c r="L32" t="str">
        <f t="shared" si="10"/>
        <v/>
      </c>
      <c r="M32" t="str">
        <f t="shared" si="11"/>
        <v/>
      </c>
      <c r="N32">
        <f>IFERROR(SUMPRODUCT(('Tenant Data'!$A$2:$A$4674="Oklahoma City Collection")*('Tenant Data'!$D$2:$D$4674="Apparel")*('Tenant Data'!$F$2:$F$4674&gt;0)*('Tenant Data'!$E$2:$E$4674&lt;10000)*'Tenant Data'!$J$2:$J$4674*'Tenant Data'!$E$2:$E$4674)/SUMPRODUCT(('Tenant Data'!$A$2:$A$4674="Oklahoma City Collection")*('Tenant Data'!$D$2:$D$4674="Apparel")*('Tenant Data'!$F$2:$F$4674&gt;0)*('Tenant Data'!$E$2:$E$4674&lt;10000)*'Tenant Data'!$E$2:$E$4674),"")</f>
        <v>8.2145103169956393E-2</v>
      </c>
      <c r="O32">
        <f>IFERROR(SUMPRODUCT(('Tenant Data'!$A$2:$A$4674="Oklahoma City Collection")*('Tenant Data'!$D$2:$D$4674="Shoes")*('Tenant Data'!$F$2:$F$4674&gt;0)*('Tenant Data'!$E$2:$E$4674&lt;10000)*'Tenant Data'!$J$2:$J$4674*'Tenant Data'!$E$2:$E$4674)/SUMPRODUCT(('Tenant Data'!$A$2:$A$4674="Oklahoma City Collection")*('Tenant Data'!$D$2:$D$4674="Shoes")*('Tenant Data'!$F$2:$F$4674&gt;0)*('Tenant Data'!$E$2:$E$4674&lt;10000)*'Tenant Data'!$E$2:$E$4674),"")</f>
        <v>8.1624577294761191E-2</v>
      </c>
      <c r="P32">
        <f>IFERROR(SUMPRODUCT(('Tenant Data'!$A$2:$A$4674="Oklahoma City Collection")*('Tenant Data'!$D$2:$D$4674="Jewelry")*('Tenant Data'!$F$2:$F$4674&gt;0)*('Tenant Data'!$E$2:$E$4674&lt;10000)*'Tenant Data'!$J$2:$J$4674*'Tenant Data'!$E$2:$E$4674)/SUMPRODUCT(('Tenant Data'!$A$2:$A$4674="Oklahoma City Collection")*('Tenant Data'!$D$2:$D$4674="Jewelry")*('Tenant Data'!$F$2:$F$4674&gt;0)*('Tenant Data'!$E$2:$E$4674&lt;10000)*'Tenant Data'!$E$2:$E$4674),"")</f>
        <v>6.9315858904533442E-2</v>
      </c>
      <c r="Q32">
        <f>IFERROR(SUMPRODUCT(('Tenant Data'!$A$2:$A$4674="Oklahoma City Collection")*('Tenant Data'!$D$2:$D$4674="Health &amp; Beauty")*('Tenant Data'!$F$2:$F$4674&gt;0)*('Tenant Data'!$E$2:$E$4674&lt;10000)*'Tenant Data'!$J$2:$J$4674*'Tenant Data'!$E$2:$E$4674)/SUMPRODUCT(('Tenant Data'!$A$2:$A$4674="Oklahoma City Collection")*('Tenant Data'!$D$2:$D$4674="Health &amp; Beauty")*('Tenant Data'!$F$2:$F$4674&gt;0)*('Tenant Data'!$E$2:$E$4674&lt;10000)*'Tenant Data'!$E$2:$E$4674),"")</f>
        <v>0.17458922671617816</v>
      </c>
      <c r="R32">
        <f>IFERROR(SUMPRODUCT(('Tenant Data'!$A$2:$A$4674="Oklahoma City Collection")*('Tenant Data'!$D$2:$D$4674="Food &amp; Beverage")*('Tenant Data'!$F$2:$F$4674&gt;0)*('Tenant Data'!$E$2:$E$4674&lt;10000)*'Tenant Data'!$J$2:$J$4674*'Tenant Data'!$E$2:$E$4674)/SUMPRODUCT(('Tenant Data'!$A$2:$A$4674="Oklahoma City Collection")*('Tenant Data'!$D$2:$D$4674="Food &amp; Beverage")*('Tenant Data'!$F$2:$F$4674&gt;0)*('Tenant Data'!$E$2:$E$4674&lt;10000)*'Tenant Data'!$E$2:$E$4674),"")</f>
        <v>8.4595829292619856E-2</v>
      </c>
      <c r="S32">
        <f>IFERROR(SUMPRODUCT(('Tenant Data'!$A$2:$A$4674="Oklahoma City Collection")*('Tenant Data'!$D$2:$D$4674="Restaurant")*('Tenant Data'!$F$2:$F$4674&gt;0)*('Tenant Data'!$E$2:$E$4674&lt;10000)*'Tenant Data'!$J$2:$J$4674*'Tenant Data'!$E$2:$E$4674)/SUMPRODUCT(('Tenant Data'!$A$2:$A$4674="Oklahoma City Collection")*('Tenant Data'!$D$2:$D$4674="Restaurant")*('Tenant Data'!$F$2:$F$4674&gt;0)*('Tenant Data'!$E$2:$E$4674&lt;10000)*'Tenant Data'!$E$2:$E$4674),"")</f>
        <v>9.6138996298937421E-2</v>
      </c>
      <c r="T32">
        <f>IFERROR(SUMPRODUCT(('Tenant Data'!$A$2:$A$4674="Oklahoma City Collection")*('Tenant Data'!$D$2:$D$4674="Hobby &amp; Novelty")*('Tenant Data'!$F$2:$F$4674&gt;0)*('Tenant Data'!$E$2:$E$4674&lt;10000)*'Tenant Data'!$J$2:$J$4674*'Tenant Data'!$E$2:$E$4674)/SUMPRODUCT(('Tenant Data'!$A$2:$A$4674="Oklahoma City Collection")*('Tenant Data'!$D$2:$D$4674="Hobby &amp; Novelty")*('Tenant Data'!$F$2:$F$4674&gt;0)*('Tenant Data'!$E$2:$E$4674&lt;10000)*'Tenant Data'!$E$2:$E$4674),"")</f>
        <v>9.9216353907701754E-2</v>
      </c>
      <c r="U32">
        <f>IFERROR(SUMPRODUCT(('Tenant Data'!$A$2:$A$4674="Oklahoma City Collection")*('Tenant Data'!$D$2:$D$4674="Service")*('Tenant Data'!$F$2:$F$4674&gt;0)*('Tenant Data'!$E$2:$E$4674&lt;10000)*'Tenant Data'!$J$2:$J$4674*'Tenant Data'!$E$2:$E$4674)/SUMPRODUCT(('Tenant Data'!$A$2:$A$4674="Oklahoma City Collection")*('Tenant Data'!$D$2:$D$4674="Service")*('Tenant Data'!$F$2:$F$4674&gt;0)*('Tenant Data'!$E$2:$E$4674&lt;10000)*'Tenant Data'!$E$2:$E$4674),"")</f>
        <v>0.15810240727997704</v>
      </c>
      <c r="V32" t="str">
        <f>IFERROR(SUMPRODUCT(('Tenant Data'!$A$2:$A$4674="Oklahoma City Collection")*('Tenant Data'!$D$2:$D$4674="Tech")*('Tenant Data'!$F$2:$F$4674&gt;0)*('Tenant Data'!$E$2:$E$4674&lt;10000)*'Tenant Data'!$J$2:$J$4674*'Tenant Data'!$E$2:$E$4674)/SUMPRODUCT(('Tenant Data'!$A$2:$A$4674="Oklahoma City Collection")*('Tenant Data'!$D$2:$D$4674="Tech")*('Tenant Data'!$F$2:$F$4674&gt;0)*('Tenant Data'!$E$2:$E$4674&lt;10000)*'Tenant Data'!$E$2:$E$4674),"")</f>
        <v/>
      </c>
      <c r="W32">
        <f>IFERROR(SUMPRODUCT(('Tenant Data'!$A$2:$A$4674="Oklahoma City Collection")*('Tenant Data'!$D$2:$D$4674="Major")*('Tenant Data'!$F$2:$F$4674&gt;0)*('Tenant Data'!$E$2:$E$4674&lt;10000)*'Tenant Data'!$J$2:$J$4674*'Tenant Data'!$E$2:$E$4674)/SUMPRODUCT(('Tenant Data'!$A$2:$A$4674="Oklahoma City Collection")*('Tenant Data'!$D$2:$D$4674="Major")*('Tenant Data'!$F$2:$F$4674&gt;0)*('Tenant Data'!$E$2:$E$4674&lt;10000)*'Tenant Data'!$E$2:$E$4674),"")</f>
        <v>0.1191791842070012</v>
      </c>
      <c r="X32" t="str">
        <f>IFERROR(SUMPRODUCT(('Tenant Data'!$A$2:$A$4674="Oklahoma City Collection")*('Tenant Data'!$D$2:$D$4674="Anchor")*('Tenant Data'!$F$2:$F$4674&gt;0)*('Tenant Data'!$E$2:$E$4674&lt;10000)*'Tenant Data'!$J$2:$J$4674*'Tenant Data'!$E$2:$E$4674)/SUMPRODUCT(('Tenant Data'!$A$2:$A$4674="Oklahoma City Collection")*('Tenant Data'!$D$2:$D$4674="Anchor")*('Tenant Data'!$F$2:$F$4674&gt;0)*('Tenant Data'!$E$2:$E$4674&lt;10000)*'Tenant Data'!$E$2:$E$4674),"")</f>
        <v/>
      </c>
      <c r="Y32" t="str">
        <f>IFERROR(SUMPRODUCT(('Tenant Data'!$A$2:$A$4674="Oklahoma City Collection")*('Tenant Data'!$D$2:$D$4674="Apple")*('Tenant Data'!$F$2:$F$4674&gt;0)*('Tenant Data'!$E$2:$E$4674&lt;10000)*'Tenant Data'!$J$2:$J$4674*'Tenant Data'!$E$2:$E$4674)/SUMPRODUCT(('Tenant Data'!$A$2:$A$4674="Oklahoma City Collection")*('Tenant Data'!$D$2:$D$4674="Apple")*('Tenant Data'!$F$2:$F$4674&gt;0)*('Tenant Data'!$E$2:$E$4674&lt;10000)*'Tenant Data'!$E$2:$E$4674),"")</f>
        <v/>
      </c>
      <c r="Z32">
        <f>SUMIFS('Tenant Data'!$F$2:$F$4674,'Tenant Data'!$A$2:$A$4674,"Oklahoma City Collection",'Tenant Data'!$D$2:$D$4674,"Apparel",'Tenant Data'!$E$2:$E$4674,"&lt;10000")</f>
        <v>38290229.830303028</v>
      </c>
      <c r="AA32">
        <f>SUMIFS('Tenant Data'!$F$2:$F$4674,'Tenant Data'!$A$2:$A$4674,"Oklahoma City Collection",'Tenant Data'!$D$2:$D$4674,"Shoes",'Tenant Data'!$E$2:$E$4674,"&lt;10000")</f>
        <v>7161603.6600000001</v>
      </c>
      <c r="AB32">
        <f>SUMIFS('Tenant Data'!$F$2:$F$4674,'Tenant Data'!$A$2:$A$4674,"Oklahoma City Collection",'Tenant Data'!$D$2:$D$4674,"Jewelry",'Tenant Data'!$E$2:$E$4674,"&lt;10000")</f>
        <v>14498469.904545456</v>
      </c>
      <c r="AC32">
        <f>SUMIFS('Tenant Data'!$F$2:$F$4674,'Tenant Data'!$A$2:$A$4674,"Oklahoma City Collection",'Tenant Data'!$D$2:$D$4674,"Health &amp; Beauty",'Tenant Data'!$E$2:$E$4674,"&lt;10000")</f>
        <v>1823525.11</v>
      </c>
      <c r="AD32">
        <f>SUMIFS('Tenant Data'!$F$2:$F$4674,'Tenant Data'!$A$2:$A$4674,"Oklahoma City Collection",'Tenant Data'!$D$2:$D$4674,"Food &amp; Beverage",'Tenant Data'!$E$2:$E$4674,"&lt;10000")</f>
        <v>9531503.709999999</v>
      </c>
      <c r="AE32">
        <f>SUMIFS('Tenant Data'!$F$2:$F$4674,'Tenant Data'!$A$2:$A$4674,"Oklahoma City Collection",'Tenant Data'!$D$2:$D$4674,"Restaurant",'Tenant Data'!$E$2:$E$4674,"&lt;10000")</f>
        <v>15505385.409999998</v>
      </c>
      <c r="AF32">
        <f>SUMIFS('Tenant Data'!$F$2:$F$4674,'Tenant Data'!$A$2:$A$4674,"Oklahoma City Collection",'Tenant Data'!$D$2:$D$4674,"Hobby &amp; Novelty",'Tenant Data'!$E$2:$E$4674,"&lt;10000")</f>
        <v>5224925.7</v>
      </c>
      <c r="AG32">
        <f>SUMIFS('Tenant Data'!$F$2:$F$4674,'Tenant Data'!$A$2:$A$4674,"Oklahoma City Collection",'Tenant Data'!$D$2:$D$4674,"Service",'Tenant Data'!$E$2:$E$4674,"&lt;10000")</f>
        <v>13242035.110000001</v>
      </c>
      <c r="AH32">
        <f>SUMIFS('Tenant Data'!$F$2:$F$4674,'Tenant Data'!$A$2:$A$4674,"Oklahoma City Collection",'Tenant Data'!$D$2:$D$4674,"Tech",'Tenant Data'!$E$2:$E$4674,"&lt;10000")</f>
        <v>0</v>
      </c>
      <c r="AI32">
        <f>SUMIFS('Tenant Data'!$F$2:$F$4674,'Tenant Data'!$A$2:$A$4674,"Oklahoma City Collection",'Tenant Data'!$D$2:$D$4674,"Major",'Tenant Data'!$E$2:$E$4674,"&lt;10000")</f>
        <v>4920689.629999999</v>
      </c>
      <c r="AJ32">
        <f>SUMIFS('Tenant Data'!$F$2:$F$4674,'Tenant Data'!$A$2:$A$4674,"Oklahoma City Collection",'Tenant Data'!$D$2:$D$4674,"Anchor",'Tenant Data'!$E$2:$E$4674,"&lt;10000")</f>
        <v>0</v>
      </c>
      <c r="AK32">
        <f>SUMIFS('Tenant Data'!$F$2:$F$4674,'Tenant Data'!$A$2:$A$4674,"Oklahoma City Collection",'Tenant Data'!$D$2:$D$4674,"Apple",'Tenant Data'!$E$2:$E$4674,"&lt;10000")</f>
        <v>0</v>
      </c>
      <c r="AL32">
        <f>SUMIFS('Tenant Data'!$E$2:$E$4674,'Tenant Data'!$A$2:$A$4674,"Oklahoma City Collection",'Tenant Data'!$D$2:$D$4674,"Apparel",'Tenant Data'!$F$2:$F$4674,"&gt;0",'Tenant Data'!$E$2:$E$4674,"&lt;10000")</f>
        <v>45509</v>
      </c>
      <c r="AM32">
        <f>SUMIFS('Tenant Data'!$E$2:$E$4674,'Tenant Data'!$A$2:$A$4674,"Oklahoma City Collection",'Tenant Data'!$D$2:$D$4674,"Shoes",'Tenant Data'!$F$2:$F$4674,"&gt;0",'Tenant Data'!$E$2:$E$4674,"&lt;10000")</f>
        <v>9112</v>
      </c>
      <c r="AN32">
        <f>SUMIFS('Tenant Data'!$E$2:$E$4674,'Tenant Data'!$A$2:$A$4674,"Oklahoma City Collection",'Tenant Data'!$D$2:$D$4674,"Jewelry",'Tenant Data'!$F$2:$F$4674,"&gt;0",'Tenant Data'!$E$2:$E$4674,"&lt;10000")</f>
        <v>13515</v>
      </c>
      <c r="AO32">
        <f>SUMIFS('Tenant Data'!$E$2:$E$4674,'Tenant Data'!$A$2:$A$4674,"Oklahoma City Collection",'Tenant Data'!$D$2:$D$4674,"Health &amp; Beauty",'Tenant Data'!$F$2:$F$4674,"&gt;0",'Tenant Data'!$E$2:$E$4674,"&lt;10000")</f>
        <v>3789</v>
      </c>
      <c r="AP32">
        <f>SUMIFS('Tenant Data'!$E$2:$E$4674,'Tenant Data'!$A$2:$A$4674,"Oklahoma City Collection",'Tenant Data'!$D$2:$D$4674,"Food &amp; Beverage",'Tenant Data'!$F$2:$F$4674,"&gt;0",'Tenant Data'!$E$2:$E$4674,"&lt;10000")</f>
        <v>14442</v>
      </c>
      <c r="AQ32">
        <f>SUMIFS('Tenant Data'!$E$2:$E$4674,'Tenant Data'!$A$2:$A$4674,"Oklahoma City Collection",'Tenant Data'!$D$2:$D$4674,"Restaurant",'Tenant Data'!$F$2:$F$4674,"&gt;0",'Tenant Data'!$E$2:$E$4674,"&lt;10000")</f>
        <v>21880</v>
      </c>
      <c r="AR32">
        <f>SUMIFS('Tenant Data'!$E$2:$E$4674,'Tenant Data'!$A$2:$A$4674,"Oklahoma City Collection",'Tenant Data'!$D$2:$D$4674,"Hobby &amp; Novelty",'Tenant Data'!$F$2:$F$4674,"&gt;0",'Tenant Data'!$E$2:$E$4674,"&lt;10000")</f>
        <v>9976</v>
      </c>
      <c r="AS32">
        <f>SUMIFS('Tenant Data'!$E$2:$E$4674,'Tenant Data'!$A$2:$A$4674,"Oklahoma City Collection",'Tenant Data'!$D$2:$D$4674,"Service",'Tenant Data'!$F$2:$F$4674,"&gt;0",'Tenant Data'!$E$2:$E$4674,"&lt;10000")</f>
        <v>28381</v>
      </c>
      <c r="AT32">
        <f>SUMIFS('Tenant Data'!$E$2:$E$4674,'Tenant Data'!$A$2:$A$4674,"Oklahoma City Collection",'Tenant Data'!$D$2:$D$4674,"Tech",'Tenant Data'!$F$2:$F$4674,"&gt;0",'Tenant Data'!$E$2:$E$4674,"&lt;10000")</f>
        <v>0</v>
      </c>
      <c r="AU32">
        <f>SUMIFS('Tenant Data'!$E$2:$E$4674,'Tenant Data'!$A$2:$A$4674,"Oklahoma City Collection",'Tenant Data'!$D$2:$D$4674,"Major",'Tenant Data'!$F$2:$F$4674,"&gt;0",'Tenant Data'!$E$2:$E$4674,"&lt;10000")</f>
        <v>5250</v>
      </c>
      <c r="AV32">
        <f>SUMIFS('Tenant Data'!$E$2:$E$4674,'Tenant Data'!$A$2:$A$4674,"Oklahoma City Collection",'Tenant Data'!$D$2:$D$4674,"Anchor",'Tenant Data'!$F$2:$F$4674,"&gt;0",'Tenant Data'!$E$2:$E$4674,"&lt;10000")</f>
        <v>0</v>
      </c>
      <c r="AW32">
        <f>SUMIFS('Tenant Data'!$E$2:$E$4674,'Tenant Data'!$A$2:$A$4674,"Oklahoma City Collection",'Tenant Data'!$D$2:$D$4674,"Apple",'Tenant Data'!$F$2:$F$4674,"&gt;0",'Tenant Data'!$E$2:$E$4674,"&lt;10000")</f>
        <v>0</v>
      </c>
      <c r="AX32">
        <v>0</v>
      </c>
      <c r="AY32" t="str">
        <f>'Property Summary'!B32</f>
        <v>Y</v>
      </c>
      <c r="AZ32">
        <f t="shared" si="12"/>
        <v>151854</v>
      </c>
    </row>
    <row r="33" spans="1:52" x14ac:dyDescent="0.2">
      <c r="A33" t="s">
        <v>47</v>
      </c>
      <c r="B33">
        <f t="shared" si="0"/>
        <v>366.47859234379706</v>
      </c>
      <c r="C33">
        <f t="shared" si="1"/>
        <v>512.61578029642544</v>
      </c>
      <c r="D33">
        <f t="shared" si="2"/>
        <v>1354.3483141536342</v>
      </c>
      <c r="E33">
        <f t="shared" si="3"/>
        <v>588.77652256065301</v>
      </c>
      <c r="F33">
        <f t="shared" si="4"/>
        <v>840.49721302998955</v>
      </c>
      <c r="G33">
        <f t="shared" si="5"/>
        <v>1632.0784797136039</v>
      </c>
      <c r="H33">
        <f t="shared" si="6"/>
        <v>278.11650600835941</v>
      </c>
      <c r="I33">
        <f t="shared" si="7"/>
        <v>371.98339311334291</v>
      </c>
      <c r="J33">
        <f t="shared" si="8"/>
        <v>1189.8271666666667</v>
      </c>
      <c r="K33" t="str">
        <f t="shared" si="9"/>
        <v/>
      </c>
      <c r="L33" t="str">
        <f t="shared" si="10"/>
        <v/>
      </c>
      <c r="M33" t="str">
        <f t="shared" si="11"/>
        <v/>
      </c>
      <c r="N33">
        <f>IFERROR(SUMPRODUCT(('Tenant Data'!$A$2:$A$4674="Paddock Mall")*('Tenant Data'!$D$2:$D$4674="Apparel")*('Tenant Data'!$F$2:$F$4674&gt;0)*('Tenant Data'!$E$2:$E$4674&lt;10000)*'Tenant Data'!$J$2:$J$4674*'Tenant Data'!$E$2:$E$4674)/SUMPRODUCT(('Tenant Data'!$A$2:$A$4674="Paddock Mall")*('Tenant Data'!$D$2:$D$4674="Apparel")*('Tenant Data'!$F$2:$F$4674&gt;0)*('Tenant Data'!$E$2:$E$4674&lt;10000)*'Tenant Data'!$E$2:$E$4674),"")</f>
        <v>0.147233021483305</v>
      </c>
      <c r="O33">
        <f>IFERROR(SUMPRODUCT(('Tenant Data'!$A$2:$A$4674="Paddock Mall")*('Tenant Data'!$D$2:$D$4674="Shoes")*('Tenant Data'!$F$2:$F$4674&gt;0)*('Tenant Data'!$E$2:$E$4674&lt;10000)*'Tenant Data'!$J$2:$J$4674*'Tenant Data'!$E$2:$E$4674)/SUMPRODUCT(('Tenant Data'!$A$2:$A$4674="Paddock Mall")*('Tenant Data'!$D$2:$D$4674="Shoes")*('Tenant Data'!$F$2:$F$4674&gt;0)*('Tenant Data'!$E$2:$E$4674&lt;10000)*'Tenant Data'!$E$2:$E$4674),"")</f>
        <v>0.12834607171796955</v>
      </c>
      <c r="P33">
        <f>IFERROR(SUMPRODUCT(('Tenant Data'!$A$2:$A$4674="Paddock Mall")*('Tenant Data'!$D$2:$D$4674="Jewelry")*('Tenant Data'!$F$2:$F$4674&gt;0)*('Tenant Data'!$E$2:$E$4674&lt;10000)*'Tenant Data'!$J$2:$J$4674*'Tenant Data'!$E$2:$E$4674)/SUMPRODUCT(('Tenant Data'!$A$2:$A$4674="Paddock Mall")*('Tenant Data'!$D$2:$D$4674="Jewelry")*('Tenant Data'!$F$2:$F$4674&gt;0)*('Tenant Data'!$E$2:$E$4674&lt;10000)*'Tenant Data'!$E$2:$E$4674),"")</f>
        <v>0.10777430490737756</v>
      </c>
      <c r="Q33">
        <f>IFERROR(SUMPRODUCT(('Tenant Data'!$A$2:$A$4674="Paddock Mall")*('Tenant Data'!$D$2:$D$4674="Health &amp; Beauty")*('Tenant Data'!$F$2:$F$4674&gt;0)*('Tenant Data'!$E$2:$E$4674&lt;10000)*'Tenant Data'!$J$2:$J$4674*'Tenant Data'!$E$2:$E$4674)/SUMPRODUCT(('Tenant Data'!$A$2:$A$4674="Paddock Mall")*('Tenant Data'!$D$2:$D$4674="Health &amp; Beauty")*('Tenant Data'!$F$2:$F$4674&gt;0)*('Tenant Data'!$E$2:$E$4674&lt;10000)*'Tenant Data'!$E$2:$E$4674),"")</f>
        <v>0.15385326865793827</v>
      </c>
      <c r="R33">
        <f>IFERROR(SUMPRODUCT(('Tenant Data'!$A$2:$A$4674="Paddock Mall")*('Tenant Data'!$D$2:$D$4674="Food &amp; Beverage")*('Tenant Data'!$F$2:$F$4674&gt;0)*('Tenant Data'!$E$2:$E$4674&lt;10000)*'Tenant Data'!$J$2:$J$4674*'Tenant Data'!$E$2:$E$4674)/SUMPRODUCT(('Tenant Data'!$A$2:$A$4674="Paddock Mall")*('Tenant Data'!$D$2:$D$4674="Food &amp; Beverage")*('Tenant Data'!$F$2:$F$4674&gt;0)*('Tenant Data'!$E$2:$E$4674&lt;10000)*'Tenant Data'!$E$2:$E$4674),"")</f>
        <v>0.23921492758606788</v>
      </c>
      <c r="S33">
        <f>IFERROR(SUMPRODUCT(('Tenant Data'!$A$2:$A$4674="Paddock Mall")*('Tenant Data'!$D$2:$D$4674="Restaurant")*('Tenant Data'!$F$2:$F$4674&gt;0)*('Tenant Data'!$E$2:$E$4674&lt;10000)*'Tenant Data'!$J$2:$J$4674*'Tenant Data'!$E$2:$E$4674)/SUMPRODUCT(('Tenant Data'!$A$2:$A$4674="Paddock Mall")*('Tenant Data'!$D$2:$D$4674="Restaurant")*('Tenant Data'!$F$2:$F$4674&gt;0)*('Tenant Data'!$E$2:$E$4674&lt;10000)*'Tenant Data'!$E$2:$E$4674),"")</f>
        <v>0.13638008660903131</v>
      </c>
      <c r="T33">
        <f>IFERROR(SUMPRODUCT(('Tenant Data'!$A$2:$A$4674="Paddock Mall")*('Tenant Data'!$D$2:$D$4674="Hobby &amp; Novelty")*('Tenant Data'!$F$2:$F$4674&gt;0)*('Tenant Data'!$E$2:$E$4674&lt;10000)*'Tenant Data'!$J$2:$J$4674*'Tenant Data'!$E$2:$E$4674)/SUMPRODUCT(('Tenant Data'!$A$2:$A$4674="Paddock Mall")*('Tenant Data'!$D$2:$D$4674="Hobby &amp; Novelty")*('Tenant Data'!$F$2:$F$4674&gt;0)*('Tenant Data'!$E$2:$E$4674&lt;10000)*'Tenant Data'!$E$2:$E$4674),"")</f>
        <v>0.15136866473555913</v>
      </c>
      <c r="U33">
        <f>IFERROR(SUMPRODUCT(('Tenant Data'!$A$2:$A$4674="Paddock Mall")*('Tenant Data'!$D$2:$D$4674="Service")*('Tenant Data'!$F$2:$F$4674&gt;0)*('Tenant Data'!$E$2:$E$4674&lt;10000)*'Tenant Data'!$J$2:$J$4674*'Tenant Data'!$E$2:$E$4674)/SUMPRODUCT(('Tenant Data'!$A$2:$A$4674="Paddock Mall")*('Tenant Data'!$D$2:$D$4674="Service")*('Tenant Data'!$F$2:$F$4674&gt;0)*('Tenant Data'!$E$2:$E$4674&lt;10000)*'Tenant Data'!$E$2:$E$4674),"")</f>
        <v>0.1372423188466726</v>
      </c>
      <c r="V33">
        <f>IFERROR(SUMPRODUCT(('Tenant Data'!$A$2:$A$4674="Paddock Mall")*('Tenant Data'!$D$2:$D$4674="Tech")*('Tenant Data'!$F$2:$F$4674&gt;0)*('Tenant Data'!$E$2:$E$4674&lt;10000)*'Tenant Data'!$J$2:$J$4674*'Tenant Data'!$E$2:$E$4674)/SUMPRODUCT(('Tenant Data'!$A$2:$A$4674="Paddock Mall")*('Tenant Data'!$D$2:$D$4674="Tech")*('Tenant Data'!$F$2:$F$4674&gt;0)*('Tenant Data'!$E$2:$E$4674&lt;10000)*'Tenant Data'!$E$2:$E$4674),"")</f>
        <v>0.52852311013530517</v>
      </c>
      <c r="W33" t="str">
        <f>IFERROR(SUMPRODUCT(('Tenant Data'!$A$2:$A$4674="Paddock Mall")*('Tenant Data'!$D$2:$D$4674="Major")*('Tenant Data'!$F$2:$F$4674&gt;0)*('Tenant Data'!$E$2:$E$4674&lt;10000)*'Tenant Data'!$J$2:$J$4674*'Tenant Data'!$E$2:$E$4674)/SUMPRODUCT(('Tenant Data'!$A$2:$A$4674="Paddock Mall")*('Tenant Data'!$D$2:$D$4674="Major")*('Tenant Data'!$F$2:$F$4674&gt;0)*('Tenant Data'!$E$2:$E$4674&lt;10000)*'Tenant Data'!$E$2:$E$4674),"")</f>
        <v/>
      </c>
      <c r="X33" t="str">
        <f>IFERROR(SUMPRODUCT(('Tenant Data'!$A$2:$A$4674="Paddock Mall")*('Tenant Data'!$D$2:$D$4674="Anchor")*('Tenant Data'!$F$2:$F$4674&gt;0)*('Tenant Data'!$E$2:$E$4674&lt;10000)*'Tenant Data'!$J$2:$J$4674*'Tenant Data'!$E$2:$E$4674)/SUMPRODUCT(('Tenant Data'!$A$2:$A$4674="Paddock Mall")*('Tenant Data'!$D$2:$D$4674="Anchor")*('Tenant Data'!$F$2:$F$4674&gt;0)*('Tenant Data'!$E$2:$E$4674&lt;10000)*'Tenant Data'!$E$2:$E$4674),"")</f>
        <v/>
      </c>
      <c r="Y33" t="str">
        <f>IFERROR(SUMPRODUCT(('Tenant Data'!$A$2:$A$4674="Paddock Mall")*('Tenant Data'!$D$2:$D$4674="Apple")*('Tenant Data'!$F$2:$F$4674&gt;0)*('Tenant Data'!$E$2:$E$4674&lt;10000)*'Tenant Data'!$J$2:$J$4674*'Tenant Data'!$E$2:$E$4674)/SUMPRODUCT(('Tenant Data'!$A$2:$A$4674="Paddock Mall")*('Tenant Data'!$D$2:$D$4674="Apple")*('Tenant Data'!$F$2:$F$4674&gt;0)*('Tenant Data'!$E$2:$E$4674&lt;10000)*'Tenant Data'!$E$2:$E$4674),"")</f>
        <v/>
      </c>
      <c r="Z33">
        <f>SUMIFS('Tenant Data'!$F$2:$F$4674,'Tenant Data'!$A$2:$A$4674,"Paddock Mall",'Tenant Data'!$D$2:$D$4674,"Apparel",'Tenant Data'!$E$2:$E$4674,"&lt;10000")</f>
        <v>17021464.699999999</v>
      </c>
      <c r="AA33">
        <f>SUMIFS('Tenant Data'!$F$2:$F$4674,'Tenant Data'!$A$2:$A$4674,"Paddock Mall",'Tenant Data'!$D$2:$D$4674,"Shoes",'Tenant Data'!$E$2:$E$4674,"&lt;10000")</f>
        <v>14111287.199999999</v>
      </c>
      <c r="AB33">
        <f>SUMIFS('Tenant Data'!$F$2:$F$4674,'Tenant Data'!$A$2:$A$4674,"Paddock Mall",'Tenant Data'!$D$2:$D$4674,"Jewelry",'Tenant Data'!$E$2:$E$4674,"&lt;10000")</f>
        <v>13769659.309999999</v>
      </c>
      <c r="AC33">
        <f>SUMIFS('Tenant Data'!$F$2:$F$4674,'Tenant Data'!$A$2:$A$4674,"Paddock Mall",'Tenant Data'!$D$2:$D$4674,"Health &amp; Beauty",'Tenant Data'!$E$2:$E$4674,"&lt;10000")</f>
        <v>7790102.1699999999</v>
      </c>
      <c r="AD33">
        <f>SUMIFS('Tenant Data'!$F$2:$F$4674,'Tenant Data'!$A$2:$A$4674,"Paddock Mall",'Tenant Data'!$D$2:$D$4674,"Food &amp; Beverage",'Tenant Data'!$E$2:$E$4674,"&lt;10000")</f>
        <v>1625521.6099999999</v>
      </c>
      <c r="AE33">
        <f>SUMIFS('Tenant Data'!$F$2:$F$4674,'Tenant Data'!$A$2:$A$4674,"Paddock Mall",'Tenant Data'!$D$2:$D$4674,"Restaurant",'Tenant Data'!$E$2:$E$4674,"&lt;10000")</f>
        <v>6838408.8300000001</v>
      </c>
      <c r="AF33">
        <f>SUMIFS('Tenant Data'!$F$2:$F$4674,'Tenant Data'!$A$2:$A$4674,"Paddock Mall",'Tenant Data'!$D$2:$D$4674,"Hobby &amp; Novelty",'Tenant Data'!$E$2:$E$4674,"&lt;10000")</f>
        <v>4258519.9399999995</v>
      </c>
      <c r="AG33">
        <f>SUMIFS('Tenant Data'!$F$2:$F$4674,'Tenant Data'!$A$2:$A$4674,"Paddock Mall",'Tenant Data'!$D$2:$D$4674,"Service",'Tenant Data'!$E$2:$E$4674,"&lt;10000")</f>
        <v>2592724.25</v>
      </c>
      <c r="AH33">
        <f>SUMIFS('Tenant Data'!$F$2:$F$4674,'Tenant Data'!$A$2:$A$4674,"Paddock Mall",'Tenant Data'!$D$2:$D$4674,"Tech",'Tenant Data'!$E$2:$E$4674,"&lt;10000")</f>
        <v>356948.15</v>
      </c>
      <c r="AI33">
        <f>SUMIFS('Tenant Data'!$F$2:$F$4674,'Tenant Data'!$A$2:$A$4674,"Paddock Mall",'Tenant Data'!$D$2:$D$4674,"Major",'Tenant Data'!$E$2:$E$4674,"&lt;10000")</f>
        <v>0</v>
      </c>
      <c r="AJ33">
        <f>SUMIFS('Tenant Data'!$F$2:$F$4674,'Tenant Data'!$A$2:$A$4674,"Paddock Mall",'Tenant Data'!$D$2:$D$4674,"Anchor",'Tenant Data'!$E$2:$E$4674,"&lt;10000")</f>
        <v>0</v>
      </c>
      <c r="AK33">
        <f>SUMIFS('Tenant Data'!$F$2:$F$4674,'Tenant Data'!$A$2:$A$4674,"Paddock Mall",'Tenant Data'!$D$2:$D$4674,"Apple",'Tenant Data'!$E$2:$E$4674,"&lt;10000")</f>
        <v>0</v>
      </c>
      <c r="AL33">
        <f>SUMIFS('Tenant Data'!$E$2:$E$4674,'Tenant Data'!$A$2:$A$4674,"Paddock Mall",'Tenant Data'!$D$2:$D$4674,"Apparel",'Tenant Data'!$F$2:$F$4674,"&gt;0",'Tenant Data'!$E$2:$E$4674,"&lt;10000")</f>
        <v>46446</v>
      </c>
      <c r="AM33">
        <f>SUMIFS('Tenant Data'!$E$2:$E$4674,'Tenant Data'!$A$2:$A$4674,"Paddock Mall",'Tenant Data'!$D$2:$D$4674,"Shoes",'Tenant Data'!$F$2:$F$4674,"&gt;0",'Tenant Data'!$E$2:$E$4674,"&lt;10000")</f>
        <v>27528</v>
      </c>
      <c r="AN33">
        <f>SUMIFS('Tenant Data'!$E$2:$E$4674,'Tenant Data'!$A$2:$A$4674,"Paddock Mall",'Tenant Data'!$D$2:$D$4674,"Jewelry",'Tenant Data'!$F$2:$F$4674,"&gt;0",'Tenant Data'!$E$2:$E$4674,"&lt;10000")</f>
        <v>10167</v>
      </c>
      <c r="AO33">
        <f>SUMIFS('Tenant Data'!$E$2:$E$4674,'Tenant Data'!$A$2:$A$4674,"Paddock Mall",'Tenant Data'!$D$2:$D$4674,"Health &amp; Beauty",'Tenant Data'!$F$2:$F$4674,"&gt;0",'Tenant Data'!$E$2:$E$4674,"&lt;10000")</f>
        <v>13231</v>
      </c>
      <c r="AP33">
        <f>SUMIFS('Tenant Data'!$E$2:$E$4674,'Tenant Data'!$A$2:$A$4674,"Paddock Mall",'Tenant Data'!$D$2:$D$4674,"Food &amp; Beverage",'Tenant Data'!$F$2:$F$4674,"&gt;0",'Tenant Data'!$E$2:$E$4674,"&lt;10000")</f>
        <v>1934</v>
      </c>
      <c r="AQ33">
        <f>SUMIFS('Tenant Data'!$E$2:$E$4674,'Tenant Data'!$A$2:$A$4674,"Paddock Mall",'Tenant Data'!$D$2:$D$4674,"Restaurant",'Tenant Data'!$F$2:$F$4674,"&gt;0",'Tenant Data'!$E$2:$E$4674,"&lt;10000")</f>
        <v>4190</v>
      </c>
      <c r="AR33">
        <f>SUMIFS('Tenant Data'!$E$2:$E$4674,'Tenant Data'!$A$2:$A$4674,"Paddock Mall",'Tenant Data'!$D$2:$D$4674,"Hobby &amp; Novelty",'Tenant Data'!$F$2:$F$4674,"&gt;0",'Tenant Data'!$E$2:$E$4674,"&lt;10000")</f>
        <v>15312</v>
      </c>
      <c r="AS33">
        <f>SUMIFS('Tenant Data'!$E$2:$E$4674,'Tenant Data'!$A$2:$A$4674,"Paddock Mall",'Tenant Data'!$D$2:$D$4674,"Service",'Tenant Data'!$F$2:$F$4674,"&gt;0",'Tenant Data'!$E$2:$E$4674,"&lt;10000")</f>
        <v>6970</v>
      </c>
      <c r="AT33">
        <f>SUMIFS('Tenant Data'!$E$2:$E$4674,'Tenant Data'!$A$2:$A$4674,"Paddock Mall",'Tenant Data'!$D$2:$D$4674,"Tech",'Tenant Data'!$F$2:$F$4674,"&gt;0",'Tenant Data'!$E$2:$E$4674,"&lt;10000")</f>
        <v>300</v>
      </c>
      <c r="AU33">
        <f>SUMIFS('Tenant Data'!$E$2:$E$4674,'Tenant Data'!$A$2:$A$4674,"Paddock Mall",'Tenant Data'!$D$2:$D$4674,"Major",'Tenant Data'!$F$2:$F$4674,"&gt;0",'Tenant Data'!$E$2:$E$4674,"&lt;10000")</f>
        <v>0</v>
      </c>
      <c r="AV33">
        <f>SUMIFS('Tenant Data'!$E$2:$E$4674,'Tenant Data'!$A$2:$A$4674,"Paddock Mall",'Tenant Data'!$D$2:$D$4674,"Anchor",'Tenant Data'!$F$2:$F$4674,"&gt;0",'Tenant Data'!$E$2:$E$4674,"&lt;10000")</f>
        <v>0</v>
      </c>
      <c r="AW33">
        <f>SUMIFS('Tenant Data'!$E$2:$E$4674,'Tenant Data'!$A$2:$A$4674,"Paddock Mall",'Tenant Data'!$D$2:$D$4674,"Apple",'Tenant Data'!$F$2:$F$4674,"&gt;0",'Tenant Data'!$E$2:$E$4674,"&lt;10000")</f>
        <v>0</v>
      </c>
      <c r="AX33">
        <v>1</v>
      </c>
      <c r="AY33" t="str">
        <f>'Property Summary'!B33</f>
        <v>Y</v>
      </c>
      <c r="AZ33">
        <f t="shared" si="12"/>
        <v>126078</v>
      </c>
    </row>
    <row r="34" spans="1:52" x14ac:dyDescent="0.2">
      <c r="A34" t="s">
        <v>62</v>
      </c>
      <c r="B34">
        <f t="shared" si="0"/>
        <v>338.20688736092012</v>
      </c>
      <c r="C34">
        <f t="shared" si="1"/>
        <v>548.65864659375779</v>
      </c>
      <c r="D34">
        <f t="shared" si="2"/>
        <v>796.44594263519571</v>
      </c>
      <c r="E34">
        <f t="shared" si="3"/>
        <v>645.45708756414456</v>
      </c>
      <c r="F34">
        <f t="shared" si="4"/>
        <v>734.32543529097336</v>
      </c>
      <c r="G34">
        <f t="shared" si="5"/>
        <v>517.5984289530594</v>
      </c>
      <c r="H34">
        <f t="shared" si="6"/>
        <v>338.45281350379031</v>
      </c>
      <c r="I34">
        <f t="shared" si="7"/>
        <v>408.0332258392159</v>
      </c>
      <c r="J34">
        <f t="shared" si="8"/>
        <v>808.76363636363635</v>
      </c>
      <c r="K34">
        <f t="shared" si="9"/>
        <v>337.69193308988099</v>
      </c>
      <c r="L34" t="str">
        <f t="shared" si="10"/>
        <v/>
      </c>
      <c r="M34" t="str">
        <f t="shared" si="11"/>
        <v/>
      </c>
      <c r="N34">
        <f>IFERROR(SUMPRODUCT(('Tenant Data'!$A$2:$A$4674="Palisades Center")*('Tenant Data'!$D$2:$D$4674="Apparel")*('Tenant Data'!$F$2:$F$4674&gt;0)*('Tenant Data'!$E$2:$E$4674&lt;10000)*'Tenant Data'!$J$2:$J$4674*'Tenant Data'!$E$2:$E$4674)/SUMPRODUCT(('Tenant Data'!$A$2:$A$4674="Palisades Center")*('Tenant Data'!$D$2:$D$4674="Apparel")*('Tenant Data'!$F$2:$F$4674&gt;0)*('Tenant Data'!$E$2:$E$4674&lt;10000)*'Tenant Data'!$E$2:$E$4674),"")</f>
        <v>0.1361557578277019</v>
      </c>
      <c r="O34">
        <f>IFERROR(SUMPRODUCT(('Tenant Data'!$A$2:$A$4674="Palisades Center")*('Tenant Data'!$D$2:$D$4674="Shoes")*('Tenant Data'!$F$2:$F$4674&gt;0)*('Tenant Data'!$E$2:$E$4674&lt;10000)*'Tenant Data'!$J$2:$J$4674*'Tenant Data'!$E$2:$E$4674)/SUMPRODUCT(('Tenant Data'!$A$2:$A$4674="Palisades Center")*('Tenant Data'!$D$2:$D$4674="Shoes")*('Tenant Data'!$F$2:$F$4674&gt;0)*('Tenant Data'!$E$2:$E$4674&lt;10000)*'Tenant Data'!$E$2:$E$4674),"")</f>
        <v>0.15981464948347746</v>
      </c>
      <c r="P34">
        <f>IFERROR(SUMPRODUCT(('Tenant Data'!$A$2:$A$4674="Palisades Center")*('Tenant Data'!$D$2:$D$4674="Jewelry")*('Tenant Data'!$F$2:$F$4674&gt;0)*('Tenant Data'!$E$2:$E$4674&lt;10000)*'Tenant Data'!$J$2:$J$4674*'Tenant Data'!$E$2:$E$4674)/SUMPRODUCT(('Tenant Data'!$A$2:$A$4674="Palisades Center")*('Tenant Data'!$D$2:$D$4674="Jewelry")*('Tenant Data'!$F$2:$F$4674&gt;0)*('Tenant Data'!$E$2:$E$4674&lt;10000)*'Tenant Data'!$E$2:$E$4674),"")</f>
        <v>0.26397901399679397</v>
      </c>
      <c r="Q34">
        <f>IFERROR(SUMPRODUCT(('Tenant Data'!$A$2:$A$4674="Palisades Center")*('Tenant Data'!$D$2:$D$4674="Health &amp; Beauty")*('Tenant Data'!$F$2:$F$4674&gt;0)*('Tenant Data'!$E$2:$E$4674&lt;10000)*'Tenant Data'!$J$2:$J$4674*'Tenant Data'!$E$2:$E$4674)/SUMPRODUCT(('Tenant Data'!$A$2:$A$4674="Palisades Center")*('Tenant Data'!$D$2:$D$4674="Health &amp; Beauty")*('Tenant Data'!$F$2:$F$4674&gt;0)*('Tenant Data'!$E$2:$E$4674&lt;10000)*'Tenant Data'!$E$2:$E$4674),"")</f>
        <v>0.28443148810920332</v>
      </c>
      <c r="R34">
        <f>IFERROR(SUMPRODUCT(('Tenant Data'!$A$2:$A$4674="Palisades Center")*('Tenant Data'!$D$2:$D$4674="Food &amp; Beverage")*('Tenant Data'!$F$2:$F$4674&gt;0)*('Tenant Data'!$E$2:$E$4674&lt;10000)*'Tenant Data'!$J$2:$J$4674*'Tenant Data'!$E$2:$E$4674)/SUMPRODUCT(('Tenant Data'!$A$2:$A$4674="Palisades Center")*('Tenant Data'!$D$2:$D$4674="Food &amp; Beverage")*('Tenant Data'!$F$2:$F$4674&gt;0)*('Tenant Data'!$E$2:$E$4674&lt;10000)*'Tenant Data'!$E$2:$E$4674),"")</f>
        <v>0.26865995471694593</v>
      </c>
      <c r="S34">
        <f>IFERROR(SUMPRODUCT(('Tenant Data'!$A$2:$A$4674="Palisades Center")*('Tenant Data'!$D$2:$D$4674="Restaurant")*('Tenant Data'!$F$2:$F$4674&gt;0)*('Tenant Data'!$E$2:$E$4674&lt;10000)*'Tenant Data'!$J$2:$J$4674*'Tenant Data'!$E$2:$E$4674)/SUMPRODUCT(('Tenant Data'!$A$2:$A$4674="Palisades Center")*('Tenant Data'!$D$2:$D$4674="Restaurant")*('Tenant Data'!$F$2:$F$4674&gt;0)*('Tenant Data'!$E$2:$E$4674&lt;10000)*'Tenant Data'!$E$2:$E$4674),"")</f>
        <v>0.14271915013572073</v>
      </c>
      <c r="T34">
        <f>IFERROR(SUMPRODUCT(('Tenant Data'!$A$2:$A$4674="Palisades Center")*('Tenant Data'!$D$2:$D$4674="Hobby &amp; Novelty")*('Tenant Data'!$F$2:$F$4674&gt;0)*('Tenant Data'!$E$2:$E$4674&lt;10000)*'Tenant Data'!$J$2:$J$4674*'Tenant Data'!$E$2:$E$4674)/SUMPRODUCT(('Tenant Data'!$A$2:$A$4674="Palisades Center")*('Tenant Data'!$D$2:$D$4674="Hobby &amp; Novelty")*('Tenant Data'!$F$2:$F$4674&gt;0)*('Tenant Data'!$E$2:$E$4674&lt;10000)*'Tenant Data'!$E$2:$E$4674),"")</f>
        <v>0.22646270735875099</v>
      </c>
      <c r="U34">
        <f>IFERROR(SUMPRODUCT(('Tenant Data'!$A$2:$A$4674="Palisades Center")*('Tenant Data'!$D$2:$D$4674="Service")*('Tenant Data'!$F$2:$F$4674&gt;0)*('Tenant Data'!$E$2:$E$4674&lt;10000)*'Tenant Data'!$J$2:$J$4674*'Tenant Data'!$E$2:$E$4674)/SUMPRODUCT(('Tenant Data'!$A$2:$A$4674="Palisades Center")*('Tenant Data'!$D$2:$D$4674="Service")*('Tenant Data'!$F$2:$F$4674&gt;0)*('Tenant Data'!$E$2:$E$4674&lt;10000)*'Tenant Data'!$E$2:$E$4674),"")</f>
        <v>0.27581603988667303</v>
      </c>
      <c r="V34">
        <f>IFERROR(SUMPRODUCT(('Tenant Data'!$A$2:$A$4674="Palisades Center")*('Tenant Data'!$D$2:$D$4674="Tech")*('Tenant Data'!$F$2:$F$4674&gt;0)*('Tenant Data'!$E$2:$E$4674&lt;10000)*'Tenant Data'!$J$2:$J$4674*'Tenant Data'!$E$2:$E$4674)/SUMPRODUCT(('Tenant Data'!$A$2:$A$4674="Palisades Center")*('Tenant Data'!$D$2:$D$4674="Tech")*('Tenant Data'!$F$2:$F$4674&gt;0)*('Tenant Data'!$E$2:$E$4674&lt;10000)*'Tenant Data'!$E$2:$E$4674),"")</f>
        <v>0.70996151321929557</v>
      </c>
      <c r="W34">
        <f>IFERROR(SUMPRODUCT(('Tenant Data'!$A$2:$A$4674="Palisades Center")*('Tenant Data'!$D$2:$D$4674="Major")*('Tenant Data'!$F$2:$F$4674&gt;0)*('Tenant Data'!$E$2:$E$4674&lt;10000)*'Tenant Data'!$J$2:$J$4674*'Tenant Data'!$E$2:$E$4674)/SUMPRODUCT(('Tenant Data'!$A$2:$A$4674="Palisades Center")*('Tenant Data'!$D$2:$D$4674="Major")*('Tenant Data'!$F$2:$F$4674&gt;0)*('Tenant Data'!$E$2:$E$4674&lt;10000)*'Tenant Data'!$E$2:$E$4674),"")</f>
        <v>0.11673028677954279</v>
      </c>
      <c r="X34" t="str">
        <f>IFERROR(SUMPRODUCT(('Tenant Data'!$A$2:$A$4674="Palisades Center")*('Tenant Data'!$D$2:$D$4674="Anchor")*('Tenant Data'!$F$2:$F$4674&gt;0)*('Tenant Data'!$E$2:$E$4674&lt;10000)*'Tenant Data'!$J$2:$J$4674*'Tenant Data'!$E$2:$E$4674)/SUMPRODUCT(('Tenant Data'!$A$2:$A$4674="Palisades Center")*('Tenant Data'!$D$2:$D$4674="Anchor")*('Tenant Data'!$F$2:$F$4674&gt;0)*('Tenant Data'!$E$2:$E$4674&lt;10000)*'Tenant Data'!$E$2:$E$4674),"")</f>
        <v/>
      </c>
      <c r="Y34" t="str">
        <f>IFERROR(SUMPRODUCT(('Tenant Data'!$A$2:$A$4674="Palisades Center")*('Tenant Data'!$D$2:$D$4674="Apple")*('Tenant Data'!$F$2:$F$4674&gt;0)*('Tenant Data'!$E$2:$E$4674&lt;10000)*'Tenant Data'!$J$2:$J$4674*'Tenant Data'!$E$2:$E$4674)/SUMPRODUCT(('Tenant Data'!$A$2:$A$4674="Palisades Center")*('Tenant Data'!$D$2:$D$4674="Apple")*('Tenant Data'!$F$2:$F$4674&gt;0)*('Tenant Data'!$E$2:$E$4674&lt;10000)*'Tenant Data'!$E$2:$E$4674),"")</f>
        <v/>
      </c>
      <c r="Z34">
        <f>SUMIFS('Tenant Data'!$F$2:$F$4674,'Tenant Data'!$A$2:$A$4674,"Palisades Center",'Tenant Data'!$D$2:$D$4674,"Apparel",'Tenant Data'!$E$2:$E$4674,"&lt;10000")</f>
        <v>27053168.920000002</v>
      </c>
      <c r="AA34">
        <f>SUMIFS('Tenant Data'!$F$2:$F$4674,'Tenant Data'!$A$2:$A$4674,"Palisades Center",'Tenant Data'!$D$2:$D$4674,"Shoes",'Tenant Data'!$E$2:$E$4674,"&lt;10000")</f>
        <v>19916857.530000001</v>
      </c>
      <c r="AB34">
        <f>SUMIFS('Tenant Data'!$F$2:$F$4674,'Tenant Data'!$A$2:$A$4674,"Palisades Center",'Tenant Data'!$D$2:$D$4674,"Jewelry",'Tenant Data'!$E$2:$E$4674,"&lt;10000")</f>
        <v>7997113.71</v>
      </c>
      <c r="AC34">
        <f>SUMIFS('Tenant Data'!$F$2:$F$4674,'Tenant Data'!$A$2:$A$4674,"Palisades Center",'Tenant Data'!$D$2:$D$4674,"Health &amp; Beauty",'Tenant Data'!$E$2:$E$4674,"&lt;10000")</f>
        <v>11823482.93</v>
      </c>
      <c r="AD34">
        <f>SUMIFS('Tenant Data'!$F$2:$F$4674,'Tenant Data'!$A$2:$A$4674,"Palisades Center",'Tenant Data'!$D$2:$D$4674,"Food &amp; Beverage",'Tenant Data'!$E$2:$E$4674,"&lt;10000")</f>
        <v>10990648.789999999</v>
      </c>
      <c r="AE34">
        <f>SUMIFS('Tenant Data'!$F$2:$F$4674,'Tenant Data'!$A$2:$A$4674,"Palisades Center",'Tenant Data'!$D$2:$D$4674,"Restaurant",'Tenant Data'!$E$2:$E$4674,"&lt;10000")</f>
        <v>32550729.999999996</v>
      </c>
      <c r="AF34">
        <f>SUMIFS('Tenant Data'!$F$2:$F$4674,'Tenant Data'!$A$2:$A$4674,"Palisades Center",'Tenant Data'!$D$2:$D$4674,"Hobby &amp; Novelty",'Tenant Data'!$E$2:$E$4674,"&lt;10000")</f>
        <v>10536712.99</v>
      </c>
      <c r="AG34">
        <f>SUMIFS('Tenant Data'!$F$2:$F$4674,'Tenant Data'!$A$2:$A$4674,"Palisades Center",'Tenant Data'!$D$2:$D$4674,"Service",'Tenant Data'!$E$2:$E$4674,"&lt;10000")</f>
        <v>8034582.25</v>
      </c>
      <c r="AH34">
        <f>SUMIFS('Tenant Data'!$F$2:$F$4674,'Tenant Data'!$A$2:$A$4674,"Palisades Center",'Tenant Data'!$D$2:$D$4674,"Tech",'Tenant Data'!$E$2:$E$4674,"&lt;10000")</f>
        <v>266892</v>
      </c>
      <c r="AI34">
        <f>SUMIFS('Tenant Data'!$F$2:$F$4674,'Tenant Data'!$A$2:$A$4674,"Palisades Center",'Tenant Data'!$D$2:$D$4674,"Major",'Tenant Data'!$E$2:$E$4674,"&lt;10000")</f>
        <v>2866666.82</v>
      </c>
      <c r="AJ34">
        <f>SUMIFS('Tenant Data'!$F$2:$F$4674,'Tenant Data'!$A$2:$A$4674,"Palisades Center",'Tenant Data'!$D$2:$D$4674,"Anchor",'Tenant Data'!$E$2:$E$4674,"&lt;10000")</f>
        <v>0</v>
      </c>
      <c r="AK34">
        <f>SUMIFS('Tenant Data'!$F$2:$F$4674,'Tenant Data'!$A$2:$A$4674,"Palisades Center",'Tenant Data'!$D$2:$D$4674,"Apple",'Tenant Data'!$E$2:$E$4674,"&lt;10000")</f>
        <v>0</v>
      </c>
      <c r="AL34">
        <f>SUMIFS('Tenant Data'!$E$2:$E$4674,'Tenant Data'!$A$2:$A$4674,"Palisades Center",'Tenant Data'!$D$2:$D$4674,"Apparel",'Tenant Data'!$F$2:$F$4674,"&gt;0",'Tenant Data'!$E$2:$E$4674,"&lt;10000")</f>
        <v>79990</v>
      </c>
      <c r="AM34">
        <f>SUMIFS('Tenant Data'!$E$2:$E$4674,'Tenant Data'!$A$2:$A$4674,"Palisades Center",'Tenant Data'!$D$2:$D$4674,"Shoes",'Tenant Data'!$F$2:$F$4674,"&gt;0",'Tenant Data'!$E$2:$E$4674,"&lt;10000")</f>
        <v>36301</v>
      </c>
      <c r="AN34">
        <f>SUMIFS('Tenant Data'!$E$2:$E$4674,'Tenant Data'!$A$2:$A$4674,"Palisades Center",'Tenant Data'!$D$2:$D$4674,"Jewelry",'Tenant Data'!$F$2:$F$4674,"&gt;0",'Tenant Data'!$E$2:$E$4674,"&lt;10000")</f>
        <v>10041</v>
      </c>
      <c r="AO34">
        <f>SUMIFS('Tenant Data'!$E$2:$E$4674,'Tenant Data'!$A$2:$A$4674,"Palisades Center",'Tenant Data'!$D$2:$D$4674,"Health &amp; Beauty",'Tenant Data'!$F$2:$F$4674,"&gt;0",'Tenant Data'!$E$2:$E$4674,"&lt;10000")</f>
        <v>18318</v>
      </c>
      <c r="AP34">
        <f>SUMIFS('Tenant Data'!$E$2:$E$4674,'Tenant Data'!$A$2:$A$4674,"Palisades Center",'Tenant Data'!$D$2:$D$4674,"Food &amp; Beverage",'Tenant Data'!$F$2:$F$4674,"&gt;0",'Tenant Data'!$E$2:$E$4674,"&lt;10000")</f>
        <v>14967</v>
      </c>
      <c r="AQ34">
        <f>SUMIFS('Tenant Data'!$E$2:$E$4674,'Tenant Data'!$A$2:$A$4674,"Palisades Center",'Tenant Data'!$D$2:$D$4674,"Restaurant",'Tenant Data'!$F$2:$F$4674,"&gt;0",'Tenant Data'!$E$2:$E$4674,"&lt;10000")</f>
        <v>62888</v>
      </c>
      <c r="AR34">
        <f>SUMIFS('Tenant Data'!$E$2:$E$4674,'Tenant Data'!$A$2:$A$4674,"Palisades Center",'Tenant Data'!$D$2:$D$4674,"Hobby &amp; Novelty",'Tenant Data'!$F$2:$F$4674,"&gt;0",'Tenant Data'!$E$2:$E$4674,"&lt;10000")</f>
        <v>31132</v>
      </c>
      <c r="AS34">
        <f>SUMIFS('Tenant Data'!$E$2:$E$4674,'Tenant Data'!$A$2:$A$4674,"Palisades Center",'Tenant Data'!$D$2:$D$4674,"Service",'Tenant Data'!$F$2:$F$4674,"&gt;0",'Tenant Data'!$E$2:$E$4674,"&lt;10000")</f>
        <v>19691</v>
      </c>
      <c r="AT34">
        <f>SUMIFS('Tenant Data'!$E$2:$E$4674,'Tenant Data'!$A$2:$A$4674,"Palisades Center",'Tenant Data'!$D$2:$D$4674,"Tech",'Tenant Data'!$F$2:$F$4674,"&gt;0",'Tenant Data'!$E$2:$E$4674,"&lt;10000")</f>
        <v>330</v>
      </c>
      <c r="AU34">
        <f>SUMIFS('Tenant Data'!$E$2:$E$4674,'Tenant Data'!$A$2:$A$4674,"Palisades Center",'Tenant Data'!$D$2:$D$4674,"Major",'Tenant Data'!$F$2:$F$4674,"&gt;0",'Tenant Data'!$E$2:$E$4674,"&lt;10000")</f>
        <v>8489</v>
      </c>
      <c r="AV34">
        <f>SUMIFS('Tenant Data'!$E$2:$E$4674,'Tenant Data'!$A$2:$A$4674,"Palisades Center",'Tenant Data'!$D$2:$D$4674,"Anchor",'Tenant Data'!$F$2:$F$4674,"&gt;0",'Tenant Data'!$E$2:$E$4674,"&lt;10000")</f>
        <v>0</v>
      </c>
      <c r="AW34">
        <f>SUMIFS('Tenant Data'!$E$2:$E$4674,'Tenant Data'!$A$2:$A$4674,"Palisades Center",'Tenant Data'!$D$2:$D$4674,"Apple",'Tenant Data'!$F$2:$F$4674,"&gt;0",'Tenant Data'!$E$2:$E$4674,"&lt;10000")</f>
        <v>0</v>
      </c>
      <c r="AX34">
        <v>1</v>
      </c>
      <c r="AY34" t="str">
        <f>'Property Summary'!B34</f>
        <v>Y</v>
      </c>
      <c r="AZ34">
        <f t="shared" si="12"/>
        <v>282147</v>
      </c>
    </row>
    <row r="35" spans="1:52" x14ac:dyDescent="0.2">
      <c r="A35" t="s">
        <v>33</v>
      </c>
      <c r="B35">
        <f t="shared" si="0"/>
        <v>257.02422811354529</v>
      </c>
      <c r="C35">
        <f t="shared" si="1"/>
        <v>413.83101297291108</v>
      </c>
      <c r="D35">
        <f t="shared" si="2"/>
        <v>1003.6057956377832</v>
      </c>
      <c r="E35">
        <f t="shared" si="3"/>
        <v>353.13903441747243</v>
      </c>
      <c r="F35">
        <f t="shared" si="4"/>
        <v>406.22748877485571</v>
      </c>
      <c r="G35">
        <f t="shared" si="5"/>
        <v>508.48339579886346</v>
      </c>
      <c r="H35">
        <f t="shared" si="6"/>
        <v>278.18717616580312</v>
      </c>
      <c r="I35">
        <f t="shared" si="7"/>
        <v>288.24383383485485</v>
      </c>
      <c r="J35" t="str">
        <f t="shared" si="8"/>
        <v/>
      </c>
      <c r="K35" t="str">
        <f t="shared" si="9"/>
        <v/>
      </c>
      <c r="L35" t="str">
        <f t="shared" si="10"/>
        <v/>
      </c>
      <c r="M35" t="str">
        <f t="shared" si="11"/>
        <v/>
      </c>
      <c r="N35">
        <f>IFERROR(SUMPRODUCT(('Tenant Data'!$A$2:$A$4674="Pearland Town Center")*('Tenant Data'!$D$2:$D$4674="Apparel")*('Tenant Data'!$F$2:$F$4674&gt;0)*('Tenant Data'!$E$2:$E$4674&lt;10000)*'Tenant Data'!$J$2:$J$4674*'Tenant Data'!$E$2:$E$4674)/SUMPRODUCT(('Tenant Data'!$A$2:$A$4674="Pearland Town Center")*('Tenant Data'!$D$2:$D$4674="Apparel")*('Tenant Data'!$F$2:$F$4674&gt;0)*('Tenant Data'!$E$2:$E$4674&lt;10000)*'Tenant Data'!$E$2:$E$4674),"")</f>
        <v>0.1033492223171016</v>
      </c>
      <c r="O35">
        <f>IFERROR(SUMPRODUCT(('Tenant Data'!$A$2:$A$4674="Pearland Town Center")*('Tenant Data'!$D$2:$D$4674="Shoes")*('Tenant Data'!$F$2:$F$4674&gt;0)*('Tenant Data'!$E$2:$E$4674&lt;10000)*'Tenant Data'!$J$2:$J$4674*'Tenant Data'!$E$2:$E$4674)/SUMPRODUCT(('Tenant Data'!$A$2:$A$4674="Pearland Town Center")*('Tenant Data'!$D$2:$D$4674="Shoes")*('Tenant Data'!$F$2:$F$4674&gt;0)*('Tenant Data'!$E$2:$E$4674&lt;10000)*'Tenant Data'!$E$2:$E$4674),"")</f>
        <v>0.12476159182361125</v>
      </c>
      <c r="P35">
        <f>IFERROR(SUMPRODUCT(('Tenant Data'!$A$2:$A$4674="Pearland Town Center")*('Tenant Data'!$D$2:$D$4674="Jewelry")*('Tenant Data'!$F$2:$F$4674&gt;0)*('Tenant Data'!$E$2:$E$4674&lt;10000)*'Tenant Data'!$J$2:$J$4674*'Tenant Data'!$E$2:$E$4674)/SUMPRODUCT(('Tenant Data'!$A$2:$A$4674="Pearland Town Center")*('Tenant Data'!$D$2:$D$4674="Jewelry")*('Tenant Data'!$F$2:$F$4674&gt;0)*('Tenant Data'!$E$2:$E$4674&lt;10000)*'Tenant Data'!$E$2:$E$4674),"")</f>
        <v>7.5520655583540028E-2</v>
      </c>
      <c r="Q35">
        <f>IFERROR(SUMPRODUCT(('Tenant Data'!$A$2:$A$4674="Pearland Town Center")*('Tenant Data'!$D$2:$D$4674="Health &amp; Beauty")*('Tenant Data'!$F$2:$F$4674&gt;0)*('Tenant Data'!$E$2:$E$4674&lt;10000)*'Tenant Data'!$J$2:$J$4674*'Tenant Data'!$E$2:$E$4674)/SUMPRODUCT(('Tenant Data'!$A$2:$A$4674="Pearland Town Center")*('Tenant Data'!$D$2:$D$4674="Health &amp; Beauty")*('Tenant Data'!$F$2:$F$4674&gt;0)*('Tenant Data'!$E$2:$E$4674&lt;10000)*'Tenant Data'!$E$2:$E$4674),"")</f>
        <v>0.26833681672753062</v>
      </c>
      <c r="R35">
        <f>IFERROR(SUMPRODUCT(('Tenant Data'!$A$2:$A$4674="Pearland Town Center")*('Tenant Data'!$D$2:$D$4674="Food &amp; Beverage")*('Tenant Data'!$F$2:$F$4674&gt;0)*('Tenant Data'!$E$2:$E$4674&lt;10000)*'Tenant Data'!$J$2:$J$4674*'Tenant Data'!$E$2:$E$4674)/SUMPRODUCT(('Tenant Data'!$A$2:$A$4674="Pearland Town Center")*('Tenant Data'!$D$2:$D$4674="Food &amp; Beverage")*('Tenant Data'!$F$2:$F$4674&gt;0)*('Tenant Data'!$E$2:$E$4674&lt;10000)*'Tenant Data'!$E$2:$E$4674),"")</f>
        <v>0.22563436209380869</v>
      </c>
      <c r="S35">
        <f>IFERROR(SUMPRODUCT(('Tenant Data'!$A$2:$A$4674="Pearland Town Center")*('Tenant Data'!$D$2:$D$4674="Restaurant")*('Tenant Data'!$F$2:$F$4674&gt;0)*('Tenant Data'!$E$2:$E$4674&lt;10000)*'Tenant Data'!$J$2:$J$4674*'Tenant Data'!$E$2:$E$4674)/SUMPRODUCT(('Tenant Data'!$A$2:$A$4674="Pearland Town Center")*('Tenant Data'!$D$2:$D$4674="Restaurant")*('Tenant Data'!$F$2:$F$4674&gt;0)*('Tenant Data'!$E$2:$E$4674&lt;10000)*'Tenant Data'!$E$2:$E$4674),"")</f>
        <v>0.12534408557742591</v>
      </c>
      <c r="T35">
        <f>IFERROR(SUMPRODUCT(('Tenant Data'!$A$2:$A$4674="Pearland Town Center")*('Tenant Data'!$D$2:$D$4674="Hobby &amp; Novelty")*('Tenant Data'!$F$2:$F$4674&gt;0)*('Tenant Data'!$E$2:$E$4674&lt;10000)*'Tenant Data'!$J$2:$J$4674*'Tenant Data'!$E$2:$E$4674)/SUMPRODUCT(('Tenant Data'!$A$2:$A$4674="Pearland Town Center")*('Tenant Data'!$D$2:$D$4674="Hobby &amp; Novelty")*('Tenant Data'!$F$2:$F$4674&gt;0)*('Tenant Data'!$E$2:$E$4674&lt;10000)*'Tenant Data'!$E$2:$E$4674),"")</f>
        <v>8.7733560085402035E-2</v>
      </c>
      <c r="U35">
        <f>IFERROR(SUMPRODUCT(('Tenant Data'!$A$2:$A$4674="Pearland Town Center")*('Tenant Data'!$D$2:$D$4674="Service")*('Tenant Data'!$F$2:$F$4674&gt;0)*('Tenant Data'!$E$2:$E$4674&lt;10000)*'Tenant Data'!$J$2:$J$4674*'Tenant Data'!$E$2:$E$4674)/SUMPRODUCT(('Tenant Data'!$A$2:$A$4674="Pearland Town Center")*('Tenant Data'!$D$2:$D$4674="Service")*('Tenant Data'!$F$2:$F$4674&gt;0)*('Tenant Data'!$E$2:$E$4674&lt;10000)*'Tenant Data'!$E$2:$E$4674),"")</f>
        <v>0.13582525901761783</v>
      </c>
      <c r="V35" t="str">
        <f>IFERROR(SUMPRODUCT(('Tenant Data'!$A$2:$A$4674="Pearland Town Center")*('Tenant Data'!$D$2:$D$4674="Tech")*('Tenant Data'!$F$2:$F$4674&gt;0)*('Tenant Data'!$E$2:$E$4674&lt;10000)*'Tenant Data'!$J$2:$J$4674*'Tenant Data'!$E$2:$E$4674)/SUMPRODUCT(('Tenant Data'!$A$2:$A$4674="Pearland Town Center")*('Tenant Data'!$D$2:$D$4674="Tech")*('Tenant Data'!$F$2:$F$4674&gt;0)*('Tenant Data'!$E$2:$E$4674&lt;10000)*'Tenant Data'!$E$2:$E$4674),"")</f>
        <v/>
      </c>
      <c r="W35" t="str">
        <f>IFERROR(SUMPRODUCT(('Tenant Data'!$A$2:$A$4674="Pearland Town Center")*('Tenant Data'!$D$2:$D$4674="Major")*('Tenant Data'!$F$2:$F$4674&gt;0)*('Tenant Data'!$E$2:$E$4674&lt;10000)*'Tenant Data'!$J$2:$J$4674*'Tenant Data'!$E$2:$E$4674)/SUMPRODUCT(('Tenant Data'!$A$2:$A$4674="Pearland Town Center")*('Tenant Data'!$D$2:$D$4674="Major")*('Tenant Data'!$F$2:$F$4674&gt;0)*('Tenant Data'!$E$2:$E$4674&lt;10000)*'Tenant Data'!$E$2:$E$4674),"")</f>
        <v/>
      </c>
      <c r="X35" t="str">
        <f>IFERROR(SUMPRODUCT(('Tenant Data'!$A$2:$A$4674="Pearland Town Center")*('Tenant Data'!$D$2:$D$4674="Anchor")*('Tenant Data'!$F$2:$F$4674&gt;0)*('Tenant Data'!$E$2:$E$4674&lt;10000)*'Tenant Data'!$J$2:$J$4674*'Tenant Data'!$E$2:$E$4674)/SUMPRODUCT(('Tenant Data'!$A$2:$A$4674="Pearland Town Center")*('Tenant Data'!$D$2:$D$4674="Anchor")*('Tenant Data'!$F$2:$F$4674&gt;0)*('Tenant Data'!$E$2:$E$4674&lt;10000)*'Tenant Data'!$E$2:$E$4674),"")</f>
        <v/>
      </c>
      <c r="Y35" t="str">
        <f>IFERROR(SUMPRODUCT(('Tenant Data'!$A$2:$A$4674="Pearland Town Center")*('Tenant Data'!$D$2:$D$4674="Apple")*('Tenant Data'!$F$2:$F$4674&gt;0)*('Tenant Data'!$E$2:$E$4674&lt;10000)*'Tenant Data'!$J$2:$J$4674*'Tenant Data'!$E$2:$E$4674)/SUMPRODUCT(('Tenant Data'!$A$2:$A$4674="Pearland Town Center")*('Tenant Data'!$D$2:$D$4674="Apple")*('Tenant Data'!$F$2:$F$4674&gt;0)*('Tenant Data'!$E$2:$E$4674&lt;10000)*'Tenant Data'!$E$2:$E$4674),"")</f>
        <v/>
      </c>
      <c r="Z35">
        <f>SUMIFS('Tenant Data'!$F$2:$F$4674,'Tenant Data'!$A$2:$A$4674,"Pearland Town Center",'Tenant Data'!$D$2:$D$4674,"Apparel",'Tenant Data'!$E$2:$E$4674,"&lt;10000")</f>
        <v>15075756.1</v>
      </c>
      <c r="AA35">
        <f>SUMIFS('Tenant Data'!$F$2:$F$4674,'Tenant Data'!$A$2:$A$4674,"Pearland Town Center",'Tenant Data'!$D$2:$D$4674,"Shoes",'Tenant Data'!$E$2:$E$4674,"&lt;10000")</f>
        <v>14482430.129999997</v>
      </c>
      <c r="AB35">
        <f>SUMIFS('Tenant Data'!$F$2:$F$4674,'Tenant Data'!$A$2:$A$4674,"Pearland Town Center",'Tenant Data'!$D$2:$D$4674,"Jewelry",'Tenant Data'!$E$2:$E$4674,"&lt;10000")</f>
        <v>11825487.09</v>
      </c>
      <c r="AC35">
        <f>SUMIFS('Tenant Data'!$F$2:$F$4674,'Tenant Data'!$A$2:$A$4674,"Pearland Town Center",'Tenant Data'!$D$2:$D$4674,"Health &amp; Beauty",'Tenant Data'!$E$2:$E$4674,"&lt;10000")</f>
        <v>5222573.18</v>
      </c>
      <c r="AD35">
        <f>SUMIFS('Tenant Data'!$F$2:$F$4674,'Tenant Data'!$A$2:$A$4674,"Pearland Town Center",'Tenant Data'!$D$2:$D$4674,"Food &amp; Beverage",'Tenant Data'!$E$2:$E$4674,"&lt;10000")</f>
        <v>1266617.31</v>
      </c>
      <c r="AE35">
        <f>SUMIFS('Tenant Data'!$F$2:$F$4674,'Tenant Data'!$A$2:$A$4674,"Pearland Town Center",'Tenant Data'!$D$2:$D$4674,"Restaurant",'Tenant Data'!$E$2:$E$4674,"&lt;10000")</f>
        <v>14136855.370000001</v>
      </c>
      <c r="AF35">
        <f>SUMIFS('Tenant Data'!$F$2:$F$4674,'Tenant Data'!$A$2:$A$4674,"Pearland Town Center",'Tenant Data'!$D$2:$D$4674,"Hobby &amp; Novelty",'Tenant Data'!$E$2:$E$4674,"&lt;10000")</f>
        <v>5583773</v>
      </c>
      <c r="AG35">
        <f>SUMIFS('Tenant Data'!$F$2:$F$4674,'Tenant Data'!$A$2:$A$4674,"Pearland Town Center",'Tenant Data'!$D$2:$D$4674,"Service",'Tenant Data'!$E$2:$E$4674,"&lt;10000")</f>
        <v>5651596.8499999996</v>
      </c>
      <c r="AH35">
        <f>SUMIFS('Tenant Data'!$F$2:$F$4674,'Tenant Data'!$A$2:$A$4674,"Pearland Town Center",'Tenant Data'!$D$2:$D$4674,"Tech",'Tenant Data'!$E$2:$E$4674,"&lt;10000")</f>
        <v>0</v>
      </c>
      <c r="AI35">
        <f>SUMIFS('Tenant Data'!$F$2:$F$4674,'Tenant Data'!$A$2:$A$4674,"Pearland Town Center",'Tenant Data'!$D$2:$D$4674,"Major",'Tenant Data'!$E$2:$E$4674,"&lt;10000")</f>
        <v>0</v>
      </c>
      <c r="AJ35">
        <f>SUMIFS('Tenant Data'!$F$2:$F$4674,'Tenant Data'!$A$2:$A$4674,"Pearland Town Center",'Tenant Data'!$D$2:$D$4674,"Anchor",'Tenant Data'!$E$2:$E$4674,"&lt;10000")</f>
        <v>0</v>
      </c>
      <c r="AK35">
        <f>SUMIFS('Tenant Data'!$F$2:$F$4674,'Tenant Data'!$A$2:$A$4674,"Pearland Town Center",'Tenant Data'!$D$2:$D$4674,"Apple",'Tenant Data'!$E$2:$E$4674,"&lt;10000")</f>
        <v>0</v>
      </c>
      <c r="AL35">
        <f>SUMIFS('Tenant Data'!$E$2:$E$4674,'Tenant Data'!$A$2:$A$4674,"Pearland Town Center",'Tenant Data'!$D$2:$D$4674,"Apparel",'Tenant Data'!$F$2:$F$4674,"&gt;0",'Tenant Data'!$E$2:$E$4674,"&lt;10000")</f>
        <v>58655</v>
      </c>
      <c r="AM35">
        <f>SUMIFS('Tenant Data'!$E$2:$E$4674,'Tenant Data'!$A$2:$A$4674,"Pearland Town Center",'Tenant Data'!$D$2:$D$4674,"Shoes",'Tenant Data'!$F$2:$F$4674,"&gt;0",'Tenant Data'!$E$2:$E$4674,"&lt;10000")</f>
        <v>34996</v>
      </c>
      <c r="AN35">
        <f>SUMIFS('Tenant Data'!$E$2:$E$4674,'Tenant Data'!$A$2:$A$4674,"Pearland Town Center",'Tenant Data'!$D$2:$D$4674,"Jewelry",'Tenant Data'!$F$2:$F$4674,"&gt;0",'Tenant Data'!$E$2:$E$4674,"&lt;10000")</f>
        <v>11783</v>
      </c>
      <c r="AO35">
        <f>SUMIFS('Tenant Data'!$E$2:$E$4674,'Tenant Data'!$A$2:$A$4674,"Pearland Town Center",'Tenant Data'!$D$2:$D$4674,"Health &amp; Beauty",'Tenant Data'!$F$2:$F$4674,"&gt;0",'Tenant Data'!$E$2:$E$4674,"&lt;10000")</f>
        <v>14789</v>
      </c>
      <c r="AP35">
        <f>SUMIFS('Tenant Data'!$E$2:$E$4674,'Tenant Data'!$A$2:$A$4674,"Pearland Town Center",'Tenant Data'!$D$2:$D$4674,"Food &amp; Beverage",'Tenant Data'!$F$2:$F$4674,"&gt;0",'Tenant Data'!$E$2:$E$4674,"&lt;10000")</f>
        <v>3118</v>
      </c>
      <c r="AQ35">
        <f>SUMIFS('Tenant Data'!$E$2:$E$4674,'Tenant Data'!$A$2:$A$4674,"Pearland Town Center",'Tenant Data'!$D$2:$D$4674,"Restaurant",'Tenant Data'!$F$2:$F$4674,"&gt;0",'Tenant Data'!$E$2:$E$4674,"&lt;10000")</f>
        <v>27802</v>
      </c>
      <c r="AR35">
        <f>SUMIFS('Tenant Data'!$E$2:$E$4674,'Tenant Data'!$A$2:$A$4674,"Pearland Town Center",'Tenant Data'!$D$2:$D$4674,"Hobby &amp; Novelty",'Tenant Data'!$F$2:$F$4674,"&gt;0",'Tenant Data'!$E$2:$E$4674,"&lt;10000")</f>
        <v>20072</v>
      </c>
      <c r="AS35">
        <f>SUMIFS('Tenant Data'!$E$2:$E$4674,'Tenant Data'!$A$2:$A$4674,"Pearland Town Center",'Tenant Data'!$D$2:$D$4674,"Service",'Tenant Data'!$F$2:$F$4674,"&gt;0",'Tenant Data'!$E$2:$E$4674,"&lt;10000")</f>
        <v>19607</v>
      </c>
      <c r="AT35">
        <f>SUMIFS('Tenant Data'!$E$2:$E$4674,'Tenant Data'!$A$2:$A$4674,"Pearland Town Center",'Tenant Data'!$D$2:$D$4674,"Tech",'Tenant Data'!$F$2:$F$4674,"&gt;0",'Tenant Data'!$E$2:$E$4674,"&lt;10000")</f>
        <v>0</v>
      </c>
      <c r="AU35">
        <f>SUMIFS('Tenant Data'!$E$2:$E$4674,'Tenant Data'!$A$2:$A$4674,"Pearland Town Center",'Tenant Data'!$D$2:$D$4674,"Major",'Tenant Data'!$F$2:$F$4674,"&gt;0",'Tenant Data'!$E$2:$E$4674,"&lt;10000")</f>
        <v>0</v>
      </c>
      <c r="AV35">
        <f>SUMIFS('Tenant Data'!$E$2:$E$4674,'Tenant Data'!$A$2:$A$4674,"Pearland Town Center",'Tenant Data'!$D$2:$D$4674,"Anchor",'Tenant Data'!$F$2:$F$4674,"&gt;0",'Tenant Data'!$E$2:$E$4674,"&lt;10000")</f>
        <v>0</v>
      </c>
      <c r="AW35">
        <f>SUMIFS('Tenant Data'!$E$2:$E$4674,'Tenant Data'!$A$2:$A$4674,"Pearland Town Center",'Tenant Data'!$D$2:$D$4674,"Apple",'Tenant Data'!$F$2:$F$4674,"&gt;0",'Tenant Data'!$E$2:$E$4674,"&lt;10000")</f>
        <v>0</v>
      </c>
      <c r="AX35">
        <v>0</v>
      </c>
      <c r="AY35" t="str">
        <f>'Property Summary'!B35</f>
        <v>Y</v>
      </c>
      <c r="AZ35">
        <f t="shared" si="12"/>
        <v>190822</v>
      </c>
    </row>
    <row r="36" spans="1:52" x14ac:dyDescent="0.2">
      <c r="A36" t="s">
        <v>46</v>
      </c>
      <c r="B36">
        <f t="shared" si="0"/>
        <v>343.84730192084913</v>
      </c>
      <c r="C36">
        <f t="shared" si="1"/>
        <v>545.32237382870289</v>
      </c>
      <c r="D36">
        <f t="shared" si="2"/>
        <v>1057.5246376811594</v>
      </c>
      <c r="E36">
        <f t="shared" si="3"/>
        <v>1113.902696365768</v>
      </c>
      <c r="F36">
        <f t="shared" si="4"/>
        <v>1863.6</v>
      </c>
      <c r="G36">
        <f t="shared" si="5"/>
        <v>862.58845570523681</v>
      </c>
      <c r="H36">
        <f t="shared" si="6"/>
        <v>635.54777224130419</v>
      </c>
      <c r="I36">
        <f t="shared" si="7"/>
        <v>357.74420190995909</v>
      </c>
      <c r="J36">
        <f t="shared" si="8"/>
        <v>2981.0889370932755</v>
      </c>
      <c r="K36" t="str">
        <f t="shared" si="9"/>
        <v/>
      </c>
      <c r="L36" t="str">
        <f t="shared" si="10"/>
        <v/>
      </c>
      <c r="M36" t="str">
        <f t="shared" si="11"/>
        <v/>
      </c>
      <c r="N36">
        <f>IFERROR(SUMPRODUCT(('Tenant Data'!$A$2:$A$4674="Providence Place")*('Tenant Data'!$D$2:$D$4674="Apparel")*('Tenant Data'!$F$2:$F$4674&gt;0)*('Tenant Data'!$E$2:$E$4674&lt;10000)*'Tenant Data'!$J$2:$J$4674*'Tenant Data'!$E$2:$E$4674)/SUMPRODUCT(('Tenant Data'!$A$2:$A$4674="Providence Place")*('Tenant Data'!$D$2:$D$4674="Apparel")*('Tenant Data'!$F$2:$F$4674&gt;0)*('Tenant Data'!$E$2:$E$4674&lt;10000)*'Tenant Data'!$E$2:$E$4674),"")</f>
        <v>0.14103065829898356</v>
      </c>
      <c r="O36">
        <f>IFERROR(SUMPRODUCT(('Tenant Data'!$A$2:$A$4674="Providence Place")*('Tenant Data'!$D$2:$D$4674="Shoes")*('Tenant Data'!$F$2:$F$4674&gt;0)*('Tenant Data'!$E$2:$E$4674&lt;10000)*'Tenant Data'!$J$2:$J$4674*'Tenant Data'!$E$2:$E$4674)/SUMPRODUCT(('Tenant Data'!$A$2:$A$4674="Providence Place")*('Tenant Data'!$D$2:$D$4674="Shoes")*('Tenant Data'!$F$2:$F$4674&gt;0)*('Tenant Data'!$E$2:$E$4674&lt;10000)*'Tenant Data'!$E$2:$E$4674),"")</f>
        <v>0.15476411411643237</v>
      </c>
      <c r="P36">
        <f>IFERROR(SUMPRODUCT(('Tenant Data'!$A$2:$A$4674="Providence Place")*('Tenant Data'!$D$2:$D$4674="Jewelry")*('Tenant Data'!$F$2:$F$4674&gt;0)*('Tenant Data'!$E$2:$E$4674&lt;10000)*'Tenant Data'!$J$2:$J$4674*'Tenant Data'!$E$2:$E$4674)/SUMPRODUCT(('Tenant Data'!$A$2:$A$4674="Providence Place")*('Tenant Data'!$D$2:$D$4674="Jewelry")*('Tenant Data'!$F$2:$F$4674&gt;0)*('Tenant Data'!$E$2:$E$4674&lt;10000)*'Tenant Data'!$E$2:$E$4674),"")</f>
        <v>0.16786283135295907</v>
      </c>
      <c r="Q36">
        <f>IFERROR(SUMPRODUCT(('Tenant Data'!$A$2:$A$4674="Providence Place")*('Tenant Data'!$D$2:$D$4674="Health &amp; Beauty")*('Tenant Data'!$F$2:$F$4674&gt;0)*('Tenant Data'!$E$2:$E$4674&lt;10000)*'Tenant Data'!$J$2:$J$4674*'Tenant Data'!$E$2:$E$4674)/SUMPRODUCT(('Tenant Data'!$A$2:$A$4674="Providence Place")*('Tenant Data'!$D$2:$D$4674="Health &amp; Beauty")*('Tenant Data'!$F$2:$F$4674&gt;0)*('Tenant Data'!$E$2:$E$4674&lt;10000)*'Tenant Data'!$E$2:$E$4674),"")</f>
        <v>0.15310980925205972</v>
      </c>
      <c r="R36">
        <f>IFERROR(SUMPRODUCT(('Tenant Data'!$A$2:$A$4674="Providence Place")*('Tenant Data'!$D$2:$D$4674="Food &amp; Beverage")*('Tenant Data'!$F$2:$F$4674&gt;0)*('Tenant Data'!$E$2:$E$4674&lt;10000)*'Tenant Data'!$J$2:$J$4674*'Tenant Data'!$E$2:$E$4674)/SUMPRODUCT(('Tenant Data'!$A$2:$A$4674="Providence Place")*('Tenant Data'!$D$2:$D$4674="Food &amp; Beverage")*('Tenant Data'!$F$2:$F$4674&gt;0)*('Tenant Data'!$E$2:$E$4674&lt;10000)*'Tenant Data'!$E$2:$E$4674),"")</f>
        <v>0.1696673351750459</v>
      </c>
      <c r="S36">
        <f>IFERROR(SUMPRODUCT(('Tenant Data'!$A$2:$A$4674="Providence Place")*('Tenant Data'!$D$2:$D$4674="Restaurant")*('Tenant Data'!$F$2:$F$4674&gt;0)*('Tenant Data'!$E$2:$E$4674&lt;10000)*'Tenant Data'!$J$2:$J$4674*'Tenant Data'!$E$2:$E$4674)/SUMPRODUCT(('Tenant Data'!$A$2:$A$4674="Providence Place")*('Tenant Data'!$D$2:$D$4674="Restaurant")*('Tenant Data'!$F$2:$F$4674&gt;0)*('Tenant Data'!$E$2:$E$4674&lt;10000)*'Tenant Data'!$E$2:$E$4674),"")</f>
        <v>6.9562980222649909E-2</v>
      </c>
      <c r="T36">
        <f>IFERROR(SUMPRODUCT(('Tenant Data'!$A$2:$A$4674="Providence Place")*('Tenant Data'!$D$2:$D$4674="Hobby &amp; Novelty")*('Tenant Data'!$F$2:$F$4674&gt;0)*('Tenant Data'!$E$2:$E$4674&lt;10000)*'Tenant Data'!$J$2:$J$4674*'Tenant Data'!$E$2:$E$4674)/SUMPRODUCT(('Tenant Data'!$A$2:$A$4674="Providence Place")*('Tenant Data'!$D$2:$D$4674="Hobby &amp; Novelty")*('Tenant Data'!$F$2:$F$4674&gt;0)*('Tenant Data'!$E$2:$E$4674&lt;10000)*'Tenant Data'!$E$2:$E$4674),"")</f>
        <v>0.13055378389236436</v>
      </c>
      <c r="U36">
        <f>IFERROR(SUMPRODUCT(('Tenant Data'!$A$2:$A$4674="Providence Place")*('Tenant Data'!$D$2:$D$4674="Service")*('Tenant Data'!$F$2:$F$4674&gt;0)*('Tenant Data'!$E$2:$E$4674&lt;10000)*'Tenant Data'!$J$2:$J$4674*'Tenant Data'!$E$2:$E$4674)/SUMPRODUCT(('Tenant Data'!$A$2:$A$4674="Providence Place")*('Tenant Data'!$D$2:$D$4674="Service")*('Tenant Data'!$F$2:$F$4674&gt;0)*('Tenant Data'!$E$2:$E$4674&lt;10000)*'Tenant Data'!$E$2:$E$4674),"")</f>
        <v>0.22819089484107016</v>
      </c>
      <c r="V36">
        <f>IFERROR(SUMPRODUCT(('Tenant Data'!$A$2:$A$4674="Providence Place")*('Tenant Data'!$D$2:$D$4674="Tech")*('Tenant Data'!$F$2:$F$4674&gt;0)*('Tenant Data'!$E$2:$E$4674&lt;10000)*'Tenant Data'!$J$2:$J$4674*'Tenant Data'!$E$2:$E$4674)/SUMPRODUCT(('Tenant Data'!$A$2:$A$4674="Providence Place")*('Tenant Data'!$D$2:$D$4674="Tech")*('Tenant Data'!$F$2:$F$4674&gt;0)*('Tenant Data'!$E$2:$E$4674&lt;10000)*'Tenant Data'!$E$2:$E$4674),"")</f>
        <v>2.8440315384620111E-2</v>
      </c>
      <c r="W36" t="str">
        <f>IFERROR(SUMPRODUCT(('Tenant Data'!$A$2:$A$4674="Providence Place")*('Tenant Data'!$D$2:$D$4674="Major")*('Tenant Data'!$F$2:$F$4674&gt;0)*('Tenant Data'!$E$2:$E$4674&lt;10000)*'Tenant Data'!$J$2:$J$4674*'Tenant Data'!$E$2:$E$4674)/SUMPRODUCT(('Tenant Data'!$A$2:$A$4674="Providence Place")*('Tenant Data'!$D$2:$D$4674="Major")*('Tenant Data'!$F$2:$F$4674&gt;0)*('Tenant Data'!$E$2:$E$4674&lt;10000)*'Tenant Data'!$E$2:$E$4674),"")</f>
        <v/>
      </c>
      <c r="X36" t="str">
        <f>IFERROR(SUMPRODUCT(('Tenant Data'!$A$2:$A$4674="Providence Place")*('Tenant Data'!$D$2:$D$4674="Anchor")*('Tenant Data'!$F$2:$F$4674&gt;0)*('Tenant Data'!$E$2:$E$4674&lt;10000)*'Tenant Data'!$J$2:$J$4674*'Tenant Data'!$E$2:$E$4674)/SUMPRODUCT(('Tenant Data'!$A$2:$A$4674="Providence Place")*('Tenant Data'!$D$2:$D$4674="Anchor")*('Tenant Data'!$F$2:$F$4674&gt;0)*('Tenant Data'!$E$2:$E$4674&lt;10000)*'Tenant Data'!$E$2:$E$4674),"")</f>
        <v/>
      </c>
      <c r="Y36" t="str">
        <f>IFERROR(SUMPRODUCT(('Tenant Data'!$A$2:$A$4674="Providence Place")*('Tenant Data'!$D$2:$D$4674="Apple")*('Tenant Data'!$F$2:$F$4674&gt;0)*('Tenant Data'!$E$2:$E$4674&lt;10000)*'Tenant Data'!$J$2:$J$4674*'Tenant Data'!$E$2:$E$4674)/SUMPRODUCT(('Tenant Data'!$A$2:$A$4674="Providence Place")*('Tenant Data'!$D$2:$D$4674="Apple")*('Tenant Data'!$F$2:$F$4674&gt;0)*('Tenant Data'!$E$2:$E$4674&lt;10000)*'Tenant Data'!$E$2:$E$4674),"")</f>
        <v/>
      </c>
      <c r="Z36">
        <f>SUMIFS('Tenant Data'!$F$2:$F$4674,'Tenant Data'!$A$2:$A$4674,"Providence Place",'Tenant Data'!$D$2:$D$4674,"Apparel",'Tenant Data'!$E$2:$E$4674,"&lt;10000")</f>
        <v>38289804</v>
      </c>
      <c r="AA36">
        <f>SUMIFS('Tenant Data'!$F$2:$F$4674,'Tenant Data'!$A$2:$A$4674,"Providence Place",'Tenant Data'!$D$2:$D$4674,"Shoes",'Tenant Data'!$E$2:$E$4674,"&lt;10000")</f>
        <v>13268784</v>
      </c>
      <c r="AB36">
        <f>SUMIFS('Tenant Data'!$F$2:$F$4674,'Tenant Data'!$A$2:$A$4674,"Providence Place",'Tenant Data'!$D$2:$D$4674,"Jewelry",'Tenant Data'!$E$2:$E$4674,"&lt;10000")</f>
        <v>4378152</v>
      </c>
      <c r="AC36">
        <f>SUMIFS('Tenant Data'!$F$2:$F$4674,'Tenant Data'!$A$2:$A$4674,"Providence Place",'Tenant Data'!$D$2:$D$4674,"Health &amp; Beauty",'Tenant Data'!$E$2:$E$4674,"&lt;10000")</f>
        <v>11401908</v>
      </c>
      <c r="AD36">
        <f>SUMIFS('Tenant Data'!$F$2:$F$4674,'Tenant Data'!$A$2:$A$4674,"Providence Place",'Tenant Data'!$D$2:$D$4674,"Food &amp; Beverage",'Tenant Data'!$E$2:$E$4674,"&lt;10000")</f>
        <v>5590800</v>
      </c>
      <c r="AE36">
        <f>SUMIFS('Tenant Data'!$F$2:$F$4674,'Tenant Data'!$A$2:$A$4674,"Providence Place",'Tenant Data'!$D$2:$D$4674,"Restaurant",'Tenant Data'!$E$2:$E$4674,"&lt;10000")</f>
        <v>19337508</v>
      </c>
      <c r="AF36">
        <f>SUMIFS('Tenant Data'!$F$2:$F$4674,'Tenant Data'!$A$2:$A$4674,"Providence Place",'Tenant Data'!$D$2:$D$4674,"Hobby &amp; Novelty",'Tenant Data'!$E$2:$E$4674,"&lt;10000")</f>
        <v>13137408</v>
      </c>
      <c r="AG36">
        <f>SUMIFS('Tenant Data'!$F$2:$F$4674,'Tenant Data'!$A$2:$A$4674,"Providence Place",'Tenant Data'!$D$2:$D$4674,"Service",'Tenant Data'!$E$2:$E$4674,"&lt;10000")</f>
        <v>6293436</v>
      </c>
      <c r="AH36">
        <f>SUMIFS('Tenant Data'!$F$2:$F$4674,'Tenant Data'!$A$2:$A$4674,"Providence Place",'Tenant Data'!$D$2:$D$4674,"Tech",'Tenant Data'!$E$2:$E$4674,"&lt;10000")</f>
        <v>5497128</v>
      </c>
      <c r="AI36">
        <f>SUMIFS('Tenant Data'!$F$2:$F$4674,'Tenant Data'!$A$2:$A$4674,"Providence Place",'Tenant Data'!$D$2:$D$4674,"Major",'Tenant Data'!$E$2:$E$4674,"&lt;10000")</f>
        <v>0</v>
      </c>
      <c r="AJ36">
        <f>SUMIFS('Tenant Data'!$F$2:$F$4674,'Tenant Data'!$A$2:$A$4674,"Providence Place",'Tenant Data'!$D$2:$D$4674,"Anchor",'Tenant Data'!$E$2:$E$4674,"&lt;10000")</f>
        <v>0</v>
      </c>
      <c r="AK36">
        <f>SUMIFS('Tenant Data'!$F$2:$F$4674,'Tenant Data'!$A$2:$A$4674,"Providence Place",'Tenant Data'!$D$2:$D$4674,"Apple",'Tenant Data'!$E$2:$E$4674,"&lt;10000")</f>
        <v>0</v>
      </c>
      <c r="AL36">
        <f>SUMIFS('Tenant Data'!$E$2:$E$4674,'Tenant Data'!$A$2:$A$4674,"Providence Place",'Tenant Data'!$D$2:$D$4674,"Apparel",'Tenant Data'!$F$2:$F$4674,"&gt;0",'Tenant Data'!$E$2:$E$4674,"&lt;10000")</f>
        <v>111357</v>
      </c>
      <c r="AM36">
        <f>SUMIFS('Tenant Data'!$E$2:$E$4674,'Tenant Data'!$A$2:$A$4674,"Providence Place",'Tenant Data'!$D$2:$D$4674,"Shoes",'Tenant Data'!$F$2:$F$4674,"&gt;0",'Tenant Data'!$E$2:$E$4674,"&lt;10000")</f>
        <v>24332</v>
      </c>
      <c r="AN36">
        <f>SUMIFS('Tenant Data'!$E$2:$E$4674,'Tenant Data'!$A$2:$A$4674,"Providence Place",'Tenant Data'!$D$2:$D$4674,"Jewelry",'Tenant Data'!$F$2:$F$4674,"&gt;0",'Tenant Data'!$E$2:$E$4674,"&lt;10000")</f>
        <v>4140</v>
      </c>
      <c r="AO36">
        <f>SUMIFS('Tenant Data'!$E$2:$E$4674,'Tenant Data'!$A$2:$A$4674,"Providence Place",'Tenant Data'!$D$2:$D$4674,"Health &amp; Beauty",'Tenant Data'!$F$2:$F$4674,"&gt;0",'Tenant Data'!$E$2:$E$4674,"&lt;10000")</f>
        <v>10236</v>
      </c>
      <c r="AP36">
        <f>SUMIFS('Tenant Data'!$E$2:$E$4674,'Tenant Data'!$A$2:$A$4674,"Providence Place",'Tenant Data'!$D$2:$D$4674,"Food &amp; Beverage",'Tenant Data'!$F$2:$F$4674,"&gt;0",'Tenant Data'!$E$2:$E$4674,"&lt;10000")</f>
        <v>3000</v>
      </c>
      <c r="AQ36">
        <f>SUMIFS('Tenant Data'!$E$2:$E$4674,'Tenant Data'!$A$2:$A$4674,"Providence Place",'Tenant Data'!$D$2:$D$4674,"Restaurant",'Tenant Data'!$F$2:$F$4674,"&gt;0",'Tenant Data'!$E$2:$E$4674,"&lt;10000")</f>
        <v>22418</v>
      </c>
      <c r="AR36">
        <f>SUMIFS('Tenant Data'!$E$2:$E$4674,'Tenant Data'!$A$2:$A$4674,"Providence Place",'Tenant Data'!$D$2:$D$4674,"Hobby &amp; Novelty",'Tenant Data'!$F$2:$F$4674,"&gt;0",'Tenant Data'!$E$2:$E$4674,"&lt;10000")</f>
        <v>20671</v>
      </c>
      <c r="AS36">
        <f>SUMIFS('Tenant Data'!$E$2:$E$4674,'Tenant Data'!$A$2:$A$4674,"Providence Place",'Tenant Data'!$D$2:$D$4674,"Service",'Tenant Data'!$F$2:$F$4674,"&gt;0",'Tenant Data'!$E$2:$E$4674,"&lt;10000")</f>
        <v>17592</v>
      </c>
      <c r="AT36">
        <f>SUMIFS('Tenant Data'!$E$2:$E$4674,'Tenant Data'!$A$2:$A$4674,"Providence Place",'Tenant Data'!$D$2:$D$4674,"Tech",'Tenant Data'!$F$2:$F$4674,"&gt;0",'Tenant Data'!$E$2:$E$4674,"&lt;10000")</f>
        <v>1844</v>
      </c>
      <c r="AU36">
        <f>SUMIFS('Tenant Data'!$E$2:$E$4674,'Tenant Data'!$A$2:$A$4674,"Providence Place",'Tenant Data'!$D$2:$D$4674,"Major",'Tenant Data'!$F$2:$F$4674,"&gt;0",'Tenant Data'!$E$2:$E$4674,"&lt;10000")</f>
        <v>0</v>
      </c>
      <c r="AV36">
        <f>SUMIFS('Tenant Data'!$E$2:$E$4674,'Tenant Data'!$A$2:$A$4674,"Providence Place",'Tenant Data'!$D$2:$D$4674,"Anchor",'Tenant Data'!$F$2:$F$4674,"&gt;0",'Tenant Data'!$E$2:$E$4674,"&lt;10000")</f>
        <v>0</v>
      </c>
      <c r="AW36">
        <f>SUMIFS('Tenant Data'!$E$2:$E$4674,'Tenant Data'!$A$2:$A$4674,"Providence Place",'Tenant Data'!$D$2:$D$4674,"Apple",'Tenant Data'!$F$2:$F$4674,"&gt;0",'Tenant Data'!$E$2:$E$4674,"&lt;10000")</f>
        <v>0</v>
      </c>
      <c r="AX36">
        <v>1</v>
      </c>
      <c r="AY36" t="str">
        <f>'Property Summary'!B36</f>
        <v>Y</v>
      </c>
      <c r="AZ36">
        <f t="shared" si="12"/>
        <v>215590</v>
      </c>
    </row>
    <row r="37" spans="1:52" x14ac:dyDescent="0.2">
      <c r="A37" t="s">
        <v>30</v>
      </c>
      <c r="B37">
        <f t="shared" si="0"/>
        <v>846.3932685977079</v>
      </c>
      <c r="C37">
        <f t="shared" si="1"/>
        <v>468.91284003925415</v>
      </c>
      <c r="D37">
        <f t="shared" si="2"/>
        <v>1941.5609306132728</v>
      </c>
      <c r="E37">
        <f t="shared" si="3"/>
        <v>1601.9845032034984</v>
      </c>
      <c r="F37">
        <f t="shared" si="4"/>
        <v>534.03856111230868</v>
      </c>
      <c r="G37">
        <f t="shared" si="5"/>
        <v>1343.1789950315131</v>
      </c>
      <c r="H37">
        <f t="shared" si="6"/>
        <v>882.43733536166451</v>
      </c>
      <c r="I37">
        <f t="shared" si="7"/>
        <v>865.37560042227494</v>
      </c>
      <c r="J37" t="str">
        <f t="shared" si="8"/>
        <v/>
      </c>
      <c r="K37" t="str">
        <f t="shared" si="9"/>
        <v/>
      </c>
      <c r="L37" t="str">
        <f t="shared" si="10"/>
        <v/>
      </c>
      <c r="M37">
        <f t="shared" si="11"/>
        <v>5393.7781421421423</v>
      </c>
      <c r="N37">
        <f>IFERROR(SUMPRODUCT(('Tenant Data'!$A$2:$A$4674="Scottsdale Quarter")*('Tenant Data'!$D$2:$D$4674="Apparel")*('Tenant Data'!$F$2:$F$4674&gt;0)*('Tenant Data'!$E$2:$E$4674&lt;10000)*'Tenant Data'!$J$2:$J$4674*'Tenant Data'!$E$2:$E$4674)/SUMPRODUCT(('Tenant Data'!$A$2:$A$4674="Scottsdale Quarter")*('Tenant Data'!$D$2:$D$4674="Apparel")*('Tenant Data'!$F$2:$F$4674&gt;0)*('Tenant Data'!$E$2:$E$4674&lt;10000)*'Tenant Data'!$E$2:$E$4674),"")</f>
        <v>0.14400813808410842</v>
      </c>
      <c r="O37">
        <f>IFERROR(SUMPRODUCT(('Tenant Data'!$A$2:$A$4674="Scottsdale Quarter")*('Tenant Data'!$D$2:$D$4674="Shoes")*('Tenant Data'!$F$2:$F$4674&gt;0)*('Tenant Data'!$E$2:$E$4674&lt;10000)*'Tenant Data'!$J$2:$J$4674*'Tenant Data'!$E$2:$E$4674)/SUMPRODUCT(('Tenant Data'!$A$2:$A$4674="Scottsdale Quarter")*('Tenant Data'!$D$2:$D$4674="Shoes")*('Tenant Data'!$F$2:$F$4674&gt;0)*('Tenant Data'!$E$2:$E$4674&lt;10000)*'Tenant Data'!$E$2:$E$4674),"")</f>
        <v>0.25705945068354324</v>
      </c>
      <c r="P37">
        <f>IFERROR(SUMPRODUCT(('Tenant Data'!$A$2:$A$4674="Scottsdale Quarter")*('Tenant Data'!$D$2:$D$4674="Jewelry")*('Tenant Data'!$F$2:$F$4674&gt;0)*('Tenant Data'!$E$2:$E$4674&lt;10000)*'Tenant Data'!$J$2:$J$4674*'Tenant Data'!$E$2:$E$4674)/SUMPRODUCT(('Tenant Data'!$A$2:$A$4674="Scottsdale Quarter")*('Tenant Data'!$D$2:$D$4674="Jewelry")*('Tenant Data'!$F$2:$F$4674&gt;0)*('Tenant Data'!$E$2:$E$4674&lt;10000)*'Tenant Data'!$E$2:$E$4674),"")</f>
        <v>5.432594491636264E-2</v>
      </c>
      <c r="Q37">
        <f>IFERROR(SUMPRODUCT(('Tenant Data'!$A$2:$A$4674="Scottsdale Quarter")*('Tenant Data'!$D$2:$D$4674="Health &amp; Beauty")*('Tenant Data'!$F$2:$F$4674&gt;0)*('Tenant Data'!$E$2:$E$4674&lt;10000)*'Tenant Data'!$J$2:$J$4674*'Tenant Data'!$E$2:$E$4674)/SUMPRODUCT(('Tenant Data'!$A$2:$A$4674="Scottsdale Quarter")*('Tenant Data'!$D$2:$D$4674="Health &amp; Beauty")*('Tenant Data'!$F$2:$F$4674&gt;0)*('Tenant Data'!$E$2:$E$4674&lt;10000)*'Tenant Data'!$E$2:$E$4674),"")</f>
        <v>9.6124767821870433E-2</v>
      </c>
      <c r="R37">
        <f>IFERROR(SUMPRODUCT(('Tenant Data'!$A$2:$A$4674="Scottsdale Quarter")*('Tenant Data'!$D$2:$D$4674="Food &amp; Beverage")*('Tenant Data'!$F$2:$F$4674&gt;0)*('Tenant Data'!$E$2:$E$4674&lt;10000)*'Tenant Data'!$J$2:$J$4674*'Tenant Data'!$E$2:$E$4674)/SUMPRODUCT(('Tenant Data'!$A$2:$A$4674="Scottsdale Quarter")*('Tenant Data'!$D$2:$D$4674="Food &amp; Beverage")*('Tenant Data'!$F$2:$F$4674&gt;0)*('Tenant Data'!$E$2:$E$4674&lt;10000)*'Tenant Data'!$E$2:$E$4674),"")</f>
        <v>0.22889871429419853</v>
      </c>
      <c r="S37">
        <f>IFERROR(SUMPRODUCT(('Tenant Data'!$A$2:$A$4674="Scottsdale Quarter")*('Tenant Data'!$D$2:$D$4674="Restaurant")*('Tenant Data'!$F$2:$F$4674&gt;0)*('Tenant Data'!$E$2:$E$4674&lt;10000)*'Tenant Data'!$J$2:$J$4674*'Tenant Data'!$E$2:$E$4674)/SUMPRODUCT(('Tenant Data'!$A$2:$A$4674="Scottsdale Quarter")*('Tenant Data'!$D$2:$D$4674="Restaurant")*('Tenant Data'!$F$2:$F$4674&gt;0)*('Tenant Data'!$E$2:$E$4674&lt;10000)*'Tenant Data'!$E$2:$E$4674),"")</f>
        <v>0.10110164728275911</v>
      </c>
      <c r="T37">
        <f>IFERROR(SUMPRODUCT(('Tenant Data'!$A$2:$A$4674="Scottsdale Quarter")*('Tenant Data'!$D$2:$D$4674="Hobby &amp; Novelty")*('Tenant Data'!$F$2:$F$4674&gt;0)*('Tenant Data'!$E$2:$E$4674&lt;10000)*'Tenant Data'!$J$2:$J$4674*'Tenant Data'!$E$2:$E$4674)/SUMPRODUCT(('Tenant Data'!$A$2:$A$4674="Scottsdale Quarter")*('Tenant Data'!$D$2:$D$4674="Hobby &amp; Novelty")*('Tenant Data'!$F$2:$F$4674&gt;0)*('Tenant Data'!$E$2:$E$4674&lt;10000)*'Tenant Data'!$E$2:$E$4674),"")</f>
        <v>0.14110092952208411</v>
      </c>
      <c r="U37">
        <f>IFERROR(SUMPRODUCT(('Tenant Data'!$A$2:$A$4674="Scottsdale Quarter")*('Tenant Data'!$D$2:$D$4674="Service")*('Tenant Data'!$F$2:$F$4674&gt;0)*('Tenant Data'!$E$2:$E$4674&lt;10000)*'Tenant Data'!$J$2:$J$4674*'Tenant Data'!$E$2:$E$4674)/SUMPRODUCT(('Tenant Data'!$A$2:$A$4674="Scottsdale Quarter")*('Tenant Data'!$D$2:$D$4674="Service")*('Tenant Data'!$F$2:$F$4674&gt;0)*('Tenant Data'!$E$2:$E$4674&lt;10000)*'Tenant Data'!$E$2:$E$4674),"")</f>
        <v>9.9371687562401709E-2</v>
      </c>
      <c r="V37" t="str">
        <f>IFERROR(SUMPRODUCT(('Tenant Data'!$A$2:$A$4674="Scottsdale Quarter")*('Tenant Data'!$D$2:$D$4674="Tech")*('Tenant Data'!$F$2:$F$4674&gt;0)*('Tenant Data'!$E$2:$E$4674&lt;10000)*'Tenant Data'!$J$2:$J$4674*'Tenant Data'!$E$2:$E$4674)/SUMPRODUCT(('Tenant Data'!$A$2:$A$4674="Scottsdale Quarter")*('Tenant Data'!$D$2:$D$4674="Tech")*('Tenant Data'!$F$2:$F$4674&gt;0)*('Tenant Data'!$E$2:$E$4674&lt;10000)*'Tenant Data'!$E$2:$E$4674),"")</f>
        <v/>
      </c>
      <c r="W37" t="str">
        <f>IFERROR(SUMPRODUCT(('Tenant Data'!$A$2:$A$4674="Scottsdale Quarter")*('Tenant Data'!$D$2:$D$4674="Major")*('Tenant Data'!$F$2:$F$4674&gt;0)*('Tenant Data'!$E$2:$E$4674&lt;10000)*'Tenant Data'!$J$2:$J$4674*'Tenant Data'!$E$2:$E$4674)/SUMPRODUCT(('Tenant Data'!$A$2:$A$4674="Scottsdale Quarter")*('Tenant Data'!$D$2:$D$4674="Major")*('Tenant Data'!$F$2:$F$4674&gt;0)*('Tenant Data'!$E$2:$E$4674&lt;10000)*'Tenant Data'!$E$2:$E$4674),"")</f>
        <v/>
      </c>
      <c r="X37" t="str">
        <f>IFERROR(SUMPRODUCT(('Tenant Data'!$A$2:$A$4674="Scottsdale Quarter")*('Tenant Data'!$D$2:$D$4674="Anchor")*('Tenant Data'!$F$2:$F$4674&gt;0)*('Tenant Data'!$E$2:$E$4674&lt;10000)*'Tenant Data'!$J$2:$J$4674*'Tenant Data'!$E$2:$E$4674)/SUMPRODUCT(('Tenant Data'!$A$2:$A$4674="Scottsdale Quarter")*('Tenant Data'!$D$2:$D$4674="Anchor")*('Tenant Data'!$F$2:$F$4674&gt;0)*('Tenant Data'!$E$2:$E$4674&lt;10000)*'Tenant Data'!$E$2:$E$4674),"")</f>
        <v/>
      </c>
      <c r="Y37">
        <f>IFERROR(SUMPRODUCT(('Tenant Data'!$A$2:$A$4674="Scottsdale Quarter")*('Tenant Data'!$D$2:$D$4674="Apple")*('Tenant Data'!$F$2:$F$4674&gt;0)*('Tenant Data'!$E$2:$E$4674&lt;10000)*'Tenant Data'!$J$2:$J$4674*'Tenant Data'!$E$2:$E$4674)/SUMPRODUCT(('Tenant Data'!$A$2:$A$4674="Scottsdale Quarter")*('Tenant Data'!$D$2:$D$4674="Apple")*('Tenant Data'!$F$2:$F$4674&gt;0)*('Tenant Data'!$E$2:$E$4674&lt;10000)*'Tenant Data'!$E$2:$E$4674),"")</f>
        <v>1.7313404111125131E-2</v>
      </c>
      <c r="Z37">
        <f>SUMIFS('Tenant Data'!$F$2:$F$4674,'Tenant Data'!$A$2:$A$4674,"Scottsdale Quarter",'Tenant Data'!$D$2:$D$4674,"Apparel",'Tenant Data'!$E$2:$E$4674,"&lt;10000")</f>
        <v>53773903.533818178</v>
      </c>
      <c r="AA37">
        <f>SUMIFS('Tenant Data'!$F$2:$F$4674,'Tenant Data'!$A$2:$A$4674,"Scottsdale Quarter",'Tenant Data'!$D$2:$D$4674,"Shoes",'Tenant Data'!$E$2:$E$4674,"&lt;10000")</f>
        <v>2389110.92</v>
      </c>
      <c r="AB37">
        <f>SUMIFS('Tenant Data'!$F$2:$F$4674,'Tenant Data'!$A$2:$A$4674,"Scottsdale Quarter",'Tenant Data'!$D$2:$D$4674,"Jewelry",'Tenant Data'!$E$2:$E$4674,"&lt;10000")</f>
        <v>15417935.35</v>
      </c>
      <c r="AC37">
        <f>SUMIFS('Tenant Data'!$F$2:$F$4674,'Tenant Data'!$A$2:$A$4674,"Scottsdale Quarter",'Tenant Data'!$D$2:$D$4674,"Health &amp; Beauty",'Tenant Data'!$E$2:$E$4674,"&lt;10000")</f>
        <v>15752313.619999999</v>
      </c>
      <c r="AD37">
        <f>SUMIFS('Tenant Data'!$F$2:$F$4674,'Tenant Data'!$A$2:$A$4674,"Scottsdale Quarter",'Tenant Data'!$D$2:$D$4674,"Food &amp; Beverage",'Tenant Data'!$E$2:$E$4674,"&lt;10000")</f>
        <v>4954809.7700000005</v>
      </c>
      <c r="AE37">
        <f>SUMIFS('Tenant Data'!$F$2:$F$4674,'Tenant Data'!$A$2:$A$4674,"Scottsdale Quarter",'Tenant Data'!$D$2:$D$4674,"Restaurant",'Tenant Data'!$E$2:$E$4674,"&lt;10000")</f>
        <v>58393363.629999995</v>
      </c>
      <c r="AF37">
        <f>SUMIFS('Tenant Data'!$F$2:$F$4674,'Tenant Data'!$A$2:$A$4674,"Scottsdale Quarter",'Tenant Data'!$D$2:$D$4674,"Hobby &amp; Novelty",'Tenant Data'!$E$2:$E$4674,"&lt;10000")</f>
        <v>8991154.0099999998</v>
      </c>
      <c r="AG37">
        <f>SUMIFS('Tenant Data'!$F$2:$F$4674,'Tenant Data'!$A$2:$A$4674,"Scottsdale Quarter",'Tenant Data'!$D$2:$D$4674,"Service",'Tenant Data'!$E$2:$E$4674,"&lt;10000")</f>
        <v>19673448.899999999</v>
      </c>
      <c r="AH37">
        <f>SUMIFS('Tenant Data'!$F$2:$F$4674,'Tenant Data'!$A$2:$A$4674,"Scottsdale Quarter",'Tenant Data'!$D$2:$D$4674,"Tech",'Tenant Data'!$E$2:$E$4674,"&lt;10000")</f>
        <v>0</v>
      </c>
      <c r="AI37">
        <f>SUMIFS('Tenant Data'!$F$2:$F$4674,'Tenant Data'!$A$2:$A$4674,"Scottsdale Quarter",'Tenant Data'!$D$2:$D$4674,"Major",'Tenant Data'!$E$2:$E$4674,"&lt;10000")</f>
        <v>0</v>
      </c>
      <c r="AJ37">
        <f>SUMIFS('Tenant Data'!$F$2:$F$4674,'Tenant Data'!$A$2:$A$4674,"Scottsdale Quarter",'Tenant Data'!$D$2:$D$4674,"Anchor",'Tenant Data'!$E$2:$E$4674,"&lt;10000")</f>
        <v>0</v>
      </c>
      <c r="AK37">
        <f>SUMIFS('Tenant Data'!$F$2:$F$4674,'Tenant Data'!$A$2:$A$4674,"Scottsdale Quarter",'Tenant Data'!$D$2:$D$4674,"Apple",'Tenant Data'!$E$2:$E$4674,"&lt;10000")</f>
        <v>53883843.640000001</v>
      </c>
      <c r="AL37">
        <f>SUMIFS('Tenant Data'!$E$2:$E$4674,'Tenant Data'!$A$2:$A$4674,"Scottsdale Quarter",'Tenant Data'!$D$2:$D$4674,"Apparel",'Tenant Data'!$F$2:$F$4674,"&gt;0",'Tenant Data'!$E$2:$E$4674,"&lt;10000")</f>
        <v>63533</v>
      </c>
      <c r="AM37">
        <f>SUMIFS('Tenant Data'!$E$2:$E$4674,'Tenant Data'!$A$2:$A$4674,"Scottsdale Quarter",'Tenant Data'!$D$2:$D$4674,"Shoes",'Tenant Data'!$F$2:$F$4674,"&gt;0",'Tenant Data'!$E$2:$E$4674,"&lt;10000")</f>
        <v>5095</v>
      </c>
      <c r="AN37">
        <f>SUMIFS('Tenant Data'!$E$2:$E$4674,'Tenant Data'!$A$2:$A$4674,"Scottsdale Quarter",'Tenant Data'!$D$2:$D$4674,"Jewelry",'Tenant Data'!$F$2:$F$4674,"&gt;0",'Tenant Data'!$E$2:$E$4674,"&lt;10000")</f>
        <v>7941</v>
      </c>
      <c r="AO37">
        <f>SUMIFS('Tenant Data'!$E$2:$E$4674,'Tenant Data'!$A$2:$A$4674,"Scottsdale Quarter",'Tenant Data'!$D$2:$D$4674,"Health &amp; Beauty",'Tenant Data'!$F$2:$F$4674,"&gt;0",'Tenant Data'!$E$2:$E$4674,"&lt;10000")</f>
        <v>9833</v>
      </c>
      <c r="AP37">
        <f>SUMIFS('Tenant Data'!$E$2:$E$4674,'Tenant Data'!$A$2:$A$4674,"Scottsdale Quarter",'Tenant Data'!$D$2:$D$4674,"Food &amp; Beverage",'Tenant Data'!$F$2:$F$4674,"&gt;0",'Tenant Data'!$E$2:$E$4674,"&lt;10000")</f>
        <v>9278</v>
      </c>
      <c r="AQ37">
        <f>SUMIFS('Tenant Data'!$E$2:$E$4674,'Tenant Data'!$A$2:$A$4674,"Scottsdale Quarter",'Tenant Data'!$D$2:$D$4674,"Restaurant",'Tenant Data'!$F$2:$F$4674,"&gt;0",'Tenant Data'!$E$2:$E$4674,"&lt;10000")</f>
        <v>43474</v>
      </c>
      <c r="AR37">
        <f>SUMIFS('Tenant Data'!$E$2:$E$4674,'Tenant Data'!$A$2:$A$4674,"Scottsdale Quarter",'Tenant Data'!$D$2:$D$4674,"Hobby &amp; Novelty",'Tenant Data'!$F$2:$F$4674,"&gt;0",'Tenant Data'!$E$2:$E$4674,"&lt;10000")</f>
        <v>10189</v>
      </c>
      <c r="AS37">
        <f>SUMIFS('Tenant Data'!$E$2:$E$4674,'Tenant Data'!$A$2:$A$4674,"Scottsdale Quarter",'Tenant Data'!$D$2:$D$4674,"Service",'Tenant Data'!$F$2:$F$4674,"&gt;0",'Tenant Data'!$E$2:$E$4674,"&lt;10000")</f>
        <v>22734</v>
      </c>
      <c r="AT37">
        <f>SUMIFS('Tenant Data'!$E$2:$E$4674,'Tenant Data'!$A$2:$A$4674,"Scottsdale Quarter",'Tenant Data'!$D$2:$D$4674,"Tech",'Tenant Data'!$F$2:$F$4674,"&gt;0",'Tenant Data'!$E$2:$E$4674,"&lt;10000")</f>
        <v>0</v>
      </c>
      <c r="AU37">
        <f>SUMIFS('Tenant Data'!$E$2:$E$4674,'Tenant Data'!$A$2:$A$4674,"Scottsdale Quarter",'Tenant Data'!$D$2:$D$4674,"Major",'Tenant Data'!$F$2:$F$4674,"&gt;0",'Tenant Data'!$E$2:$E$4674,"&lt;10000")</f>
        <v>0</v>
      </c>
      <c r="AV37">
        <f>SUMIFS('Tenant Data'!$E$2:$E$4674,'Tenant Data'!$A$2:$A$4674,"Scottsdale Quarter",'Tenant Data'!$D$2:$D$4674,"Anchor",'Tenant Data'!$F$2:$F$4674,"&gt;0",'Tenant Data'!$E$2:$E$4674,"&lt;10000")</f>
        <v>0</v>
      </c>
      <c r="AW37">
        <f>SUMIFS('Tenant Data'!$E$2:$E$4674,'Tenant Data'!$A$2:$A$4674,"Scottsdale Quarter",'Tenant Data'!$D$2:$D$4674,"Apple",'Tenant Data'!$F$2:$F$4674,"&gt;0",'Tenant Data'!$E$2:$E$4674,"&lt;10000")</f>
        <v>9990</v>
      </c>
      <c r="AX37">
        <v>0</v>
      </c>
      <c r="AY37" t="str">
        <f>'Property Summary'!B37</f>
        <v>Y</v>
      </c>
      <c r="AZ37">
        <f t="shared" si="12"/>
        <v>182067</v>
      </c>
    </row>
    <row r="38" spans="1:52" x14ac:dyDescent="0.2">
      <c r="A38" t="s">
        <v>65</v>
      </c>
      <c r="B38">
        <f t="shared" si="0"/>
        <v>305.74396360381132</v>
      </c>
      <c r="C38">
        <f t="shared" si="1"/>
        <v>417.08039188438022</v>
      </c>
      <c r="D38">
        <f t="shared" si="2"/>
        <v>840.7676221804511</v>
      </c>
      <c r="E38">
        <f t="shared" si="3"/>
        <v>1182.9897879025923</v>
      </c>
      <c r="F38" t="str">
        <f t="shared" si="4"/>
        <v/>
      </c>
      <c r="G38" t="str">
        <f t="shared" si="5"/>
        <v/>
      </c>
      <c r="H38">
        <f t="shared" si="6"/>
        <v>454.95161528249002</v>
      </c>
      <c r="I38">
        <f t="shared" si="7"/>
        <v>388.75480505216916</v>
      </c>
      <c r="J38" t="str">
        <f t="shared" si="8"/>
        <v/>
      </c>
      <c r="K38">
        <f t="shared" si="9"/>
        <v>328.7837837837838</v>
      </c>
      <c r="L38" t="str">
        <f t="shared" si="10"/>
        <v/>
      </c>
      <c r="M38">
        <f t="shared" si="11"/>
        <v>4437.0458333333336</v>
      </c>
      <c r="N38">
        <f>IFERROR(SUMPRODUCT(('Tenant Data'!$A$2:$A$4674="SoNo Collection")*('Tenant Data'!$D$2:$D$4674="Apparel")*('Tenant Data'!$F$2:$F$4674&gt;0)*('Tenant Data'!$E$2:$E$4674&lt;10000)*'Tenant Data'!$J$2:$J$4674*'Tenant Data'!$E$2:$E$4674)/SUMPRODUCT(('Tenant Data'!$A$2:$A$4674="SoNo Collection")*('Tenant Data'!$D$2:$D$4674="Apparel")*('Tenant Data'!$F$2:$F$4674&gt;0)*('Tenant Data'!$E$2:$E$4674&lt;10000)*'Tenant Data'!$E$2:$E$4674),"")</f>
        <v>0.16025289587599786</v>
      </c>
      <c r="O38">
        <f>IFERROR(SUMPRODUCT(('Tenant Data'!$A$2:$A$4674="SoNo Collection")*('Tenant Data'!$D$2:$D$4674="Shoes")*('Tenant Data'!$F$2:$F$4674&gt;0)*('Tenant Data'!$E$2:$E$4674&lt;10000)*'Tenant Data'!$J$2:$J$4674*'Tenant Data'!$E$2:$E$4674)/SUMPRODUCT(('Tenant Data'!$A$2:$A$4674="SoNo Collection")*('Tenant Data'!$D$2:$D$4674="Shoes")*('Tenant Data'!$F$2:$F$4674&gt;0)*('Tenant Data'!$E$2:$E$4674&lt;10000)*'Tenant Data'!$E$2:$E$4674),"")</f>
        <v>0.1576409463590884</v>
      </c>
      <c r="P38">
        <f>IFERROR(SUMPRODUCT(('Tenant Data'!$A$2:$A$4674="SoNo Collection")*('Tenant Data'!$D$2:$D$4674="Jewelry")*('Tenant Data'!$F$2:$F$4674&gt;0)*('Tenant Data'!$E$2:$E$4674&lt;10000)*'Tenant Data'!$J$2:$J$4674*'Tenant Data'!$E$2:$E$4674)/SUMPRODUCT(('Tenant Data'!$A$2:$A$4674="SoNo Collection")*('Tenant Data'!$D$2:$D$4674="Jewelry")*('Tenant Data'!$F$2:$F$4674&gt;0)*('Tenant Data'!$E$2:$E$4674&lt;10000)*'Tenant Data'!$E$2:$E$4674),"")</f>
        <v>0.24918023966165412</v>
      </c>
      <c r="Q38">
        <f>IFERROR(SUMPRODUCT(('Tenant Data'!$A$2:$A$4674="SoNo Collection")*('Tenant Data'!$D$2:$D$4674="Health &amp; Beauty")*('Tenant Data'!$F$2:$F$4674&gt;0)*('Tenant Data'!$E$2:$E$4674&lt;10000)*'Tenant Data'!$J$2:$J$4674*'Tenant Data'!$E$2:$E$4674)/SUMPRODUCT(('Tenant Data'!$A$2:$A$4674="SoNo Collection")*('Tenant Data'!$D$2:$D$4674="Health &amp; Beauty")*('Tenant Data'!$F$2:$F$4674&gt;0)*('Tenant Data'!$E$2:$E$4674&lt;10000)*'Tenant Data'!$E$2:$E$4674),"")</f>
        <v>9.4908798114689719E-2</v>
      </c>
      <c r="R38" t="str">
        <f>IFERROR(SUMPRODUCT(('Tenant Data'!$A$2:$A$4674="SoNo Collection")*('Tenant Data'!$D$2:$D$4674="Food &amp; Beverage")*('Tenant Data'!$F$2:$F$4674&gt;0)*('Tenant Data'!$E$2:$E$4674&lt;10000)*'Tenant Data'!$J$2:$J$4674*'Tenant Data'!$E$2:$E$4674)/SUMPRODUCT(('Tenant Data'!$A$2:$A$4674="SoNo Collection")*('Tenant Data'!$D$2:$D$4674="Food &amp; Beverage")*('Tenant Data'!$F$2:$F$4674&gt;0)*('Tenant Data'!$E$2:$E$4674&lt;10000)*'Tenant Data'!$E$2:$E$4674),"")</f>
        <v/>
      </c>
      <c r="S38" t="str">
        <f>IFERROR(SUMPRODUCT(('Tenant Data'!$A$2:$A$4674="SoNo Collection")*('Tenant Data'!$D$2:$D$4674="Restaurant")*('Tenant Data'!$F$2:$F$4674&gt;0)*('Tenant Data'!$E$2:$E$4674&lt;10000)*'Tenant Data'!$J$2:$J$4674*'Tenant Data'!$E$2:$E$4674)/SUMPRODUCT(('Tenant Data'!$A$2:$A$4674="SoNo Collection")*('Tenant Data'!$D$2:$D$4674="Restaurant")*('Tenant Data'!$F$2:$F$4674&gt;0)*('Tenant Data'!$E$2:$E$4674&lt;10000)*'Tenant Data'!$E$2:$E$4674),"")</f>
        <v/>
      </c>
      <c r="T38">
        <f>IFERROR(SUMPRODUCT(('Tenant Data'!$A$2:$A$4674="SoNo Collection")*('Tenant Data'!$D$2:$D$4674="Hobby &amp; Novelty")*('Tenant Data'!$F$2:$F$4674&gt;0)*('Tenant Data'!$E$2:$E$4674&lt;10000)*'Tenant Data'!$J$2:$J$4674*'Tenant Data'!$E$2:$E$4674)/SUMPRODUCT(('Tenant Data'!$A$2:$A$4674="SoNo Collection")*('Tenant Data'!$D$2:$D$4674="Hobby &amp; Novelty")*('Tenant Data'!$F$2:$F$4674&gt;0)*('Tenant Data'!$E$2:$E$4674&lt;10000)*'Tenant Data'!$E$2:$E$4674),"")</f>
        <v>0.1759282047499631</v>
      </c>
      <c r="U38">
        <f>IFERROR(SUMPRODUCT(('Tenant Data'!$A$2:$A$4674="SoNo Collection")*('Tenant Data'!$D$2:$D$4674="Service")*('Tenant Data'!$F$2:$F$4674&gt;0)*('Tenant Data'!$E$2:$E$4674&lt;10000)*'Tenant Data'!$J$2:$J$4674*'Tenant Data'!$E$2:$E$4674)/SUMPRODUCT(('Tenant Data'!$A$2:$A$4674="SoNo Collection")*('Tenant Data'!$D$2:$D$4674="Service")*('Tenant Data'!$F$2:$F$4674&gt;0)*('Tenant Data'!$E$2:$E$4674&lt;10000)*'Tenant Data'!$E$2:$E$4674),"")</f>
        <v>0.157</v>
      </c>
      <c r="V38" t="str">
        <f>IFERROR(SUMPRODUCT(('Tenant Data'!$A$2:$A$4674="SoNo Collection")*('Tenant Data'!$D$2:$D$4674="Tech")*('Tenant Data'!$F$2:$F$4674&gt;0)*('Tenant Data'!$E$2:$E$4674&lt;10000)*'Tenant Data'!$J$2:$J$4674*'Tenant Data'!$E$2:$E$4674)/SUMPRODUCT(('Tenant Data'!$A$2:$A$4674="SoNo Collection")*('Tenant Data'!$D$2:$D$4674="Tech")*('Tenant Data'!$F$2:$F$4674&gt;0)*('Tenant Data'!$E$2:$E$4674&lt;10000)*'Tenant Data'!$E$2:$E$4674),"")</f>
        <v/>
      </c>
      <c r="W38">
        <f>IFERROR(SUMPRODUCT(('Tenant Data'!$A$2:$A$4674="SoNo Collection")*('Tenant Data'!$D$2:$D$4674="Major")*('Tenant Data'!$F$2:$F$4674&gt;0)*('Tenant Data'!$E$2:$E$4674&lt;10000)*'Tenant Data'!$J$2:$J$4674*'Tenant Data'!$E$2:$E$4674)/SUMPRODUCT(('Tenant Data'!$A$2:$A$4674="SoNo Collection")*('Tenant Data'!$D$2:$D$4674="Major")*('Tenant Data'!$F$2:$F$4674&gt;0)*('Tenant Data'!$E$2:$E$4674&lt;10000)*'Tenant Data'!$E$2:$E$4674),"")</f>
        <v>0.30149999999999999</v>
      </c>
      <c r="X38" t="str">
        <f>IFERROR(SUMPRODUCT(('Tenant Data'!$A$2:$A$4674="SoNo Collection")*('Tenant Data'!$D$2:$D$4674="Anchor")*('Tenant Data'!$F$2:$F$4674&gt;0)*('Tenant Data'!$E$2:$E$4674&lt;10000)*'Tenant Data'!$J$2:$J$4674*'Tenant Data'!$E$2:$E$4674)/SUMPRODUCT(('Tenant Data'!$A$2:$A$4674="SoNo Collection")*('Tenant Data'!$D$2:$D$4674="Anchor")*('Tenant Data'!$F$2:$F$4674&gt;0)*('Tenant Data'!$E$2:$E$4674&lt;10000)*'Tenant Data'!$E$2:$E$4674),"")</f>
        <v/>
      </c>
      <c r="Y38">
        <f>IFERROR(SUMPRODUCT(('Tenant Data'!$A$2:$A$4674="SoNo Collection")*('Tenant Data'!$D$2:$D$4674="Apple")*('Tenant Data'!$F$2:$F$4674&gt;0)*('Tenant Data'!$E$2:$E$4674&lt;10000)*'Tenant Data'!$J$2:$J$4674*'Tenant Data'!$E$2:$E$4674)/SUMPRODUCT(('Tenant Data'!$A$2:$A$4674="SoNo Collection")*('Tenant Data'!$D$2:$D$4674="Apple")*('Tenant Data'!$F$2:$F$4674&gt;0)*('Tenant Data'!$E$2:$E$4674&lt;10000)*'Tenant Data'!$E$2:$E$4674),"")</f>
        <v>0.89</v>
      </c>
      <c r="Z38">
        <f>SUMIFS('Tenant Data'!$F$2:$F$4674,'Tenant Data'!$A$2:$A$4674,"SoNo Collection",'Tenant Data'!$D$2:$D$4674,"Apparel",'Tenant Data'!$E$2:$E$4674,"&lt;10000")</f>
        <v>24932503</v>
      </c>
      <c r="AA38">
        <f>SUMIFS('Tenant Data'!$F$2:$F$4674,'Tenant Data'!$A$2:$A$4674,"SoNo Collection",'Tenant Data'!$D$2:$D$4674,"Shoes",'Tenant Data'!$E$2:$E$4674,"&lt;10000")</f>
        <v>6002621</v>
      </c>
      <c r="AB38">
        <f>SUMIFS('Tenant Data'!$F$2:$F$4674,'Tenant Data'!$A$2:$A$4674,"SoNo Collection",'Tenant Data'!$D$2:$D$4674,"Jewelry",'Tenant Data'!$E$2:$E$4674,"&lt;10000")</f>
        <v>3578307</v>
      </c>
      <c r="AC38">
        <f>SUMIFS('Tenant Data'!$F$2:$F$4674,'Tenant Data'!$A$2:$A$4674,"SoNo Collection",'Tenant Data'!$D$2:$D$4674,"Health &amp; Beauty",'Tenant Data'!$E$2:$E$4674,"&lt;10000")</f>
        <v>13553514</v>
      </c>
      <c r="AD38">
        <f>SUMIFS('Tenant Data'!$F$2:$F$4674,'Tenant Data'!$A$2:$A$4674,"SoNo Collection",'Tenant Data'!$D$2:$D$4674,"Food &amp; Beverage",'Tenant Data'!$E$2:$E$4674,"&lt;10000")</f>
        <v>0</v>
      </c>
      <c r="AE38">
        <f>SUMIFS('Tenant Data'!$F$2:$F$4674,'Tenant Data'!$A$2:$A$4674,"SoNo Collection",'Tenant Data'!$D$2:$D$4674,"Restaurant",'Tenant Data'!$E$2:$E$4674,"&lt;10000")</f>
        <v>0</v>
      </c>
      <c r="AF38">
        <f>SUMIFS('Tenant Data'!$F$2:$F$4674,'Tenant Data'!$A$2:$A$4674,"SoNo Collection",'Tenant Data'!$D$2:$D$4674,"Hobby &amp; Novelty",'Tenant Data'!$E$2:$E$4674,"&lt;10000")</f>
        <v>3084117</v>
      </c>
      <c r="AG38">
        <f>SUMIFS('Tenant Data'!$F$2:$F$4674,'Tenant Data'!$A$2:$A$4674,"SoNo Collection",'Tenant Data'!$D$2:$D$4674,"Service",'Tenant Data'!$E$2:$E$4674,"&lt;10000")</f>
        <v>1415845</v>
      </c>
      <c r="AH38">
        <f>SUMIFS('Tenant Data'!$F$2:$F$4674,'Tenant Data'!$A$2:$A$4674,"SoNo Collection",'Tenant Data'!$D$2:$D$4674,"Tech",'Tenant Data'!$E$2:$E$4674,"&lt;10000")</f>
        <v>0</v>
      </c>
      <c r="AI38">
        <f>SUMIFS('Tenant Data'!$F$2:$F$4674,'Tenant Data'!$A$2:$A$4674,"SoNo Collection",'Tenant Data'!$D$2:$D$4674,"Major",'Tenant Data'!$E$2:$E$4674,"&lt;10000")</f>
        <v>778560</v>
      </c>
      <c r="AJ38">
        <f>SUMIFS('Tenant Data'!$F$2:$F$4674,'Tenant Data'!$A$2:$A$4674,"SoNo Collection",'Tenant Data'!$D$2:$D$4674,"Anchor",'Tenant Data'!$E$2:$E$4674,"&lt;10000")</f>
        <v>0</v>
      </c>
      <c r="AK38">
        <f>SUMIFS('Tenant Data'!$F$2:$F$4674,'Tenant Data'!$A$2:$A$4674,"SoNo Collection",'Tenant Data'!$D$2:$D$4674,"Apple",'Tenant Data'!$E$2:$E$4674,"&lt;10000")</f>
        <v>37271185</v>
      </c>
      <c r="AL38">
        <f>SUMIFS('Tenant Data'!$E$2:$E$4674,'Tenant Data'!$A$2:$A$4674,"SoNo Collection",'Tenant Data'!$D$2:$D$4674,"Apparel",'Tenant Data'!$F$2:$F$4674,"&gt;0",'Tenant Data'!$E$2:$E$4674,"&lt;10000")</f>
        <v>81547</v>
      </c>
      <c r="AM38">
        <f>SUMIFS('Tenant Data'!$E$2:$E$4674,'Tenant Data'!$A$2:$A$4674,"SoNo Collection",'Tenant Data'!$D$2:$D$4674,"Shoes",'Tenant Data'!$F$2:$F$4674,"&gt;0",'Tenant Data'!$E$2:$E$4674,"&lt;10000")</f>
        <v>14392</v>
      </c>
      <c r="AN38">
        <f>SUMIFS('Tenant Data'!$E$2:$E$4674,'Tenant Data'!$A$2:$A$4674,"SoNo Collection",'Tenant Data'!$D$2:$D$4674,"Jewelry",'Tenant Data'!$F$2:$F$4674,"&gt;0",'Tenant Data'!$E$2:$E$4674,"&lt;10000")</f>
        <v>4256</v>
      </c>
      <c r="AO38">
        <f>SUMIFS('Tenant Data'!$E$2:$E$4674,'Tenant Data'!$A$2:$A$4674,"SoNo Collection",'Tenant Data'!$D$2:$D$4674,"Health &amp; Beauty",'Tenant Data'!$F$2:$F$4674,"&gt;0",'Tenant Data'!$E$2:$E$4674,"&lt;10000")</f>
        <v>11457</v>
      </c>
      <c r="AP38">
        <f>SUMIFS('Tenant Data'!$E$2:$E$4674,'Tenant Data'!$A$2:$A$4674,"SoNo Collection",'Tenant Data'!$D$2:$D$4674,"Food &amp; Beverage",'Tenant Data'!$F$2:$F$4674,"&gt;0",'Tenant Data'!$E$2:$E$4674,"&lt;10000")</f>
        <v>0</v>
      </c>
      <c r="AQ38">
        <f>SUMIFS('Tenant Data'!$E$2:$E$4674,'Tenant Data'!$A$2:$A$4674,"SoNo Collection",'Tenant Data'!$D$2:$D$4674,"Restaurant",'Tenant Data'!$F$2:$F$4674,"&gt;0",'Tenant Data'!$E$2:$E$4674,"&lt;10000")</f>
        <v>0</v>
      </c>
      <c r="AR38">
        <f>SUMIFS('Tenant Data'!$E$2:$E$4674,'Tenant Data'!$A$2:$A$4674,"SoNo Collection",'Tenant Data'!$D$2:$D$4674,"Hobby &amp; Novelty",'Tenant Data'!$F$2:$F$4674,"&gt;0",'Tenant Data'!$E$2:$E$4674,"&lt;10000")</f>
        <v>6779</v>
      </c>
      <c r="AS38">
        <f>SUMIFS('Tenant Data'!$E$2:$E$4674,'Tenant Data'!$A$2:$A$4674,"SoNo Collection",'Tenant Data'!$D$2:$D$4674,"Service",'Tenant Data'!$F$2:$F$4674,"&gt;0",'Tenant Data'!$E$2:$E$4674,"&lt;10000")</f>
        <v>3642</v>
      </c>
      <c r="AT38">
        <f>SUMIFS('Tenant Data'!$E$2:$E$4674,'Tenant Data'!$A$2:$A$4674,"SoNo Collection",'Tenant Data'!$D$2:$D$4674,"Tech",'Tenant Data'!$F$2:$F$4674,"&gt;0",'Tenant Data'!$E$2:$E$4674,"&lt;10000")</f>
        <v>0</v>
      </c>
      <c r="AU38">
        <f>SUMIFS('Tenant Data'!$E$2:$E$4674,'Tenant Data'!$A$2:$A$4674,"SoNo Collection",'Tenant Data'!$D$2:$D$4674,"Major",'Tenant Data'!$F$2:$F$4674,"&gt;0",'Tenant Data'!$E$2:$E$4674,"&lt;10000")</f>
        <v>2368</v>
      </c>
      <c r="AV38">
        <f>SUMIFS('Tenant Data'!$E$2:$E$4674,'Tenant Data'!$A$2:$A$4674,"SoNo Collection",'Tenant Data'!$D$2:$D$4674,"Anchor",'Tenant Data'!$F$2:$F$4674,"&gt;0",'Tenant Data'!$E$2:$E$4674,"&lt;10000")</f>
        <v>0</v>
      </c>
      <c r="AW38">
        <f>SUMIFS('Tenant Data'!$E$2:$E$4674,'Tenant Data'!$A$2:$A$4674,"SoNo Collection",'Tenant Data'!$D$2:$D$4674,"Apple",'Tenant Data'!$F$2:$F$4674,"&gt;0",'Tenant Data'!$E$2:$E$4674,"&lt;10000")</f>
        <v>8400</v>
      </c>
      <c r="AX38">
        <v>1</v>
      </c>
      <c r="AY38" t="str">
        <f>'Property Summary'!B38</f>
        <v>Y</v>
      </c>
      <c r="AZ38">
        <f t="shared" si="12"/>
        <v>132841</v>
      </c>
    </row>
    <row r="39" spans="1:52" x14ac:dyDescent="0.2">
      <c r="A39" t="s">
        <v>34</v>
      </c>
      <c r="B39">
        <f t="shared" si="0"/>
        <v>320.6441988507512</v>
      </c>
      <c r="C39">
        <f t="shared" si="1"/>
        <v>289.13272537640728</v>
      </c>
      <c r="D39">
        <f t="shared" si="2"/>
        <v>949.32731276638924</v>
      </c>
      <c r="E39">
        <f t="shared" si="3"/>
        <v>492.1778161973005</v>
      </c>
      <c r="F39">
        <f t="shared" si="4"/>
        <v>1172.9586630309038</v>
      </c>
      <c r="G39">
        <f t="shared" si="5"/>
        <v>574.94264566367804</v>
      </c>
      <c r="H39">
        <f t="shared" si="6"/>
        <v>285.83915850144092</v>
      </c>
      <c r="I39">
        <f t="shared" si="7"/>
        <v>589.79494393626442</v>
      </c>
      <c r="J39" t="str">
        <f t="shared" si="8"/>
        <v/>
      </c>
      <c r="K39">
        <f t="shared" si="9"/>
        <v>126.53041378116342</v>
      </c>
      <c r="L39" t="str">
        <f t="shared" si="10"/>
        <v/>
      </c>
      <c r="M39" t="str">
        <f t="shared" si="11"/>
        <v/>
      </c>
      <c r="N39">
        <f>IFERROR(SUMPRODUCT(('Tenant Data'!$A$2:$A$4674="SouthPark Mall (OH)")*('Tenant Data'!$D$2:$D$4674="Apparel")*('Tenant Data'!$F$2:$F$4674&gt;0)*('Tenant Data'!$E$2:$E$4674&lt;10000)*'Tenant Data'!$J$2:$J$4674*'Tenant Data'!$E$2:$E$4674)/SUMPRODUCT(('Tenant Data'!$A$2:$A$4674="SouthPark Mall (OH)")*('Tenant Data'!$D$2:$D$4674="Apparel")*('Tenant Data'!$F$2:$F$4674&gt;0)*('Tenant Data'!$E$2:$E$4674&lt;10000)*'Tenant Data'!$E$2:$E$4674),"")</f>
        <v>0.10133129892516736</v>
      </c>
      <c r="O39">
        <f>IFERROR(SUMPRODUCT(('Tenant Data'!$A$2:$A$4674="SouthPark Mall (OH)")*('Tenant Data'!$D$2:$D$4674="Shoes")*('Tenant Data'!$F$2:$F$4674&gt;0)*('Tenant Data'!$E$2:$E$4674&lt;10000)*'Tenant Data'!$J$2:$J$4674*'Tenant Data'!$E$2:$E$4674)/SUMPRODUCT(('Tenant Data'!$A$2:$A$4674="SouthPark Mall (OH)")*('Tenant Data'!$D$2:$D$4674="Shoes")*('Tenant Data'!$F$2:$F$4674&gt;0)*('Tenant Data'!$E$2:$E$4674&lt;10000)*'Tenant Data'!$E$2:$E$4674),"")</f>
        <v>0.1320479979281777</v>
      </c>
      <c r="P39">
        <f>IFERROR(SUMPRODUCT(('Tenant Data'!$A$2:$A$4674="SouthPark Mall (OH)")*('Tenant Data'!$D$2:$D$4674="Jewelry")*('Tenant Data'!$F$2:$F$4674&gt;0)*('Tenant Data'!$E$2:$E$4674&lt;10000)*'Tenant Data'!$J$2:$J$4674*'Tenant Data'!$E$2:$E$4674)/SUMPRODUCT(('Tenant Data'!$A$2:$A$4674="SouthPark Mall (OH)")*('Tenant Data'!$D$2:$D$4674="Jewelry")*('Tenant Data'!$F$2:$F$4674&gt;0)*('Tenant Data'!$E$2:$E$4674&lt;10000)*'Tenant Data'!$E$2:$E$4674),"")</f>
        <v>0.13867615249936505</v>
      </c>
      <c r="Q39">
        <f>IFERROR(SUMPRODUCT(('Tenant Data'!$A$2:$A$4674="SouthPark Mall (OH)")*('Tenant Data'!$D$2:$D$4674="Health &amp; Beauty")*('Tenant Data'!$F$2:$F$4674&gt;0)*('Tenant Data'!$E$2:$E$4674&lt;10000)*'Tenant Data'!$J$2:$J$4674*'Tenant Data'!$E$2:$E$4674)/SUMPRODUCT(('Tenant Data'!$A$2:$A$4674="SouthPark Mall (OH)")*('Tenant Data'!$D$2:$D$4674="Health &amp; Beauty")*('Tenant Data'!$F$2:$F$4674&gt;0)*('Tenant Data'!$E$2:$E$4674&lt;10000)*'Tenant Data'!$E$2:$E$4674),"")</f>
        <v>0.14809846693738257</v>
      </c>
      <c r="R39">
        <f>IFERROR(SUMPRODUCT(('Tenant Data'!$A$2:$A$4674="SouthPark Mall (OH)")*('Tenant Data'!$D$2:$D$4674="Food &amp; Beverage")*('Tenant Data'!$F$2:$F$4674&gt;0)*('Tenant Data'!$E$2:$E$4674&lt;10000)*'Tenant Data'!$J$2:$J$4674*'Tenant Data'!$E$2:$E$4674)/SUMPRODUCT(('Tenant Data'!$A$2:$A$4674="SouthPark Mall (OH)")*('Tenant Data'!$D$2:$D$4674="Food &amp; Beverage")*('Tenant Data'!$F$2:$F$4674&gt;0)*('Tenant Data'!$E$2:$E$4674&lt;10000)*'Tenant Data'!$E$2:$E$4674),"")</f>
        <v>0.20811891647808795</v>
      </c>
      <c r="S39">
        <f>IFERROR(SUMPRODUCT(('Tenant Data'!$A$2:$A$4674="SouthPark Mall (OH)")*('Tenant Data'!$D$2:$D$4674="Restaurant")*('Tenant Data'!$F$2:$F$4674&gt;0)*('Tenant Data'!$E$2:$E$4674&lt;10000)*'Tenant Data'!$J$2:$J$4674*'Tenant Data'!$E$2:$E$4674)/SUMPRODUCT(('Tenant Data'!$A$2:$A$4674="SouthPark Mall (OH)")*('Tenant Data'!$D$2:$D$4674="Restaurant")*('Tenant Data'!$F$2:$F$4674&gt;0)*('Tenant Data'!$E$2:$E$4674&lt;10000)*'Tenant Data'!$E$2:$E$4674),"")</f>
        <v>9.199132166127727E-2</v>
      </c>
      <c r="T39">
        <f>IFERROR(SUMPRODUCT(('Tenant Data'!$A$2:$A$4674="SouthPark Mall (OH)")*('Tenant Data'!$D$2:$D$4674="Hobby &amp; Novelty")*('Tenant Data'!$F$2:$F$4674&gt;0)*('Tenant Data'!$E$2:$E$4674&lt;10000)*'Tenant Data'!$J$2:$J$4674*'Tenant Data'!$E$2:$E$4674)/SUMPRODUCT(('Tenant Data'!$A$2:$A$4674="SouthPark Mall (OH)")*('Tenant Data'!$D$2:$D$4674="Hobby &amp; Novelty")*('Tenant Data'!$F$2:$F$4674&gt;0)*('Tenant Data'!$E$2:$E$4674&lt;10000)*'Tenant Data'!$E$2:$E$4674),"")</f>
        <v>0.14807043336806122</v>
      </c>
      <c r="U39">
        <f>IFERROR(SUMPRODUCT(('Tenant Data'!$A$2:$A$4674="SouthPark Mall (OH)")*('Tenant Data'!$D$2:$D$4674="Service")*('Tenant Data'!$F$2:$F$4674&gt;0)*('Tenant Data'!$E$2:$E$4674&lt;10000)*'Tenant Data'!$J$2:$J$4674*'Tenant Data'!$E$2:$E$4674)/SUMPRODUCT(('Tenant Data'!$A$2:$A$4674="SouthPark Mall (OH)")*('Tenant Data'!$D$2:$D$4674="Service")*('Tenant Data'!$F$2:$F$4674&gt;0)*('Tenant Data'!$E$2:$E$4674&lt;10000)*'Tenant Data'!$E$2:$E$4674),"")</f>
        <v>9.0915957890721405E-2</v>
      </c>
      <c r="V39" t="str">
        <f>IFERROR(SUMPRODUCT(('Tenant Data'!$A$2:$A$4674="SouthPark Mall (OH)")*('Tenant Data'!$D$2:$D$4674="Tech")*('Tenant Data'!$F$2:$F$4674&gt;0)*('Tenant Data'!$E$2:$E$4674&lt;10000)*'Tenant Data'!$J$2:$J$4674*'Tenant Data'!$E$2:$E$4674)/SUMPRODUCT(('Tenant Data'!$A$2:$A$4674="SouthPark Mall (OH)")*('Tenant Data'!$D$2:$D$4674="Tech")*('Tenant Data'!$F$2:$F$4674&gt;0)*('Tenant Data'!$E$2:$E$4674&lt;10000)*'Tenant Data'!$E$2:$E$4674),"")</f>
        <v/>
      </c>
      <c r="W39">
        <f>IFERROR(SUMPRODUCT(('Tenant Data'!$A$2:$A$4674="SouthPark Mall (OH)")*('Tenant Data'!$D$2:$D$4674="Major")*('Tenant Data'!$F$2:$F$4674&gt;0)*('Tenant Data'!$E$2:$E$4674&lt;10000)*'Tenant Data'!$J$2:$J$4674*'Tenant Data'!$E$2:$E$4674)/SUMPRODUCT(('Tenant Data'!$A$2:$A$4674="SouthPark Mall (OH)")*('Tenant Data'!$D$2:$D$4674="Major")*('Tenant Data'!$F$2:$F$4674&gt;0)*('Tenant Data'!$E$2:$E$4674&lt;10000)*'Tenant Data'!$E$2:$E$4674),"")</f>
        <v>0.29494502801699335</v>
      </c>
      <c r="X39" t="str">
        <f>IFERROR(SUMPRODUCT(('Tenant Data'!$A$2:$A$4674="SouthPark Mall (OH)")*('Tenant Data'!$D$2:$D$4674="Anchor")*('Tenant Data'!$F$2:$F$4674&gt;0)*('Tenant Data'!$E$2:$E$4674&lt;10000)*'Tenant Data'!$J$2:$J$4674*'Tenant Data'!$E$2:$E$4674)/SUMPRODUCT(('Tenant Data'!$A$2:$A$4674="SouthPark Mall (OH)")*('Tenant Data'!$D$2:$D$4674="Anchor")*('Tenant Data'!$F$2:$F$4674&gt;0)*('Tenant Data'!$E$2:$E$4674&lt;10000)*'Tenant Data'!$E$2:$E$4674),"")</f>
        <v/>
      </c>
      <c r="Y39" t="str">
        <f>IFERROR(SUMPRODUCT(('Tenant Data'!$A$2:$A$4674="SouthPark Mall (OH)")*('Tenant Data'!$D$2:$D$4674="Apple")*('Tenant Data'!$F$2:$F$4674&gt;0)*('Tenant Data'!$E$2:$E$4674&lt;10000)*'Tenant Data'!$J$2:$J$4674*'Tenant Data'!$E$2:$E$4674)/SUMPRODUCT(('Tenant Data'!$A$2:$A$4674="SouthPark Mall (OH)")*('Tenant Data'!$D$2:$D$4674="Apple")*('Tenant Data'!$F$2:$F$4674&gt;0)*('Tenant Data'!$E$2:$E$4674&lt;10000)*'Tenant Data'!$E$2:$E$4674),"")</f>
        <v/>
      </c>
      <c r="Z39">
        <f>SUMIFS('Tenant Data'!$F$2:$F$4674,'Tenant Data'!$A$2:$A$4674,"SouthPark Mall (OH)",'Tenant Data'!$D$2:$D$4674,"Apparel",'Tenant Data'!$E$2:$E$4674,"&lt;10000")</f>
        <v>37609640.660000011</v>
      </c>
      <c r="AA39">
        <f>SUMIFS('Tenant Data'!$F$2:$F$4674,'Tenant Data'!$A$2:$A$4674,"SouthPark Mall (OH)",'Tenant Data'!$D$2:$D$4674,"Shoes",'Tenant Data'!$E$2:$E$4674,"&lt;10000")</f>
        <v>10811539.999999998</v>
      </c>
      <c r="AB39">
        <f>SUMIFS('Tenant Data'!$F$2:$F$4674,'Tenant Data'!$A$2:$A$4674,"SouthPark Mall (OH)",'Tenant Data'!$D$2:$D$4674,"Jewelry",'Tenant Data'!$E$2:$E$4674,"&lt;10000")</f>
        <v>9354671.3399999999</v>
      </c>
      <c r="AC39">
        <f>SUMIFS('Tenant Data'!$F$2:$F$4674,'Tenant Data'!$A$2:$A$4674,"SouthPark Mall (OH)",'Tenant Data'!$D$2:$D$4674,"Health &amp; Beauty",'Tenant Data'!$E$2:$E$4674,"&lt;10000")</f>
        <v>5907118.1500000004</v>
      </c>
      <c r="AD39">
        <f>SUMIFS('Tenant Data'!$F$2:$F$4674,'Tenant Data'!$A$2:$A$4674,"SouthPark Mall (OH)",'Tenant Data'!$D$2:$D$4674,"Food &amp; Beverage",'Tenant Data'!$E$2:$E$4674,"&lt;10000")</f>
        <v>7097572.8699999992</v>
      </c>
      <c r="AE39">
        <f>SUMIFS('Tenant Data'!$F$2:$F$4674,'Tenant Data'!$A$2:$A$4674,"SouthPark Mall (OH)",'Tenant Data'!$D$2:$D$4674,"Restaurant",'Tenant Data'!$E$2:$E$4674,"&lt;10000")</f>
        <v>20968733.23</v>
      </c>
      <c r="AF39">
        <f>SUMIFS('Tenant Data'!$F$2:$F$4674,'Tenant Data'!$A$2:$A$4674,"SouthPark Mall (OH)",'Tenant Data'!$D$2:$D$4674,"Hobby &amp; Novelty",'Tenant Data'!$E$2:$E$4674,"&lt;10000")</f>
        <v>4959309.4000000004</v>
      </c>
      <c r="AG39">
        <f>SUMIFS('Tenant Data'!$F$2:$F$4674,'Tenant Data'!$A$2:$A$4674,"SouthPark Mall (OH)",'Tenant Data'!$D$2:$D$4674,"Service",'Tenant Data'!$E$2:$E$4674,"&lt;10000")</f>
        <v>7995260.2599999998</v>
      </c>
      <c r="AH39">
        <f>SUMIFS('Tenant Data'!$F$2:$F$4674,'Tenant Data'!$A$2:$A$4674,"SouthPark Mall (OH)",'Tenant Data'!$D$2:$D$4674,"Tech",'Tenant Data'!$E$2:$E$4674,"&lt;10000")</f>
        <v>0</v>
      </c>
      <c r="AI39">
        <f>SUMIFS('Tenant Data'!$F$2:$F$4674,'Tenant Data'!$A$2:$A$4674,"SouthPark Mall (OH)",'Tenant Data'!$D$2:$D$4674,"Major",'Tenant Data'!$E$2:$E$4674,"&lt;10000")</f>
        <v>2192519.0099999998</v>
      </c>
      <c r="AJ39">
        <f>SUMIFS('Tenant Data'!$F$2:$F$4674,'Tenant Data'!$A$2:$A$4674,"SouthPark Mall (OH)",'Tenant Data'!$D$2:$D$4674,"Anchor",'Tenant Data'!$E$2:$E$4674,"&lt;10000")</f>
        <v>0</v>
      </c>
      <c r="AK39">
        <f>SUMIFS('Tenant Data'!$F$2:$F$4674,'Tenant Data'!$A$2:$A$4674,"SouthPark Mall (OH)",'Tenant Data'!$D$2:$D$4674,"Apple",'Tenant Data'!$E$2:$E$4674,"&lt;10000")</f>
        <v>0</v>
      </c>
      <c r="AL39">
        <f>SUMIFS('Tenant Data'!$E$2:$E$4674,'Tenant Data'!$A$2:$A$4674,"SouthPark Mall (OH)",'Tenant Data'!$D$2:$D$4674,"Apparel",'Tenant Data'!$F$2:$F$4674,"&gt;0",'Tenant Data'!$E$2:$E$4674,"&lt;10000")</f>
        <v>117294</v>
      </c>
      <c r="AM39">
        <f>SUMIFS('Tenant Data'!$E$2:$E$4674,'Tenant Data'!$A$2:$A$4674,"SouthPark Mall (OH)",'Tenant Data'!$D$2:$D$4674,"Shoes",'Tenant Data'!$F$2:$F$4674,"&gt;0",'Tenant Data'!$E$2:$E$4674,"&lt;10000")</f>
        <v>37393</v>
      </c>
      <c r="AN39">
        <f>SUMIFS('Tenant Data'!$E$2:$E$4674,'Tenant Data'!$A$2:$A$4674,"SouthPark Mall (OH)",'Tenant Data'!$D$2:$D$4674,"Jewelry",'Tenant Data'!$F$2:$F$4674,"&gt;0",'Tenant Data'!$E$2:$E$4674,"&lt;10000")</f>
        <v>9854</v>
      </c>
      <c r="AO39">
        <f>SUMIFS('Tenant Data'!$E$2:$E$4674,'Tenant Data'!$A$2:$A$4674,"SouthPark Mall (OH)",'Tenant Data'!$D$2:$D$4674,"Health &amp; Beauty",'Tenant Data'!$F$2:$F$4674,"&gt;0",'Tenant Data'!$E$2:$E$4674,"&lt;10000")</f>
        <v>12002</v>
      </c>
      <c r="AP39">
        <f>SUMIFS('Tenant Data'!$E$2:$E$4674,'Tenant Data'!$A$2:$A$4674,"SouthPark Mall (OH)",'Tenant Data'!$D$2:$D$4674,"Food &amp; Beverage",'Tenant Data'!$F$2:$F$4674,"&gt;0",'Tenant Data'!$E$2:$E$4674,"&lt;10000")</f>
        <v>6051</v>
      </c>
      <c r="AQ39">
        <f>SUMIFS('Tenant Data'!$E$2:$E$4674,'Tenant Data'!$A$2:$A$4674,"SouthPark Mall (OH)",'Tenant Data'!$D$2:$D$4674,"Restaurant",'Tenant Data'!$F$2:$F$4674,"&gt;0",'Tenant Data'!$E$2:$E$4674,"&lt;10000")</f>
        <v>36471</v>
      </c>
      <c r="AR39">
        <f>SUMIFS('Tenant Data'!$E$2:$E$4674,'Tenant Data'!$A$2:$A$4674,"SouthPark Mall (OH)",'Tenant Data'!$D$2:$D$4674,"Hobby &amp; Novelty",'Tenant Data'!$F$2:$F$4674,"&gt;0",'Tenant Data'!$E$2:$E$4674,"&lt;10000")</f>
        <v>17350</v>
      </c>
      <c r="AS39">
        <f>SUMIFS('Tenant Data'!$E$2:$E$4674,'Tenant Data'!$A$2:$A$4674,"SouthPark Mall (OH)",'Tenant Data'!$D$2:$D$4674,"Service",'Tenant Data'!$F$2:$F$4674,"&gt;0",'Tenant Data'!$E$2:$E$4674,"&lt;10000")</f>
        <v>13556</v>
      </c>
      <c r="AT39">
        <f>SUMIFS('Tenant Data'!$E$2:$E$4674,'Tenant Data'!$A$2:$A$4674,"SouthPark Mall (OH)",'Tenant Data'!$D$2:$D$4674,"Tech",'Tenant Data'!$F$2:$F$4674,"&gt;0",'Tenant Data'!$E$2:$E$4674,"&lt;10000")</f>
        <v>0</v>
      </c>
      <c r="AU39">
        <f>SUMIFS('Tenant Data'!$E$2:$E$4674,'Tenant Data'!$A$2:$A$4674,"SouthPark Mall (OH)",'Tenant Data'!$D$2:$D$4674,"Major",'Tenant Data'!$F$2:$F$4674,"&gt;0",'Tenant Data'!$E$2:$E$4674,"&lt;10000")</f>
        <v>17328</v>
      </c>
      <c r="AV39">
        <f>SUMIFS('Tenant Data'!$E$2:$E$4674,'Tenant Data'!$A$2:$A$4674,"SouthPark Mall (OH)",'Tenant Data'!$D$2:$D$4674,"Anchor",'Tenant Data'!$F$2:$F$4674,"&gt;0",'Tenant Data'!$E$2:$E$4674,"&lt;10000")</f>
        <v>0</v>
      </c>
      <c r="AW39">
        <f>SUMIFS('Tenant Data'!$E$2:$E$4674,'Tenant Data'!$A$2:$A$4674,"SouthPark Mall (OH)",'Tenant Data'!$D$2:$D$4674,"Apple",'Tenant Data'!$F$2:$F$4674,"&gt;0",'Tenant Data'!$E$2:$E$4674,"&lt;10000")</f>
        <v>0</v>
      </c>
      <c r="AX39">
        <v>1</v>
      </c>
      <c r="AY39" t="str">
        <f>'Property Summary'!B39</f>
        <v>Y</v>
      </c>
      <c r="AZ39">
        <f t="shared" si="12"/>
        <v>267299</v>
      </c>
    </row>
    <row r="40" spans="1:52" x14ac:dyDescent="0.2">
      <c r="A40" t="s">
        <v>48</v>
      </c>
      <c r="B40">
        <f t="shared" si="0"/>
        <v>358.77208667956648</v>
      </c>
      <c r="C40">
        <f t="shared" si="1"/>
        <v>329.74303426124192</v>
      </c>
      <c r="D40">
        <f t="shared" si="2"/>
        <v>853.88396469654879</v>
      </c>
      <c r="E40">
        <f t="shared" si="3"/>
        <v>651.54901291394958</v>
      </c>
      <c r="F40">
        <f t="shared" si="4"/>
        <v>367.39134112792306</v>
      </c>
      <c r="G40">
        <f t="shared" si="5"/>
        <v>409.35479798404032</v>
      </c>
      <c r="H40">
        <f t="shared" si="6"/>
        <v>237.21338940998487</v>
      </c>
      <c r="I40">
        <f t="shared" si="7"/>
        <v>179.56995717803233</v>
      </c>
      <c r="J40">
        <f t="shared" si="8"/>
        <v>248.64193610842207</v>
      </c>
      <c r="K40" t="str">
        <f t="shared" si="9"/>
        <v/>
      </c>
      <c r="L40" t="str">
        <f t="shared" si="10"/>
        <v/>
      </c>
      <c r="M40" t="str">
        <f t="shared" si="11"/>
        <v/>
      </c>
      <c r="N40">
        <f>IFERROR(SUMPRODUCT(('Tenant Data'!$A$2:$A$4674="Southgate Mall")*('Tenant Data'!$D$2:$D$4674="Apparel")*('Tenant Data'!$F$2:$F$4674&gt;0)*('Tenant Data'!$E$2:$E$4674&lt;10000)*'Tenant Data'!$J$2:$J$4674*'Tenant Data'!$E$2:$E$4674)/SUMPRODUCT(('Tenant Data'!$A$2:$A$4674="Southgate Mall")*('Tenant Data'!$D$2:$D$4674="Apparel")*('Tenant Data'!$F$2:$F$4674&gt;0)*('Tenant Data'!$E$2:$E$4674&lt;10000)*'Tenant Data'!$E$2:$E$4674),"")</f>
        <v>0.10349457348873843</v>
      </c>
      <c r="O40">
        <f>IFERROR(SUMPRODUCT(('Tenant Data'!$A$2:$A$4674="Southgate Mall")*('Tenant Data'!$D$2:$D$4674="Shoes")*('Tenant Data'!$F$2:$F$4674&gt;0)*('Tenant Data'!$E$2:$E$4674&lt;10000)*'Tenant Data'!$J$2:$J$4674*'Tenant Data'!$E$2:$E$4674)/SUMPRODUCT(('Tenant Data'!$A$2:$A$4674="Southgate Mall")*('Tenant Data'!$D$2:$D$4674="Shoes")*('Tenant Data'!$F$2:$F$4674&gt;0)*('Tenant Data'!$E$2:$E$4674&lt;10000)*'Tenant Data'!$E$2:$E$4674),"")</f>
        <v>0.12209201841118288</v>
      </c>
      <c r="P40">
        <f>IFERROR(SUMPRODUCT(('Tenant Data'!$A$2:$A$4674="Southgate Mall")*('Tenant Data'!$D$2:$D$4674="Jewelry")*('Tenant Data'!$F$2:$F$4674&gt;0)*('Tenant Data'!$E$2:$E$4674&lt;10000)*'Tenant Data'!$J$2:$J$4674*'Tenant Data'!$E$2:$E$4674)/SUMPRODUCT(('Tenant Data'!$A$2:$A$4674="Southgate Mall")*('Tenant Data'!$D$2:$D$4674="Jewelry")*('Tenant Data'!$F$2:$F$4674&gt;0)*('Tenant Data'!$E$2:$E$4674&lt;10000)*'Tenant Data'!$E$2:$E$4674),"")</f>
        <v>0.12951444197301912</v>
      </c>
      <c r="Q40">
        <f>IFERROR(SUMPRODUCT(('Tenant Data'!$A$2:$A$4674="Southgate Mall")*('Tenant Data'!$D$2:$D$4674="Health &amp; Beauty")*('Tenant Data'!$F$2:$F$4674&gt;0)*('Tenant Data'!$E$2:$E$4674&lt;10000)*'Tenant Data'!$J$2:$J$4674*'Tenant Data'!$E$2:$E$4674)/SUMPRODUCT(('Tenant Data'!$A$2:$A$4674="Southgate Mall")*('Tenant Data'!$D$2:$D$4674="Health &amp; Beauty")*('Tenant Data'!$F$2:$F$4674&gt;0)*('Tenant Data'!$E$2:$E$4674&lt;10000)*'Tenant Data'!$E$2:$E$4674),"")</f>
        <v>8.5807204204432219E-2</v>
      </c>
      <c r="R40">
        <f>IFERROR(SUMPRODUCT(('Tenant Data'!$A$2:$A$4674="Southgate Mall")*('Tenant Data'!$D$2:$D$4674="Food &amp; Beverage")*('Tenant Data'!$F$2:$F$4674&gt;0)*('Tenant Data'!$E$2:$E$4674&lt;10000)*'Tenant Data'!$J$2:$J$4674*'Tenant Data'!$E$2:$E$4674)/SUMPRODUCT(('Tenant Data'!$A$2:$A$4674="Southgate Mall")*('Tenant Data'!$D$2:$D$4674="Food &amp; Beverage")*('Tenant Data'!$F$2:$F$4674&gt;0)*('Tenant Data'!$E$2:$E$4674&lt;10000)*'Tenant Data'!$E$2:$E$4674),"")</f>
        <v>0.14296418475460301</v>
      </c>
      <c r="S40">
        <f>IFERROR(SUMPRODUCT(('Tenant Data'!$A$2:$A$4674="Southgate Mall")*('Tenant Data'!$D$2:$D$4674="Restaurant")*('Tenant Data'!$F$2:$F$4674&gt;0)*('Tenant Data'!$E$2:$E$4674&lt;10000)*'Tenant Data'!$J$2:$J$4674*'Tenant Data'!$E$2:$E$4674)/SUMPRODUCT(('Tenant Data'!$A$2:$A$4674="Southgate Mall")*('Tenant Data'!$D$2:$D$4674="Restaurant")*('Tenant Data'!$F$2:$F$4674&gt;0)*('Tenant Data'!$E$2:$E$4674&lt;10000)*'Tenant Data'!$E$2:$E$4674),"")</f>
        <v>0.13592532851244254</v>
      </c>
      <c r="T40">
        <f>IFERROR(SUMPRODUCT(('Tenant Data'!$A$2:$A$4674="Southgate Mall")*('Tenant Data'!$D$2:$D$4674="Hobby &amp; Novelty")*('Tenant Data'!$F$2:$F$4674&gt;0)*('Tenant Data'!$E$2:$E$4674&lt;10000)*'Tenant Data'!$J$2:$J$4674*'Tenant Data'!$E$2:$E$4674)/SUMPRODUCT(('Tenant Data'!$A$2:$A$4674="Southgate Mall")*('Tenant Data'!$D$2:$D$4674="Hobby &amp; Novelty")*('Tenant Data'!$F$2:$F$4674&gt;0)*('Tenant Data'!$E$2:$E$4674&lt;10000)*'Tenant Data'!$E$2:$E$4674),"")</f>
        <v>0.11306362137452262</v>
      </c>
      <c r="U40">
        <f>IFERROR(SUMPRODUCT(('Tenant Data'!$A$2:$A$4674="Southgate Mall")*('Tenant Data'!$D$2:$D$4674="Service")*('Tenant Data'!$F$2:$F$4674&gt;0)*('Tenant Data'!$E$2:$E$4674&lt;10000)*'Tenant Data'!$J$2:$J$4674*'Tenant Data'!$E$2:$E$4674)/SUMPRODUCT(('Tenant Data'!$A$2:$A$4674="Southgate Mall")*('Tenant Data'!$D$2:$D$4674="Service")*('Tenant Data'!$F$2:$F$4674&gt;0)*('Tenant Data'!$E$2:$E$4674&lt;10000)*'Tenant Data'!$E$2:$E$4674),"")</f>
        <v>0.33385494702205626</v>
      </c>
      <c r="V40">
        <f>IFERROR(SUMPRODUCT(('Tenant Data'!$A$2:$A$4674="Southgate Mall")*('Tenant Data'!$D$2:$D$4674="Tech")*('Tenant Data'!$F$2:$F$4674&gt;0)*('Tenant Data'!$E$2:$E$4674&lt;10000)*'Tenant Data'!$J$2:$J$4674*'Tenant Data'!$E$2:$E$4674)/SUMPRODUCT(('Tenant Data'!$A$2:$A$4674="Southgate Mall")*('Tenant Data'!$D$2:$D$4674="Tech")*('Tenant Data'!$F$2:$F$4674&gt;0)*('Tenant Data'!$E$2:$E$4674&lt;10000)*'Tenant Data'!$E$2:$E$4674),"")</f>
        <v>0.25062036903508977</v>
      </c>
      <c r="W40" t="str">
        <f>IFERROR(SUMPRODUCT(('Tenant Data'!$A$2:$A$4674="Southgate Mall")*('Tenant Data'!$D$2:$D$4674="Major")*('Tenant Data'!$F$2:$F$4674&gt;0)*('Tenant Data'!$E$2:$E$4674&lt;10000)*'Tenant Data'!$J$2:$J$4674*'Tenant Data'!$E$2:$E$4674)/SUMPRODUCT(('Tenant Data'!$A$2:$A$4674="Southgate Mall")*('Tenant Data'!$D$2:$D$4674="Major")*('Tenant Data'!$F$2:$F$4674&gt;0)*('Tenant Data'!$E$2:$E$4674&lt;10000)*'Tenant Data'!$E$2:$E$4674),"")</f>
        <v/>
      </c>
      <c r="X40" t="str">
        <f>IFERROR(SUMPRODUCT(('Tenant Data'!$A$2:$A$4674="Southgate Mall")*('Tenant Data'!$D$2:$D$4674="Anchor")*('Tenant Data'!$F$2:$F$4674&gt;0)*('Tenant Data'!$E$2:$E$4674&lt;10000)*'Tenant Data'!$J$2:$J$4674*'Tenant Data'!$E$2:$E$4674)/SUMPRODUCT(('Tenant Data'!$A$2:$A$4674="Southgate Mall")*('Tenant Data'!$D$2:$D$4674="Anchor")*('Tenant Data'!$F$2:$F$4674&gt;0)*('Tenant Data'!$E$2:$E$4674&lt;10000)*'Tenant Data'!$E$2:$E$4674),"")</f>
        <v/>
      </c>
      <c r="Y40" t="str">
        <f>IFERROR(SUMPRODUCT(('Tenant Data'!$A$2:$A$4674="Southgate Mall")*('Tenant Data'!$D$2:$D$4674="Apple")*('Tenant Data'!$F$2:$F$4674&gt;0)*('Tenant Data'!$E$2:$E$4674&lt;10000)*'Tenant Data'!$J$2:$J$4674*'Tenant Data'!$E$2:$E$4674)/SUMPRODUCT(('Tenant Data'!$A$2:$A$4674="Southgate Mall")*('Tenant Data'!$D$2:$D$4674="Apple")*('Tenant Data'!$F$2:$F$4674&gt;0)*('Tenant Data'!$E$2:$E$4674&lt;10000)*'Tenant Data'!$E$2:$E$4674),"")</f>
        <v/>
      </c>
      <c r="Z40">
        <f>SUMIFS('Tenant Data'!$F$2:$F$4674,'Tenant Data'!$A$2:$A$4674,"Southgate Mall",'Tenant Data'!$D$2:$D$4674,"Apparel",'Tenant Data'!$E$2:$E$4674,"&lt;10000")</f>
        <v>20951931.090000004</v>
      </c>
      <c r="AA40">
        <f>SUMIFS('Tenant Data'!$F$2:$F$4674,'Tenant Data'!$A$2:$A$4674,"Southgate Mall",'Tenant Data'!$D$2:$D$4674,"Shoes",'Tenant Data'!$E$2:$E$4674,"&lt;10000")</f>
        <v>3079799.9399999995</v>
      </c>
      <c r="AB40">
        <f>SUMIFS('Tenant Data'!$F$2:$F$4674,'Tenant Data'!$A$2:$A$4674,"Southgate Mall",'Tenant Data'!$D$2:$D$4674,"Jewelry",'Tenant Data'!$E$2:$E$4674,"&lt;10000")</f>
        <v>4305282.9499999993</v>
      </c>
      <c r="AC40">
        <f>SUMIFS('Tenant Data'!$F$2:$F$4674,'Tenant Data'!$A$2:$A$4674,"Southgate Mall",'Tenant Data'!$D$2:$D$4674,"Health &amp; Beauty",'Tenant Data'!$E$2:$E$4674,"&lt;10000")</f>
        <v>5095764.83</v>
      </c>
      <c r="AD40">
        <f>SUMIFS('Tenant Data'!$F$2:$F$4674,'Tenant Data'!$A$2:$A$4674,"Southgate Mall",'Tenant Data'!$D$2:$D$4674,"Food &amp; Beverage",'Tenant Data'!$E$2:$E$4674,"&lt;10000")</f>
        <v>1602561.0300000003</v>
      </c>
      <c r="AE40">
        <f>SUMIFS('Tenant Data'!$F$2:$F$4674,'Tenant Data'!$A$2:$A$4674,"Southgate Mall",'Tenant Data'!$D$2:$D$4674,"Restaurant",'Tenant Data'!$E$2:$E$4674,"&lt;10000")</f>
        <v>4873368.87</v>
      </c>
      <c r="AF40">
        <f>SUMIFS('Tenant Data'!$F$2:$F$4674,'Tenant Data'!$A$2:$A$4674,"Southgate Mall",'Tenant Data'!$D$2:$D$4674,"Hobby &amp; Novelty",'Tenant Data'!$E$2:$E$4674,"&lt;10000")</f>
        <v>3919951.26</v>
      </c>
      <c r="AG40">
        <f>SUMIFS('Tenant Data'!$F$2:$F$4674,'Tenant Data'!$A$2:$A$4674,"Southgate Mall",'Tenant Data'!$D$2:$D$4674,"Service",'Tenant Data'!$E$2:$E$4674,"&lt;10000")</f>
        <v>3354725.94</v>
      </c>
      <c r="AH40">
        <f>SUMIFS('Tenant Data'!$F$2:$F$4674,'Tenant Data'!$A$2:$A$4674,"Southgate Mall",'Tenant Data'!$D$2:$D$4674,"Tech",'Tenant Data'!$E$2:$E$4674,"&lt;10000")</f>
        <v>256847.12</v>
      </c>
      <c r="AI40">
        <f>SUMIFS('Tenant Data'!$F$2:$F$4674,'Tenant Data'!$A$2:$A$4674,"Southgate Mall",'Tenant Data'!$D$2:$D$4674,"Major",'Tenant Data'!$E$2:$E$4674,"&lt;10000")</f>
        <v>0</v>
      </c>
      <c r="AJ40">
        <f>SUMIFS('Tenant Data'!$F$2:$F$4674,'Tenant Data'!$A$2:$A$4674,"Southgate Mall",'Tenant Data'!$D$2:$D$4674,"Anchor",'Tenant Data'!$E$2:$E$4674,"&lt;10000")</f>
        <v>0</v>
      </c>
      <c r="AK40">
        <f>SUMIFS('Tenant Data'!$F$2:$F$4674,'Tenant Data'!$A$2:$A$4674,"Southgate Mall",'Tenant Data'!$D$2:$D$4674,"Apple",'Tenant Data'!$E$2:$E$4674,"&lt;10000")</f>
        <v>0</v>
      </c>
      <c r="AL40">
        <f>SUMIFS('Tenant Data'!$E$2:$E$4674,'Tenant Data'!$A$2:$A$4674,"Southgate Mall",'Tenant Data'!$D$2:$D$4674,"Apparel",'Tenant Data'!$F$2:$F$4674,"&gt;0",'Tenant Data'!$E$2:$E$4674,"&lt;10000")</f>
        <v>58399</v>
      </c>
      <c r="AM40">
        <f>SUMIFS('Tenant Data'!$E$2:$E$4674,'Tenant Data'!$A$2:$A$4674,"Southgate Mall",'Tenant Data'!$D$2:$D$4674,"Shoes",'Tenant Data'!$F$2:$F$4674,"&gt;0",'Tenant Data'!$E$2:$E$4674,"&lt;10000")</f>
        <v>9340</v>
      </c>
      <c r="AN40">
        <f>SUMIFS('Tenant Data'!$E$2:$E$4674,'Tenant Data'!$A$2:$A$4674,"Southgate Mall",'Tenant Data'!$D$2:$D$4674,"Jewelry",'Tenant Data'!$F$2:$F$4674,"&gt;0",'Tenant Data'!$E$2:$E$4674,"&lt;10000")</f>
        <v>5042</v>
      </c>
      <c r="AO40">
        <f>SUMIFS('Tenant Data'!$E$2:$E$4674,'Tenant Data'!$A$2:$A$4674,"Southgate Mall",'Tenant Data'!$D$2:$D$4674,"Health &amp; Beauty",'Tenant Data'!$F$2:$F$4674,"&gt;0",'Tenant Data'!$E$2:$E$4674,"&lt;10000")</f>
        <v>7821</v>
      </c>
      <c r="AP40">
        <f>SUMIFS('Tenant Data'!$E$2:$E$4674,'Tenant Data'!$A$2:$A$4674,"Southgate Mall",'Tenant Data'!$D$2:$D$4674,"Food &amp; Beverage",'Tenant Data'!$F$2:$F$4674,"&gt;0",'Tenant Data'!$E$2:$E$4674,"&lt;10000")</f>
        <v>4362</v>
      </c>
      <c r="AQ40">
        <f>SUMIFS('Tenant Data'!$E$2:$E$4674,'Tenant Data'!$A$2:$A$4674,"Southgate Mall",'Tenant Data'!$D$2:$D$4674,"Restaurant",'Tenant Data'!$F$2:$F$4674,"&gt;0",'Tenant Data'!$E$2:$E$4674,"&lt;10000")</f>
        <v>11905</v>
      </c>
      <c r="AR40">
        <f>SUMIFS('Tenant Data'!$E$2:$E$4674,'Tenant Data'!$A$2:$A$4674,"Southgate Mall",'Tenant Data'!$D$2:$D$4674,"Hobby &amp; Novelty",'Tenant Data'!$F$2:$F$4674,"&gt;0",'Tenant Data'!$E$2:$E$4674,"&lt;10000")</f>
        <v>16525</v>
      </c>
      <c r="AS40">
        <f>SUMIFS('Tenant Data'!$E$2:$E$4674,'Tenant Data'!$A$2:$A$4674,"Southgate Mall",'Tenant Data'!$D$2:$D$4674,"Service",'Tenant Data'!$F$2:$F$4674,"&gt;0",'Tenant Data'!$E$2:$E$4674,"&lt;10000")</f>
        <v>18682</v>
      </c>
      <c r="AT40">
        <f>SUMIFS('Tenant Data'!$E$2:$E$4674,'Tenant Data'!$A$2:$A$4674,"Southgate Mall",'Tenant Data'!$D$2:$D$4674,"Tech",'Tenant Data'!$F$2:$F$4674,"&gt;0",'Tenant Data'!$E$2:$E$4674,"&lt;10000")</f>
        <v>1033</v>
      </c>
      <c r="AU40">
        <f>SUMIFS('Tenant Data'!$E$2:$E$4674,'Tenant Data'!$A$2:$A$4674,"Southgate Mall",'Tenant Data'!$D$2:$D$4674,"Major",'Tenant Data'!$F$2:$F$4674,"&gt;0",'Tenant Data'!$E$2:$E$4674,"&lt;10000")</f>
        <v>0</v>
      </c>
      <c r="AV40">
        <f>SUMIFS('Tenant Data'!$E$2:$E$4674,'Tenant Data'!$A$2:$A$4674,"Southgate Mall",'Tenant Data'!$D$2:$D$4674,"Anchor",'Tenant Data'!$F$2:$F$4674,"&gt;0",'Tenant Data'!$E$2:$E$4674,"&lt;10000")</f>
        <v>0</v>
      </c>
      <c r="AW40">
        <f>SUMIFS('Tenant Data'!$E$2:$E$4674,'Tenant Data'!$A$2:$A$4674,"Southgate Mall",'Tenant Data'!$D$2:$D$4674,"Apple",'Tenant Data'!$F$2:$F$4674,"&gt;0",'Tenant Data'!$E$2:$E$4674,"&lt;10000")</f>
        <v>0</v>
      </c>
      <c r="AX40">
        <v>1</v>
      </c>
      <c r="AY40" t="str">
        <f>'Property Summary'!B40</f>
        <v>Y</v>
      </c>
      <c r="AZ40">
        <f t="shared" si="12"/>
        <v>133109</v>
      </c>
    </row>
    <row r="41" spans="1:52" x14ac:dyDescent="0.2">
      <c r="A41" t="s">
        <v>66</v>
      </c>
      <c r="B41">
        <f t="shared" si="0"/>
        <v>314.46369508954365</v>
      </c>
      <c r="C41">
        <f t="shared" si="1"/>
        <v>521.58205991574346</v>
      </c>
      <c r="D41">
        <f t="shared" si="2"/>
        <v>1354.7605399545737</v>
      </c>
      <c r="E41">
        <f t="shared" si="3"/>
        <v>988.06522014254301</v>
      </c>
      <c r="F41">
        <f t="shared" si="4"/>
        <v>1089.4970555203333</v>
      </c>
      <c r="G41">
        <f t="shared" si="5"/>
        <v>929.83518002003018</v>
      </c>
      <c r="H41">
        <f t="shared" si="6"/>
        <v>454.23807813082124</v>
      </c>
      <c r="I41">
        <f t="shared" si="7"/>
        <v>481.66336418288245</v>
      </c>
      <c r="J41">
        <f t="shared" si="8"/>
        <v>1077.6457040998218</v>
      </c>
      <c r="K41">
        <f t="shared" si="9"/>
        <v>425.15215000000001</v>
      </c>
      <c r="L41" t="str">
        <f t="shared" si="10"/>
        <v/>
      </c>
      <c r="M41">
        <f t="shared" si="11"/>
        <v>8307.9841442224151</v>
      </c>
      <c r="N41">
        <f>IFERROR(SUMPRODUCT(('Tenant Data'!$A$2:$A$4674="Staten Island Mall")*('Tenant Data'!$D$2:$D$4674="Apparel")*('Tenant Data'!$F$2:$F$4674&gt;0)*('Tenant Data'!$E$2:$E$4674&lt;10000)*'Tenant Data'!$J$2:$J$4674*'Tenant Data'!$E$2:$E$4674)/SUMPRODUCT(('Tenant Data'!$A$2:$A$4674="Staten Island Mall")*('Tenant Data'!$D$2:$D$4674="Apparel")*('Tenant Data'!$F$2:$F$4674&gt;0)*('Tenant Data'!$E$2:$E$4674&lt;10000)*'Tenant Data'!$E$2:$E$4674),"")</f>
        <v>0.26647120572359712</v>
      </c>
      <c r="O41">
        <f>IFERROR(SUMPRODUCT(('Tenant Data'!$A$2:$A$4674="Staten Island Mall")*('Tenant Data'!$D$2:$D$4674="Shoes")*('Tenant Data'!$F$2:$F$4674&gt;0)*('Tenant Data'!$E$2:$E$4674&lt;10000)*'Tenant Data'!$J$2:$J$4674*'Tenant Data'!$E$2:$E$4674)/SUMPRODUCT(('Tenant Data'!$A$2:$A$4674="Staten Island Mall")*('Tenant Data'!$D$2:$D$4674="Shoes")*('Tenant Data'!$F$2:$F$4674&gt;0)*('Tenant Data'!$E$2:$E$4674&lt;10000)*'Tenant Data'!$E$2:$E$4674),"")</f>
        <v>0.22116396197966007</v>
      </c>
      <c r="P41">
        <f>IFERROR(SUMPRODUCT(('Tenant Data'!$A$2:$A$4674="Staten Island Mall")*('Tenant Data'!$D$2:$D$4674="Jewelry")*('Tenant Data'!$F$2:$F$4674&gt;0)*('Tenant Data'!$E$2:$E$4674&lt;10000)*'Tenant Data'!$J$2:$J$4674*'Tenant Data'!$E$2:$E$4674)/SUMPRODUCT(('Tenant Data'!$A$2:$A$4674="Staten Island Mall")*('Tenant Data'!$D$2:$D$4674="Jewelry")*('Tenant Data'!$F$2:$F$4674&gt;0)*('Tenant Data'!$E$2:$E$4674&lt;10000)*'Tenant Data'!$E$2:$E$4674),"")</f>
        <v>0.2152845252584257</v>
      </c>
      <c r="Q41">
        <f>IFERROR(SUMPRODUCT(('Tenant Data'!$A$2:$A$4674="Staten Island Mall")*('Tenant Data'!$D$2:$D$4674="Health &amp; Beauty")*('Tenant Data'!$F$2:$F$4674&gt;0)*('Tenant Data'!$E$2:$E$4674&lt;10000)*'Tenant Data'!$J$2:$J$4674*'Tenant Data'!$E$2:$E$4674)/SUMPRODUCT(('Tenant Data'!$A$2:$A$4674="Staten Island Mall")*('Tenant Data'!$D$2:$D$4674="Health &amp; Beauty")*('Tenant Data'!$F$2:$F$4674&gt;0)*('Tenant Data'!$E$2:$E$4674&lt;10000)*'Tenant Data'!$E$2:$E$4674),"")</f>
        <v>0.17445248847925623</v>
      </c>
      <c r="R41">
        <f>IFERROR(SUMPRODUCT(('Tenant Data'!$A$2:$A$4674="Staten Island Mall")*('Tenant Data'!$D$2:$D$4674="Food &amp; Beverage")*('Tenant Data'!$F$2:$F$4674&gt;0)*('Tenant Data'!$E$2:$E$4674&lt;10000)*'Tenant Data'!$J$2:$J$4674*'Tenant Data'!$E$2:$E$4674)/SUMPRODUCT(('Tenant Data'!$A$2:$A$4674="Staten Island Mall")*('Tenant Data'!$D$2:$D$4674="Food &amp; Beverage")*('Tenant Data'!$F$2:$F$4674&gt;0)*('Tenant Data'!$E$2:$E$4674&lt;10000)*'Tenant Data'!$E$2:$E$4674),"")</f>
        <v>0.24017597829676288</v>
      </c>
      <c r="S41">
        <f>IFERROR(SUMPRODUCT(('Tenant Data'!$A$2:$A$4674="Staten Island Mall")*('Tenant Data'!$D$2:$D$4674="Restaurant")*('Tenant Data'!$F$2:$F$4674&gt;0)*('Tenant Data'!$E$2:$E$4674&lt;10000)*'Tenant Data'!$J$2:$J$4674*'Tenant Data'!$E$2:$E$4674)/SUMPRODUCT(('Tenant Data'!$A$2:$A$4674="Staten Island Mall")*('Tenant Data'!$D$2:$D$4674="Restaurant")*('Tenant Data'!$F$2:$F$4674&gt;0)*('Tenant Data'!$E$2:$E$4674&lt;10000)*'Tenant Data'!$E$2:$E$4674),"")</f>
        <v>0.17905319521690996</v>
      </c>
      <c r="T41">
        <f>IFERROR(SUMPRODUCT(('Tenant Data'!$A$2:$A$4674="Staten Island Mall")*('Tenant Data'!$D$2:$D$4674="Hobby &amp; Novelty")*('Tenant Data'!$F$2:$F$4674&gt;0)*('Tenant Data'!$E$2:$E$4674&lt;10000)*'Tenant Data'!$J$2:$J$4674*'Tenant Data'!$E$2:$E$4674)/SUMPRODUCT(('Tenant Data'!$A$2:$A$4674="Staten Island Mall")*('Tenant Data'!$D$2:$D$4674="Hobby &amp; Novelty")*('Tenant Data'!$F$2:$F$4674&gt;0)*('Tenant Data'!$E$2:$E$4674&lt;10000)*'Tenant Data'!$E$2:$E$4674),"")</f>
        <v>0.20725614657699529</v>
      </c>
      <c r="U41">
        <f>IFERROR(SUMPRODUCT(('Tenant Data'!$A$2:$A$4674="Staten Island Mall")*('Tenant Data'!$D$2:$D$4674="Service")*('Tenant Data'!$F$2:$F$4674&gt;0)*('Tenant Data'!$E$2:$E$4674&lt;10000)*'Tenant Data'!$J$2:$J$4674*'Tenant Data'!$E$2:$E$4674)/SUMPRODUCT(('Tenant Data'!$A$2:$A$4674="Staten Island Mall")*('Tenant Data'!$D$2:$D$4674="Service")*('Tenant Data'!$F$2:$F$4674&gt;0)*('Tenant Data'!$E$2:$E$4674&lt;10000)*'Tenant Data'!$E$2:$E$4674),"")</f>
        <v>0.16498699418626306</v>
      </c>
      <c r="V41">
        <f>IFERROR(SUMPRODUCT(('Tenant Data'!$A$2:$A$4674="Staten Island Mall")*('Tenant Data'!$D$2:$D$4674="Tech")*('Tenant Data'!$F$2:$F$4674&gt;0)*('Tenant Data'!$E$2:$E$4674&lt;10000)*'Tenant Data'!$J$2:$J$4674*'Tenant Data'!$E$2:$E$4674)/SUMPRODUCT(('Tenant Data'!$A$2:$A$4674="Staten Island Mall")*('Tenant Data'!$D$2:$D$4674="Tech")*('Tenant Data'!$F$2:$F$4674&gt;0)*('Tenant Data'!$E$2:$E$4674&lt;10000)*'Tenant Data'!$E$2:$E$4674),"")</f>
        <v>0.21707297659233368</v>
      </c>
      <c r="W41">
        <f>IFERROR(SUMPRODUCT(('Tenant Data'!$A$2:$A$4674="Staten Island Mall")*('Tenant Data'!$D$2:$D$4674="Major")*('Tenant Data'!$F$2:$F$4674&gt;0)*('Tenant Data'!$E$2:$E$4674&lt;10000)*'Tenant Data'!$J$2:$J$4674*'Tenant Data'!$E$2:$E$4674)/SUMPRODUCT(('Tenant Data'!$A$2:$A$4674="Staten Island Mall")*('Tenant Data'!$D$2:$D$4674="Major")*('Tenant Data'!$F$2:$F$4674&gt;0)*('Tenant Data'!$E$2:$E$4674&lt;10000)*'Tenant Data'!$E$2:$E$4674),"")</f>
        <v>0.31125842978991081</v>
      </c>
      <c r="X41" t="str">
        <f>IFERROR(SUMPRODUCT(('Tenant Data'!$A$2:$A$4674="Staten Island Mall")*('Tenant Data'!$D$2:$D$4674="Anchor")*('Tenant Data'!$F$2:$F$4674&gt;0)*('Tenant Data'!$E$2:$E$4674&lt;10000)*'Tenant Data'!$J$2:$J$4674*'Tenant Data'!$E$2:$E$4674)/SUMPRODUCT(('Tenant Data'!$A$2:$A$4674="Staten Island Mall")*('Tenant Data'!$D$2:$D$4674="Anchor")*('Tenant Data'!$F$2:$F$4674&gt;0)*('Tenant Data'!$E$2:$E$4674&lt;10000)*'Tenant Data'!$E$2:$E$4674),"")</f>
        <v/>
      </c>
      <c r="Y41">
        <f>IFERROR(SUMPRODUCT(('Tenant Data'!$A$2:$A$4674="Staten Island Mall")*('Tenant Data'!$D$2:$D$4674="Apple")*('Tenant Data'!$F$2:$F$4674&gt;0)*('Tenant Data'!$E$2:$E$4674&lt;10000)*'Tenant Data'!$J$2:$J$4674*'Tenant Data'!$E$2:$E$4674)/SUMPRODUCT(('Tenant Data'!$A$2:$A$4674="Staten Island Mall")*('Tenant Data'!$D$2:$D$4674="Apple")*('Tenant Data'!$F$2:$F$4674&gt;0)*('Tenant Data'!$E$2:$E$4674&lt;10000)*'Tenant Data'!$E$2:$E$4674),"")</f>
        <v>1.2160140432257259E-2</v>
      </c>
      <c r="Z41">
        <f>SUMIFS('Tenant Data'!$F$2:$F$4674,'Tenant Data'!$A$2:$A$4674,"Staten Island Mall",'Tenant Data'!$D$2:$D$4674,"Apparel",'Tenant Data'!$E$2:$E$4674,"&lt;10000")</f>
        <v>27216832.810000002</v>
      </c>
      <c r="AA41">
        <f>SUMIFS('Tenant Data'!$F$2:$F$4674,'Tenant Data'!$A$2:$A$4674,"Staten Island Mall",'Tenant Data'!$D$2:$D$4674,"Shoes",'Tenant Data'!$E$2:$E$4674,"&lt;10000")</f>
        <v>16714097.109999999</v>
      </c>
      <c r="AB41">
        <f>SUMIFS('Tenant Data'!$F$2:$F$4674,'Tenant Data'!$A$2:$A$4674,"Staten Island Mall",'Tenant Data'!$D$2:$D$4674,"Jewelry",'Tenant Data'!$E$2:$E$4674,"&lt;10000")</f>
        <v>26244421.180000003</v>
      </c>
      <c r="AC41">
        <f>SUMIFS('Tenant Data'!$F$2:$F$4674,'Tenant Data'!$A$2:$A$4674,"Staten Island Mall",'Tenant Data'!$D$2:$D$4674,"Health &amp; Beauty",'Tenant Data'!$E$2:$E$4674,"&lt;10000")</f>
        <v>14833823.149999999</v>
      </c>
      <c r="AD41">
        <f>SUMIFS('Tenant Data'!$F$2:$F$4674,'Tenant Data'!$A$2:$A$4674,"Staten Island Mall",'Tenant Data'!$D$2:$D$4674,"Food &amp; Beverage",'Tenant Data'!$E$2:$E$4674,"&lt;10000")</f>
        <v>12029136.99</v>
      </c>
      <c r="AE41">
        <f>SUMIFS('Tenant Data'!$F$2:$F$4674,'Tenant Data'!$A$2:$A$4674,"Staten Island Mall",'Tenant Data'!$D$2:$D$4674,"Restaurant",'Tenant Data'!$E$2:$E$4674,"&lt;10000")</f>
        <v>37137617.090000004</v>
      </c>
      <c r="AF41">
        <f>SUMIFS('Tenant Data'!$F$2:$F$4674,'Tenant Data'!$A$2:$A$4674,"Staten Island Mall",'Tenant Data'!$D$2:$D$4674,"Hobby &amp; Novelty",'Tenant Data'!$E$2:$E$4674,"&lt;10000")</f>
        <v>8534679.25</v>
      </c>
      <c r="AG41">
        <f>SUMIFS('Tenant Data'!$F$2:$F$4674,'Tenant Data'!$A$2:$A$4674,"Staten Island Mall",'Tenant Data'!$D$2:$D$4674,"Service",'Tenant Data'!$E$2:$E$4674,"&lt;10000")</f>
        <v>12178376.5</v>
      </c>
      <c r="AH41">
        <f>SUMIFS('Tenant Data'!$F$2:$F$4674,'Tenant Data'!$A$2:$A$4674,"Staten Island Mall",'Tenant Data'!$D$2:$D$4674,"Tech",'Tenant Data'!$E$2:$E$4674,"&lt;10000")</f>
        <v>3022796.2</v>
      </c>
      <c r="AI41">
        <f>SUMIFS('Tenant Data'!$F$2:$F$4674,'Tenant Data'!$A$2:$A$4674,"Staten Island Mall",'Tenant Data'!$D$2:$D$4674,"Major",'Tenant Data'!$E$2:$E$4674,"&lt;10000")</f>
        <v>1020365.16</v>
      </c>
      <c r="AJ41">
        <f>SUMIFS('Tenant Data'!$F$2:$F$4674,'Tenant Data'!$A$2:$A$4674,"Staten Island Mall",'Tenant Data'!$D$2:$D$4674,"Anchor",'Tenant Data'!$E$2:$E$4674,"&lt;10000")</f>
        <v>0</v>
      </c>
      <c r="AK41">
        <f>SUMIFS('Tenant Data'!$F$2:$F$4674,'Tenant Data'!$A$2:$A$4674,"Staten Island Mall",'Tenant Data'!$D$2:$D$4674,"Apple",'Tenant Data'!$E$2:$E$4674,"&lt;10000")</f>
        <v>38249959</v>
      </c>
      <c r="AL41">
        <f>SUMIFS('Tenant Data'!$E$2:$E$4674,'Tenant Data'!$A$2:$A$4674,"Staten Island Mall",'Tenant Data'!$D$2:$D$4674,"Apparel",'Tenant Data'!$F$2:$F$4674,"&gt;0",'Tenant Data'!$E$2:$E$4674,"&lt;10000")</f>
        <v>86550</v>
      </c>
      <c r="AM41">
        <f>SUMIFS('Tenant Data'!$E$2:$E$4674,'Tenant Data'!$A$2:$A$4674,"Staten Island Mall",'Tenant Data'!$D$2:$D$4674,"Shoes",'Tenant Data'!$F$2:$F$4674,"&gt;0",'Tenant Data'!$E$2:$E$4674,"&lt;10000")</f>
        <v>32045</v>
      </c>
      <c r="AN41">
        <f>SUMIFS('Tenant Data'!$E$2:$E$4674,'Tenant Data'!$A$2:$A$4674,"Staten Island Mall",'Tenant Data'!$D$2:$D$4674,"Jewelry",'Tenant Data'!$F$2:$F$4674,"&gt;0",'Tenant Data'!$E$2:$E$4674,"&lt;10000")</f>
        <v>19372</v>
      </c>
      <c r="AO41">
        <f>SUMIFS('Tenant Data'!$E$2:$E$4674,'Tenant Data'!$A$2:$A$4674,"Staten Island Mall",'Tenant Data'!$D$2:$D$4674,"Health &amp; Beauty",'Tenant Data'!$F$2:$F$4674,"&gt;0",'Tenant Data'!$E$2:$E$4674,"&lt;10000")</f>
        <v>15013</v>
      </c>
      <c r="AP41">
        <f>SUMIFS('Tenant Data'!$E$2:$E$4674,'Tenant Data'!$A$2:$A$4674,"Staten Island Mall",'Tenant Data'!$D$2:$D$4674,"Food &amp; Beverage",'Tenant Data'!$F$2:$F$4674,"&gt;0",'Tenant Data'!$E$2:$E$4674,"&lt;10000")</f>
        <v>11041</v>
      </c>
      <c r="AQ41">
        <f>SUMIFS('Tenant Data'!$E$2:$E$4674,'Tenant Data'!$A$2:$A$4674,"Staten Island Mall",'Tenant Data'!$D$2:$D$4674,"Restaurant",'Tenant Data'!$F$2:$F$4674,"&gt;0",'Tenant Data'!$E$2:$E$4674,"&lt;10000")</f>
        <v>39940</v>
      </c>
      <c r="AR41">
        <f>SUMIFS('Tenant Data'!$E$2:$E$4674,'Tenant Data'!$A$2:$A$4674,"Staten Island Mall",'Tenant Data'!$D$2:$D$4674,"Hobby &amp; Novelty",'Tenant Data'!$F$2:$F$4674,"&gt;0",'Tenant Data'!$E$2:$E$4674,"&lt;10000")</f>
        <v>18789</v>
      </c>
      <c r="AS41">
        <f>SUMIFS('Tenant Data'!$E$2:$E$4674,'Tenant Data'!$A$2:$A$4674,"Staten Island Mall",'Tenant Data'!$D$2:$D$4674,"Service",'Tenant Data'!$F$2:$F$4674,"&gt;0",'Tenant Data'!$E$2:$E$4674,"&lt;10000")</f>
        <v>25284</v>
      </c>
      <c r="AT41">
        <f>SUMIFS('Tenant Data'!$E$2:$E$4674,'Tenant Data'!$A$2:$A$4674,"Staten Island Mall",'Tenant Data'!$D$2:$D$4674,"Tech",'Tenant Data'!$F$2:$F$4674,"&gt;0",'Tenant Data'!$E$2:$E$4674,"&lt;10000")</f>
        <v>2805</v>
      </c>
      <c r="AU41">
        <f>SUMIFS('Tenant Data'!$E$2:$E$4674,'Tenant Data'!$A$2:$A$4674,"Staten Island Mall",'Tenant Data'!$D$2:$D$4674,"Major",'Tenant Data'!$F$2:$F$4674,"&gt;0",'Tenant Data'!$E$2:$E$4674,"&lt;10000")</f>
        <v>2400</v>
      </c>
      <c r="AV41">
        <f>SUMIFS('Tenant Data'!$E$2:$E$4674,'Tenant Data'!$A$2:$A$4674,"Staten Island Mall",'Tenant Data'!$D$2:$D$4674,"Anchor",'Tenant Data'!$F$2:$F$4674,"&gt;0",'Tenant Data'!$E$2:$E$4674,"&lt;10000")</f>
        <v>0</v>
      </c>
      <c r="AW41">
        <f>SUMIFS('Tenant Data'!$E$2:$E$4674,'Tenant Data'!$A$2:$A$4674,"Staten Island Mall",'Tenant Data'!$D$2:$D$4674,"Apple",'Tenant Data'!$F$2:$F$4674,"&gt;0",'Tenant Data'!$E$2:$E$4674,"&lt;10000")</f>
        <v>4604</v>
      </c>
      <c r="AX41">
        <v>1</v>
      </c>
      <c r="AY41" t="str">
        <f>'Property Summary'!B41</f>
        <v>Y</v>
      </c>
      <c r="AZ41">
        <f t="shared" si="12"/>
        <v>257843</v>
      </c>
    </row>
    <row r="42" spans="1:52" x14ac:dyDescent="0.2">
      <c r="A42" t="s">
        <v>39</v>
      </c>
      <c r="B42">
        <f t="shared" si="0"/>
        <v>299.18777921026594</v>
      </c>
      <c r="C42">
        <f t="shared" si="1"/>
        <v>597.04740200546951</v>
      </c>
      <c r="D42">
        <f t="shared" si="2"/>
        <v>572.03800000000001</v>
      </c>
      <c r="E42">
        <f t="shared" si="3"/>
        <v>530.07338365008638</v>
      </c>
      <c r="F42">
        <f t="shared" si="4"/>
        <v>693.1014744145707</v>
      </c>
      <c r="G42">
        <f t="shared" si="5"/>
        <v>680.58823166784828</v>
      </c>
      <c r="H42">
        <f t="shared" si="6"/>
        <v>445.60573958858811</v>
      </c>
      <c r="I42">
        <f t="shared" si="7"/>
        <v>672.3870589766957</v>
      </c>
      <c r="J42" t="str">
        <f t="shared" si="8"/>
        <v/>
      </c>
      <c r="K42">
        <f t="shared" si="9"/>
        <v>353.77329224447868</v>
      </c>
      <c r="L42" t="str">
        <f t="shared" si="10"/>
        <v/>
      </c>
      <c r="M42" t="str">
        <f t="shared" si="11"/>
        <v/>
      </c>
      <c r="N42">
        <f>IFERROR(SUMPRODUCT(('Tenant Data'!$A$2:$A$4674="The Shops At Evergreen Walk")*('Tenant Data'!$D$2:$D$4674="Apparel")*('Tenant Data'!$F$2:$F$4674&gt;0)*('Tenant Data'!$E$2:$E$4674&lt;10000)*'Tenant Data'!$J$2:$J$4674*'Tenant Data'!$E$2:$E$4674)/SUMPRODUCT(('Tenant Data'!$A$2:$A$4674="The Shops At Evergreen Walk")*('Tenant Data'!$D$2:$D$4674="Apparel")*('Tenant Data'!$F$2:$F$4674&gt;0)*('Tenant Data'!$E$2:$E$4674&lt;10000)*'Tenant Data'!$E$2:$E$4674),"")</f>
        <v>0.16385269853148676</v>
      </c>
      <c r="O42">
        <f>IFERROR(SUMPRODUCT(('Tenant Data'!$A$2:$A$4674="The Shops At Evergreen Walk")*('Tenant Data'!$D$2:$D$4674="Shoes")*('Tenant Data'!$F$2:$F$4674&gt;0)*('Tenant Data'!$E$2:$E$4674&lt;10000)*'Tenant Data'!$J$2:$J$4674*'Tenant Data'!$E$2:$E$4674)/SUMPRODUCT(('Tenant Data'!$A$2:$A$4674="The Shops At Evergreen Walk")*('Tenant Data'!$D$2:$D$4674="Shoes")*('Tenant Data'!$F$2:$F$4674&gt;0)*('Tenant Data'!$E$2:$E$4674&lt;10000)*'Tenant Data'!$E$2:$E$4674),"")</f>
        <v>0.1214595216266967</v>
      </c>
      <c r="P42">
        <f>IFERROR(SUMPRODUCT(('Tenant Data'!$A$2:$A$4674="The Shops At Evergreen Walk")*('Tenant Data'!$D$2:$D$4674="Jewelry")*('Tenant Data'!$F$2:$F$4674&gt;0)*('Tenant Data'!$E$2:$E$4674&lt;10000)*'Tenant Data'!$J$2:$J$4674*'Tenant Data'!$E$2:$E$4674)/SUMPRODUCT(('Tenant Data'!$A$2:$A$4674="The Shops At Evergreen Walk")*('Tenant Data'!$D$2:$D$4674="Jewelry")*('Tenant Data'!$F$2:$F$4674&gt;0)*('Tenant Data'!$E$2:$E$4674&lt;10000)*'Tenant Data'!$E$2:$E$4674),"")</f>
        <v>0.12796352689856269</v>
      </c>
      <c r="Q42">
        <f>IFERROR(SUMPRODUCT(('Tenant Data'!$A$2:$A$4674="The Shops At Evergreen Walk")*('Tenant Data'!$D$2:$D$4674="Health &amp; Beauty")*('Tenant Data'!$F$2:$F$4674&gt;0)*('Tenant Data'!$E$2:$E$4674&lt;10000)*'Tenant Data'!$J$2:$J$4674*'Tenant Data'!$E$2:$E$4674)/SUMPRODUCT(('Tenant Data'!$A$2:$A$4674="The Shops At Evergreen Walk")*('Tenant Data'!$D$2:$D$4674="Health &amp; Beauty")*('Tenant Data'!$F$2:$F$4674&gt;0)*('Tenant Data'!$E$2:$E$4674&lt;10000)*'Tenant Data'!$E$2:$E$4674),"")</f>
        <v>0.13875375818058322</v>
      </c>
      <c r="R42">
        <f>IFERROR(SUMPRODUCT(('Tenant Data'!$A$2:$A$4674="The Shops At Evergreen Walk")*('Tenant Data'!$D$2:$D$4674="Food &amp; Beverage")*('Tenant Data'!$F$2:$F$4674&gt;0)*('Tenant Data'!$E$2:$E$4674&lt;10000)*'Tenant Data'!$J$2:$J$4674*'Tenant Data'!$E$2:$E$4674)/SUMPRODUCT(('Tenant Data'!$A$2:$A$4674="The Shops At Evergreen Walk")*('Tenant Data'!$D$2:$D$4674="Food &amp; Beverage")*('Tenant Data'!$F$2:$F$4674&gt;0)*('Tenant Data'!$E$2:$E$4674&lt;10000)*'Tenant Data'!$E$2:$E$4674),"")</f>
        <v>0.11850070981864581</v>
      </c>
      <c r="S42">
        <f>IFERROR(SUMPRODUCT(('Tenant Data'!$A$2:$A$4674="The Shops At Evergreen Walk")*('Tenant Data'!$D$2:$D$4674="Restaurant")*('Tenant Data'!$F$2:$F$4674&gt;0)*('Tenant Data'!$E$2:$E$4674&lt;10000)*'Tenant Data'!$J$2:$J$4674*'Tenant Data'!$E$2:$E$4674)/SUMPRODUCT(('Tenant Data'!$A$2:$A$4674="The Shops At Evergreen Walk")*('Tenant Data'!$D$2:$D$4674="Restaurant")*('Tenant Data'!$F$2:$F$4674&gt;0)*('Tenant Data'!$E$2:$E$4674&lt;10000)*'Tenant Data'!$E$2:$E$4674),"")</f>
        <v>7.6009713008678856E-2</v>
      </c>
      <c r="T42">
        <f>IFERROR(SUMPRODUCT(('Tenant Data'!$A$2:$A$4674="The Shops At Evergreen Walk")*('Tenant Data'!$D$2:$D$4674="Hobby &amp; Novelty")*('Tenant Data'!$F$2:$F$4674&gt;0)*('Tenant Data'!$E$2:$E$4674&lt;10000)*'Tenant Data'!$J$2:$J$4674*'Tenant Data'!$E$2:$E$4674)/SUMPRODUCT(('Tenant Data'!$A$2:$A$4674="The Shops At Evergreen Walk")*('Tenant Data'!$D$2:$D$4674="Hobby &amp; Novelty")*('Tenant Data'!$F$2:$F$4674&gt;0)*('Tenant Data'!$E$2:$E$4674&lt;10000)*'Tenant Data'!$E$2:$E$4674),"")</f>
        <v>8.7509331635012996E-2</v>
      </c>
      <c r="U42">
        <f>IFERROR(SUMPRODUCT(('Tenant Data'!$A$2:$A$4674="The Shops At Evergreen Walk")*('Tenant Data'!$D$2:$D$4674="Service")*('Tenant Data'!$F$2:$F$4674&gt;0)*('Tenant Data'!$E$2:$E$4674&lt;10000)*'Tenant Data'!$J$2:$J$4674*'Tenant Data'!$E$2:$E$4674)/SUMPRODUCT(('Tenant Data'!$A$2:$A$4674="The Shops At Evergreen Walk")*('Tenant Data'!$D$2:$D$4674="Service")*('Tenant Data'!$F$2:$F$4674&gt;0)*('Tenant Data'!$E$2:$E$4674&lt;10000)*'Tenant Data'!$E$2:$E$4674),"")</f>
        <v>0.11835385363202196</v>
      </c>
      <c r="V42" t="str">
        <f>IFERROR(SUMPRODUCT(('Tenant Data'!$A$2:$A$4674="The Shops At Evergreen Walk")*('Tenant Data'!$D$2:$D$4674="Tech")*('Tenant Data'!$F$2:$F$4674&gt;0)*('Tenant Data'!$E$2:$E$4674&lt;10000)*'Tenant Data'!$J$2:$J$4674*'Tenant Data'!$E$2:$E$4674)/SUMPRODUCT(('Tenant Data'!$A$2:$A$4674="The Shops At Evergreen Walk")*('Tenant Data'!$D$2:$D$4674="Tech")*('Tenant Data'!$F$2:$F$4674&gt;0)*('Tenant Data'!$E$2:$E$4674&lt;10000)*'Tenant Data'!$E$2:$E$4674),"")</f>
        <v/>
      </c>
      <c r="W42">
        <f>IFERROR(SUMPRODUCT(('Tenant Data'!$A$2:$A$4674="The Shops At Evergreen Walk")*('Tenant Data'!$D$2:$D$4674="Major")*('Tenant Data'!$F$2:$F$4674&gt;0)*('Tenant Data'!$E$2:$E$4674&lt;10000)*'Tenant Data'!$J$2:$J$4674*'Tenant Data'!$E$2:$E$4674)/SUMPRODUCT(('Tenant Data'!$A$2:$A$4674="The Shops At Evergreen Walk")*('Tenant Data'!$D$2:$D$4674="Major")*('Tenant Data'!$F$2:$F$4674&gt;0)*('Tenant Data'!$E$2:$E$4674&lt;10000)*'Tenant Data'!$E$2:$E$4674),"")</f>
        <v>0.31120923545483131</v>
      </c>
      <c r="X42" t="str">
        <f>IFERROR(SUMPRODUCT(('Tenant Data'!$A$2:$A$4674="The Shops At Evergreen Walk")*('Tenant Data'!$D$2:$D$4674="Anchor")*('Tenant Data'!$F$2:$F$4674&gt;0)*('Tenant Data'!$E$2:$E$4674&lt;10000)*'Tenant Data'!$J$2:$J$4674*'Tenant Data'!$E$2:$E$4674)/SUMPRODUCT(('Tenant Data'!$A$2:$A$4674="The Shops At Evergreen Walk")*('Tenant Data'!$D$2:$D$4674="Anchor")*('Tenant Data'!$F$2:$F$4674&gt;0)*('Tenant Data'!$E$2:$E$4674&lt;10000)*'Tenant Data'!$E$2:$E$4674),"")</f>
        <v/>
      </c>
      <c r="Y42" t="str">
        <f>IFERROR(SUMPRODUCT(('Tenant Data'!$A$2:$A$4674="The Shops At Evergreen Walk")*('Tenant Data'!$D$2:$D$4674="Apple")*('Tenant Data'!$F$2:$F$4674&gt;0)*('Tenant Data'!$E$2:$E$4674&lt;10000)*'Tenant Data'!$J$2:$J$4674*'Tenant Data'!$E$2:$E$4674)/SUMPRODUCT(('Tenant Data'!$A$2:$A$4674="The Shops At Evergreen Walk")*('Tenant Data'!$D$2:$D$4674="Apple")*('Tenant Data'!$F$2:$F$4674&gt;0)*('Tenant Data'!$E$2:$E$4674&lt;10000)*'Tenant Data'!$E$2:$E$4674),"")</f>
        <v/>
      </c>
      <c r="Z42">
        <f>SUMIFS('Tenant Data'!$F$2:$F$4674,'Tenant Data'!$A$2:$A$4674,"The Shops At Evergreen Walk",'Tenant Data'!$D$2:$D$4674,"Apparel",'Tenant Data'!$E$2:$E$4674,"&lt;10000")</f>
        <v>9978810</v>
      </c>
      <c r="AA42">
        <f>SUMIFS('Tenant Data'!$F$2:$F$4674,'Tenant Data'!$A$2:$A$4674,"The Shops At Evergreen Walk",'Tenant Data'!$D$2:$D$4674,"Shoes",'Tenant Data'!$E$2:$E$4674,"&lt;10000")</f>
        <v>3929766</v>
      </c>
      <c r="AB42">
        <f>SUMIFS('Tenant Data'!$F$2:$F$4674,'Tenant Data'!$A$2:$A$4674,"The Shops At Evergreen Walk",'Tenant Data'!$D$2:$D$4674,"Jewelry",'Tenant Data'!$E$2:$E$4674,"&lt;10000")</f>
        <v>858057</v>
      </c>
      <c r="AC42">
        <f>SUMIFS('Tenant Data'!$F$2:$F$4674,'Tenant Data'!$A$2:$A$4674,"The Shops At Evergreen Walk",'Tenant Data'!$D$2:$D$4674,"Health &amp; Beauty",'Tenant Data'!$E$2:$E$4674,"&lt;10000")</f>
        <v>5829217</v>
      </c>
      <c r="AD42">
        <f>SUMIFS('Tenant Data'!$F$2:$F$4674,'Tenant Data'!$A$2:$A$4674,"The Shops At Evergreen Walk",'Tenant Data'!$D$2:$D$4674,"Food &amp; Beverage",'Tenant Data'!$E$2:$E$4674,"&lt;10000")</f>
        <v>3196584</v>
      </c>
      <c r="AE42">
        <f>SUMIFS('Tenant Data'!$F$2:$F$4674,'Tenant Data'!$A$2:$A$4674,"The Shops At Evergreen Walk",'Tenant Data'!$D$2:$D$4674,"Restaurant",'Tenant Data'!$E$2:$E$4674,"&lt;10000")</f>
        <v>22080324</v>
      </c>
      <c r="AF42">
        <f>SUMIFS('Tenant Data'!$F$2:$F$4674,'Tenant Data'!$A$2:$A$4674,"The Shops At Evergreen Walk",'Tenant Data'!$D$2:$D$4674,"Hobby &amp; Novelty",'Tenant Data'!$E$2:$E$4674,"&lt;10000")</f>
        <v>7950052</v>
      </c>
      <c r="AG42">
        <f>SUMIFS('Tenant Data'!$F$2:$F$4674,'Tenant Data'!$A$2:$A$4674,"The Shops At Evergreen Walk",'Tenant Data'!$D$2:$D$4674,"Service",'Tenant Data'!$E$2:$E$4674,"&lt;10000")</f>
        <v>10329210</v>
      </c>
      <c r="AH42">
        <f>SUMIFS('Tenant Data'!$F$2:$F$4674,'Tenant Data'!$A$2:$A$4674,"The Shops At Evergreen Walk",'Tenant Data'!$D$2:$D$4674,"Tech",'Tenant Data'!$E$2:$E$4674,"&lt;10000")</f>
        <v>0</v>
      </c>
      <c r="AI42">
        <f>SUMIFS('Tenant Data'!$F$2:$F$4674,'Tenant Data'!$A$2:$A$4674,"The Shops At Evergreen Walk",'Tenant Data'!$D$2:$D$4674,"Major",'Tenant Data'!$E$2:$E$4674,"&lt;10000")</f>
        <v>3443983</v>
      </c>
      <c r="AJ42">
        <f>SUMIFS('Tenant Data'!$F$2:$F$4674,'Tenant Data'!$A$2:$A$4674,"The Shops At Evergreen Walk",'Tenant Data'!$D$2:$D$4674,"Anchor",'Tenant Data'!$E$2:$E$4674,"&lt;10000")</f>
        <v>0</v>
      </c>
      <c r="AK42">
        <f>SUMIFS('Tenant Data'!$F$2:$F$4674,'Tenant Data'!$A$2:$A$4674,"The Shops At Evergreen Walk",'Tenant Data'!$D$2:$D$4674,"Apple",'Tenant Data'!$E$2:$E$4674,"&lt;10000")</f>
        <v>0</v>
      </c>
      <c r="AL42">
        <f>SUMIFS('Tenant Data'!$E$2:$E$4674,'Tenant Data'!$A$2:$A$4674,"The Shops At Evergreen Walk",'Tenant Data'!$D$2:$D$4674,"Apparel",'Tenant Data'!$F$2:$F$4674,"&gt;0",'Tenant Data'!$E$2:$E$4674,"&lt;10000")</f>
        <v>33353</v>
      </c>
      <c r="AM42">
        <f>SUMIFS('Tenant Data'!$E$2:$E$4674,'Tenant Data'!$A$2:$A$4674,"The Shops At Evergreen Walk",'Tenant Data'!$D$2:$D$4674,"Shoes",'Tenant Data'!$F$2:$F$4674,"&gt;0",'Tenant Data'!$E$2:$E$4674,"&lt;10000")</f>
        <v>6582</v>
      </c>
      <c r="AN42">
        <f>SUMIFS('Tenant Data'!$E$2:$E$4674,'Tenant Data'!$A$2:$A$4674,"The Shops At Evergreen Walk",'Tenant Data'!$D$2:$D$4674,"Jewelry",'Tenant Data'!$F$2:$F$4674,"&gt;0",'Tenant Data'!$E$2:$E$4674,"&lt;10000")</f>
        <v>1500</v>
      </c>
      <c r="AO42">
        <f>SUMIFS('Tenant Data'!$E$2:$E$4674,'Tenant Data'!$A$2:$A$4674,"The Shops At Evergreen Walk",'Tenant Data'!$D$2:$D$4674,"Health &amp; Beauty",'Tenant Data'!$F$2:$F$4674,"&gt;0",'Tenant Data'!$E$2:$E$4674,"&lt;10000")</f>
        <v>10997</v>
      </c>
      <c r="AP42">
        <f>SUMIFS('Tenant Data'!$E$2:$E$4674,'Tenant Data'!$A$2:$A$4674,"The Shops At Evergreen Walk",'Tenant Data'!$D$2:$D$4674,"Food &amp; Beverage",'Tenant Data'!$F$2:$F$4674,"&gt;0",'Tenant Data'!$E$2:$E$4674,"&lt;10000")</f>
        <v>4612</v>
      </c>
      <c r="AQ42">
        <f>SUMIFS('Tenant Data'!$E$2:$E$4674,'Tenant Data'!$A$2:$A$4674,"The Shops At Evergreen Walk",'Tenant Data'!$D$2:$D$4674,"Restaurant",'Tenant Data'!$F$2:$F$4674,"&gt;0",'Tenant Data'!$E$2:$E$4674,"&lt;10000")</f>
        <v>32443</v>
      </c>
      <c r="AR42">
        <f>SUMIFS('Tenant Data'!$E$2:$E$4674,'Tenant Data'!$A$2:$A$4674,"The Shops At Evergreen Walk",'Tenant Data'!$D$2:$D$4674,"Hobby &amp; Novelty",'Tenant Data'!$F$2:$F$4674,"&gt;0",'Tenant Data'!$E$2:$E$4674,"&lt;10000")</f>
        <v>17841</v>
      </c>
      <c r="AS42">
        <f>SUMIFS('Tenant Data'!$E$2:$E$4674,'Tenant Data'!$A$2:$A$4674,"The Shops At Evergreen Walk",'Tenant Data'!$D$2:$D$4674,"Service",'Tenant Data'!$F$2:$F$4674,"&gt;0",'Tenant Data'!$E$2:$E$4674,"&lt;10000")</f>
        <v>15362</v>
      </c>
      <c r="AT42">
        <f>SUMIFS('Tenant Data'!$E$2:$E$4674,'Tenant Data'!$A$2:$A$4674,"The Shops At Evergreen Walk",'Tenant Data'!$D$2:$D$4674,"Tech",'Tenant Data'!$F$2:$F$4674,"&gt;0",'Tenant Data'!$E$2:$E$4674,"&lt;10000")</f>
        <v>0</v>
      </c>
      <c r="AU42">
        <f>SUMIFS('Tenant Data'!$E$2:$E$4674,'Tenant Data'!$A$2:$A$4674,"The Shops At Evergreen Walk",'Tenant Data'!$D$2:$D$4674,"Major",'Tenant Data'!$F$2:$F$4674,"&gt;0",'Tenant Data'!$E$2:$E$4674,"&lt;10000")</f>
        <v>9735</v>
      </c>
      <c r="AV42">
        <f>SUMIFS('Tenant Data'!$E$2:$E$4674,'Tenant Data'!$A$2:$A$4674,"The Shops At Evergreen Walk",'Tenant Data'!$D$2:$D$4674,"Anchor",'Tenant Data'!$F$2:$F$4674,"&gt;0",'Tenant Data'!$E$2:$E$4674,"&lt;10000")</f>
        <v>0</v>
      </c>
      <c r="AW42">
        <f>SUMIFS('Tenant Data'!$E$2:$E$4674,'Tenant Data'!$A$2:$A$4674,"The Shops At Evergreen Walk",'Tenant Data'!$D$2:$D$4674,"Apple",'Tenant Data'!$F$2:$F$4674,"&gt;0",'Tenant Data'!$E$2:$E$4674,"&lt;10000")</f>
        <v>0</v>
      </c>
      <c r="AX42">
        <v>0</v>
      </c>
      <c r="AY42" t="str">
        <f>'Property Summary'!B42</f>
        <v>Y</v>
      </c>
      <c r="AZ42">
        <f t="shared" si="12"/>
        <v>132425</v>
      </c>
    </row>
    <row r="43" spans="1:52" x14ac:dyDescent="0.2">
      <c r="A43" t="s">
        <v>61</v>
      </c>
      <c r="B43">
        <f t="shared" si="0"/>
        <v>377.55432808428236</v>
      </c>
      <c r="C43">
        <f t="shared" si="1"/>
        <v>557.88118038583536</v>
      </c>
      <c r="D43">
        <f t="shared" si="2"/>
        <v>782.54859656357394</v>
      </c>
      <c r="E43">
        <f t="shared" si="3"/>
        <v>1115.1950859381245</v>
      </c>
      <c r="F43">
        <f t="shared" si="4"/>
        <v>942.24901576182117</v>
      </c>
      <c r="G43">
        <f t="shared" si="5"/>
        <v>2235.744149740035</v>
      </c>
      <c r="H43">
        <f t="shared" si="6"/>
        <v>310.5827159625743</v>
      </c>
      <c r="I43">
        <f t="shared" si="7"/>
        <v>480.33846139359696</v>
      </c>
      <c r="J43">
        <f t="shared" si="8"/>
        <v>899.89779260157673</v>
      </c>
      <c r="K43">
        <f t="shared" si="9"/>
        <v>1216.2160065146579</v>
      </c>
      <c r="L43" t="str">
        <f t="shared" si="10"/>
        <v/>
      </c>
      <c r="M43">
        <f t="shared" si="11"/>
        <v>6126.0737714560082</v>
      </c>
      <c r="N43">
        <f>IFERROR(SUMPRODUCT(('Tenant Data'!$A$2:$A$4674="Towson Town Center")*('Tenant Data'!$D$2:$D$4674="Apparel")*('Tenant Data'!$F$2:$F$4674&gt;0)*('Tenant Data'!$E$2:$E$4674&lt;10000)*'Tenant Data'!$J$2:$J$4674*'Tenant Data'!$E$2:$E$4674)/SUMPRODUCT(('Tenant Data'!$A$2:$A$4674="Towson Town Center")*('Tenant Data'!$D$2:$D$4674="Apparel")*('Tenant Data'!$F$2:$F$4674&gt;0)*('Tenant Data'!$E$2:$E$4674&lt;10000)*'Tenant Data'!$E$2:$E$4674),"")</f>
        <v>0.19067785155474407</v>
      </c>
      <c r="O43">
        <f>IFERROR(SUMPRODUCT(('Tenant Data'!$A$2:$A$4674="Towson Town Center")*('Tenant Data'!$D$2:$D$4674="Shoes")*('Tenant Data'!$F$2:$F$4674&gt;0)*('Tenant Data'!$E$2:$E$4674&lt;10000)*'Tenant Data'!$J$2:$J$4674*'Tenant Data'!$E$2:$E$4674)/SUMPRODUCT(('Tenant Data'!$A$2:$A$4674="Towson Town Center")*('Tenant Data'!$D$2:$D$4674="Shoes")*('Tenant Data'!$F$2:$F$4674&gt;0)*('Tenant Data'!$E$2:$E$4674&lt;10000)*'Tenant Data'!$E$2:$E$4674),"")</f>
        <v>0.17755295356684317</v>
      </c>
      <c r="P43">
        <f>IFERROR(SUMPRODUCT(('Tenant Data'!$A$2:$A$4674="Towson Town Center")*('Tenant Data'!$D$2:$D$4674="Jewelry")*('Tenant Data'!$F$2:$F$4674&gt;0)*('Tenant Data'!$E$2:$E$4674&lt;10000)*'Tenant Data'!$J$2:$J$4674*'Tenant Data'!$E$2:$E$4674)/SUMPRODUCT(('Tenant Data'!$A$2:$A$4674="Towson Town Center")*('Tenant Data'!$D$2:$D$4674="Jewelry")*('Tenant Data'!$F$2:$F$4674&gt;0)*('Tenant Data'!$E$2:$E$4674&lt;10000)*'Tenant Data'!$E$2:$E$4674),"")</f>
        <v>0.21432145318885584</v>
      </c>
      <c r="Q43">
        <f>IFERROR(SUMPRODUCT(('Tenant Data'!$A$2:$A$4674="Towson Town Center")*('Tenant Data'!$D$2:$D$4674="Health &amp; Beauty")*('Tenant Data'!$F$2:$F$4674&gt;0)*('Tenant Data'!$E$2:$E$4674&lt;10000)*'Tenant Data'!$J$2:$J$4674*'Tenant Data'!$E$2:$E$4674)/SUMPRODUCT(('Tenant Data'!$A$2:$A$4674="Towson Town Center")*('Tenant Data'!$D$2:$D$4674="Health &amp; Beauty")*('Tenant Data'!$F$2:$F$4674&gt;0)*('Tenant Data'!$E$2:$E$4674&lt;10000)*'Tenant Data'!$E$2:$E$4674),"")</f>
        <v>0.11915674143457147</v>
      </c>
      <c r="R43">
        <f>IFERROR(SUMPRODUCT(('Tenant Data'!$A$2:$A$4674="Towson Town Center")*('Tenant Data'!$D$2:$D$4674="Food &amp; Beverage")*('Tenant Data'!$F$2:$F$4674&gt;0)*('Tenant Data'!$E$2:$E$4674&lt;10000)*'Tenant Data'!$J$2:$J$4674*'Tenant Data'!$E$2:$E$4674)/SUMPRODUCT(('Tenant Data'!$A$2:$A$4674="Towson Town Center")*('Tenant Data'!$D$2:$D$4674="Food &amp; Beverage")*('Tenant Data'!$F$2:$F$4674&gt;0)*('Tenant Data'!$E$2:$E$4674&lt;10000)*'Tenant Data'!$E$2:$E$4674),"")</f>
        <v>0.24123488471684604</v>
      </c>
      <c r="S43">
        <f>IFERROR(SUMPRODUCT(('Tenant Data'!$A$2:$A$4674="Towson Town Center")*('Tenant Data'!$D$2:$D$4674="Restaurant")*('Tenant Data'!$F$2:$F$4674&gt;0)*('Tenant Data'!$E$2:$E$4674&lt;10000)*'Tenant Data'!$J$2:$J$4674*'Tenant Data'!$E$2:$E$4674)/SUMPRODUCT(('Tenant Data'!$A$2:$A$4674="Towson Town Center")*('Tenant Data'!$D$2:$D$4674="Restaurant")*('Tenant Data'!$F$2:$F$4674&gt;0)*('Tenant Data'!$E$2:$E$4674&lt;10000)*'Tenant Data'!$E$2:$E$4674),"")</f>
        <v>0.15206077466896792</v>
      </c>
      <c r="T43">
        <f>IFERROR(SUMPRODUCT(('Tenant Data'!$A$2:$A$4674="Towson Town Center")*('Tenant Data'!$D$2:$D$4674="Hobby &amp; Novelty")*('Tenant Data'!$F$2:$F$4674&gt;0)*('Tenant Data'!$E$2:$E$4674&lt;10000)*'Tenant Data'!$J$2:$J$4674*'Tenant Data'!$E$2:$E$4674)/SUMPRODUCT(('Tenant Data'!$A$2:$A$4674="Towson Town Center")*('Tenant Data'!$D$2:$D$4674="Hobby &amp; Novelty")*('Tenant Data'!$F$2:$F$4674&gt;0)*('Tenant Data'!$E$2:$E$4674&lt;10000)*'Tenant Data'!$E$2:$E$4674),"")</f>
        <v>0.17947831837896575</v>
      </c>
      <c r="U43">
        <f>IFERROR(SUMPRODUCT(('Tenant Data'!$A$2:$A$4674="Towson Town Center")*('Tenant Data'!$D$2:$D$4674="Service")*('Tenant Data'!$F$2:$F$4674&gt;0)*('Tenant Data'!$E$2:$E$4674&lt;10000)*'Tenant Data'!$J$2:$J$4674*'Tenant Data'!$E$2:$E$4674)/SUMPRODUCT(('Tenant Data'!$A$2:$A$4674="Towson Town Center")*('Tenant Data'!$D$2:$D$4674="Service")*('Tenant Data'!$F$2:$F$4674&gt;0)*('Tenant Data'!$E$2:$E$4674&lt;10000)*'Tenant Data'!$E$2:$E$4674),"")</f>
        <v>0.26048185646291055</v>
      </c>
      <c r="V43">
        <f>IFERROR(SUMPRODUCT(('Tenant Data'!$A$2:$A$4674="Towson Town Center")*('Tenant Data'!$D$2:$D$4674="Tech")*('Tenant Data'!$F$2:$F$4674&gt;0)*('Tenant Data'!$E$2:$E$4674&lt;10000)*'Tenant Data'!$J$2:$J$4674*'Tenant Data'!$E$2:$E$4674)/SUMPRODUCT(('Tenant Data'!$A$2:$A$4674="Towson Town Center")*('Tenant Data'!$D$2:$D$4674="Tech")*('Tenant Data'!$F$2:$F$4674&gt;0)*('Tenant Data'!$E$2:$E$4674&lt;10000)*'Tenant Data'!$E$2:$E$4674),"")</f>
        <v>0.25820081966337949</v>
      </c>
      <c r="W43">
        <f>IFERROR(SUMPRODUCT(('Tenant Data'!$A$2:$A$4674="Towson Town Center")*('Tenant Data'!$D$2:$D$4674="Major")*('Tenant Data'!$F$2:$F$4674&gt;0)*('Tenant Data'!$E$2:$E$4674&lt;10000)*'Tenant Data'!$J$2:$J$4674*'Tenant Data'!$E$2:$E$4674)/SUMPRODUCT(('Tenant Data'!$A$2:$A$4674="Towson Town Center")*('Tenant Data'!$D$2:$D$4674="Major")*('Tenant Data'!$F$2:$F$4674&gt;0)*('Tenant Data'!$E$2:$E$4674&lt;10000)*'Tenant Data'!$E$2:$E$4674),"")</f>
        <v>0.13024700451618759</v>
      </c>
      <c r="X43" t="str">
        <f>IFERROR(SUMPRODUCT(('Tenant Data'!$A$2:$A$4674="Towson Town Center")*('Tenant Data'!$D$2:$D$4674="Anchor")*('Tenant Data'!$F$2:$F$4674&gt;0)*('Tenant Data'!$E$2:$E$4674&lt;10000)*'Tenant Data'!$J$2:$J$4674*'Tenant Data'!$E$2:$E$4674)/SUMPRODUCT(('Tenant Data'!$A$2:$A$4674="Towson Town Center")*('Tenant Data'!$D$2:$D$4674="Anchor")*('Tenant Data'!$F$2:$F$4674&gt;0)*('Tenant Data'!$E$2:$E$4674&lt;10000)*'Tenant Data'!$E$2:$E$4674),"")</f>
        <v/>
      </c>
      <c r="Y43">
        <f>IFERROR(SUMPRODUCT(('Tenant Data'!$A$2:$A$4674="Towson Town Center")*('Tenant Data'!$D$2:$D$4674="Apple")*('Tenant Data'!$F$2:$F$4674&gt;0)*('Tenant Data'!$E$2:$E$4674&lt;10000)*'Tenant Data'!$J$2:$J$4674*'Tenant Data'!$E$2:$E$4674)/SUMPRODUCT(('Tenant Data'!$A$2:$A$4674="Towson Town Center")*('Tenant Data'!$D$2:$D$4674="Apple")*('Tenant Data'!$F$2:$F$4674&gt;0)*('Tenant Data'!$E$2:$E$4674&lt;10000)*'Tenant Data'!$E$2:$E$4674),"")</f>
        <v>9.3070964855775859E-3</v>
      </c>
      <c r="Z43">
        <f>SUMIFS('Tenant Data'!$F$2:$F$4674,'Tenant Data'!$A$2:$A$4674,"Towson Town Center",'Tenant Data'!$D$2:$D$4674,"Apparel",'Tenant Data'!$E$2:$E$4674,"&lt;10000")</f>
        <v>37234785.390000008</v>
      </c>
      <c r="AA43">
        <f>SUMIFS('Tenant Data'!$F$2:$F$4674,'Tenant Data'!$A$2:$A$4674,"Towson Town Center",'Tenant Data'!$D$2:$D$4674,"Shoes",'Tenant Data'!$E$2:$E$4674,"&lt;10000")</f>
        <v>21457225.960000001</v>
      </c>
      <c r="AB43">
        <f>SUMIFS('Tenant Data'!$F$2:$F$4674,'Tenant Data'!$A$2:$A$4674,"Towson Town Center",'Tenant Data'!$D$2:$D$4674,"Jewelry",'Tenant Data'!$E$2:$E$4674,"&lt;10000")</f>
        <v>5693041.04</v>
      </c>
      <c r="AC43">
        <f>SUMIFS('Tenant Data'!$F$2:$F$4674,'Tenant Data'!$A$2:$A$4674,"Towson Town Center",'Tenant Data'!$D$2:$D$4674,"Health &amp; Beauty",'Tenant Data'!$E$2:$E$4674,"&lt;10000")</f>
        <v>13949975.329999998</v>
      </c>
      <c r="AD43">
        <f>SUMIFS('Tenant Data'!$F$2:$F$4674,'Tenant Data'!$A$2:$A$4674,"Towson Town Center",'Tenant Data'!$D$2:$D$4674,"Food &amp; Beverage",'Tenant Data'!$E$2:$E$4674,"&lt;10000")</f>
        <v>5380241.879999999</v>
      </c>
      <c r="AE43">
        <f>SUMIFS('Tenant Data'!$F$2:$F$4674,'Tenant Data'!$A$2:$A$4674,"Towson Town Center",'Tenant Data'!$D$2:$D$4674,"Restaurant",'Tenant Data'!$E$2:$E$4674,"&lt;10000")</f>
        <v>6450121.8720000004</v>
      </c>
      <c r="AF43">
        <f>SUMIFS('Tenant Data'!$F$2:$F$4674,'Tenant Data'!$A$2:$A$4674,"Towson Town Center",'Tenant Data'!$D$2:$D$4674,"Hobby &amp; Novelty",'Tenant Data'!$E$2:$E$4674,"&lt;10000")</f>
        <v>2816364.0683486238</v>
      </c>
      <c r="AG43">
        <f>SUMIFS('Tenant Data'!$F$2:$F$4674,'Tenant Data'!$A$2:$A$4674,"Towson Town Center",'Tenant Data'!$D$2:$D$4674,"Service",'Tenant Data'!$E$2:$E$4674,"&lt;10000")</f>
        <v>5101194.46</v>
      </c>
      <c r="AH43">
        <f>SUMIFS('Tenant Data'!$F$2:$F$4674,'Tenant Data'!$A$2:$A$4674,"Towson Town Center",'Tenant Data'!$D$2:$D$4674,"Tech",'Tenant Data'!$E$2:$E$4674,"&lt;10000")</f>
        <v>2967862.92</v>
      </c>
      <c r="AI43">
        <f>SUMIFS('Tenant Data'!$F$2:$F$4674,'Tenant Data'!$A$2:$A$4674,"Towson Town Center",'Tenant Data'!$D$2:$D$4674,"Major",'Tenant Data'!$E$2:$E$4674,"&lt;10000")</f>
        <v>1866891.57</v>
      </c>
      <c r="AJ43">
        <f>SUMIFS('Tenant Data'!$F$2:$F$4674,'Tenant Data'!$A$2:$A$4674,"Towson Town Center",'Tenant Data'!$D$2:$D$4674,"Anchor",'Tenant Data'!$E$2:$E$4674,"&lt;10000")</f>
        <v>0</v>
      </c>
      <c r="AK43">
        <f>SUMIFS('Tenant Data'!$F$2:$F$4674,'Tenant Data'!$A$2:$A$4674,"Towson Town Center",'Tenant Data'!$D$2:$D$4674,"Apple",'Tenant Data'!$E$2:$E$4674,"&lt;10000")</f>
        <v>51036320.590000004</v>
      </c>
      <c r="AL43">
        <f>SUMIFS('Tenant Data'!$E$2:$E$4674,'Tenant Data'!$A$2:$A$4674,"Towson Town Center",'Tenant Data'!$D$2:$D$4674,"Apparel",'Tenant Data'!$F$2:$F$4674,"&gt;0",'Tenant Data'!$E$2:$E$4674,"&lt;10000")</f>
        <v>98621</v>
      </c>
      <c r="AM43">
        <f>SUMIFS('Tenant Data'!$E$2:$E$4674,'Tenant Data'!$A$2:$A$4674,"Towson Town Center",'Tenant Data'!$D$2:$D$4674,"Shoes",'Tenant Data'!$F$2:$F$4674,"&gt;0",'Tenant Data'!$E$2:$E$4674,"&lt;10000")</f>
        <v>38462</v>
      </c>
      <c r="AN43">
        <f>SUMIFS('Tenant Data'!$E$2:$E$4674,'Tenant Data'!$A$2:$A$4674,"Towson Town Center",'Tenant Data'!$D$2:$D$4674,"Jewelry",'Tenant Data'!$F$2:$F$4674,"&gt;0",'Tenant Data'!$E$2:$E$4674,"&lt;10000")</f>
        <v>7275</v>
      </c>
      <c r="AO43">
        <f>SUMIFS('Tenant Data'!$E$2:$E$4674,'Tenant Data'!$A$2:$A$4674,"Towson Town Center",'Tenant Data'!$D$2:$D$4674,"Health &amp; Beauty",'Tenant Data'!$F$2:$F$4674,"&gt;0",'Tenant Data'!$E$2:$E$4674,"&lt;10000")</f>
        <v>12509</v>
      </c>
      <c r="AP43">
        <f>SUMIFS('Tenant Data'!$E$2:$E$4674,'Tenant Data'!$A$2:$A$4674,"Towson Town Center",'Tenant Data'!$D$2:$D$4674,"Food &amp; Beverage",'Tenant Data'!$F$2:$F$4674,"&gt;0",'Tenant Data'!$E$2:$E$4674,"&lt;10000")</f>
        <v>5710</v>
      </c>
      <c r="AQ43">
        <f>SUMIFS('Tenant Data'!$E$2:$E$4674,'Tenant Data'!$A$2:$A$4674,"Towson Town Center",'Tenant Data'!$D$2:$D$4674,"Restaurant",'Tenant Data'!$F$2:$F$4674,"&gt;0",'Tenant Data'!$E$2:$E$4674,"&lt;10000")</f>
        <v>2885</v>
      </c>
      <c r="AR43">
        <f>SUMIFS('Tenant Data'!$E$2:$E$4674,'Tenant Data'!$A$2:$A$4674,"Towson Town Center",'Tenant Data'!$D$2:$D$4674,"Hobby &amp; Novelty",'Tenant Data'!$F$2:$F$4674,"&gt;0",'Tenant Data'!$E$2:$E$4674,"&lt;10000")</f>
        <v>9068</v>
      </c>
      <c r="AS43">
        <f>SUMIFS('Tenant Data'!$E$2:$E$4674,'Tenant Data'!$A$2:$A$4674,"Towson Town Center",'Tenant Data'!$D$2:$D$4674,"Service",'Tenant Data'!$F$2:$F$4674,"&gt;0",'Tenant Data'!$E$2:$E$4674,"&lt;10000")</f>
        <v>10620</v>
      </c>
      <c r="AT43">
        <f>SUMIFS('Tenant Data'!$E$2:$E$4674,'Tenant Data'!$A$2:$A$4674,"Towson Town Center",'Tenant Data'!$D$2:$D$4674,"Tech",'Tenant Data'!$F$2:$F$4674,"&gt;0",'Tenant Data'!$E$2:$E$4674,"&lt;10000")</f>
        <v>3298</v>
      </c>
      <c r="AU43">
        <f>SUMIFS('Tenant Data'!$E$2:$E$4674,'Tenant Data'!$A$2:$A$4674,"Towson Town Center",'Tenant Data'!$D$2:$D$4674,"Major",'Tenant Data'!$F$2:$F$4674,"&gt;0",'Tenant Data'!$E$2:$E$4674,"&lt;10000")</f>
        <v>1535</v>
      </c>
      <c r="AV43">
        <f>SUMIFS('Tenant Data'!$E$2:$E$4674,'Tenant Data'!$A$2:$A$4674,"Towson Town Center",'Tenant Data'!$D$2:$D$4674,"Anchor",'Tenant Data'!$F$2:$F$4674,"&gt;0",'Tenant Data'!$E$2:$E$4674,"&lt;10000")</f>
        <v>0</v>
      </c>
      <c r="AW43">
        <f>SUMIFS('Tenant Data'!$E$2:$E$4674,'Tenant Data'!$A$2:$A$4674,"Towson Town Center",'Tenant Data'!$D$2:$D$4674,"Apple",'Tenant Data'!$F$2:$F$4674,"&gt;0",'Tenant Data'!$E$2:$E$4674,"&lt;10000")</f>
        <v>8331</v>
      </c>
      <c r="AX43">
        <v>1</v>
      </c>
      <c r="AY43" t="str">
        <f>'Property Summary'!B43</f>
        <v>Y</v>
      </c>
      <c r="AZ43">
        <f t="shared" si="12"/>
        <v>198314</v>
      </c>
    </row>
    <row r="44" spans="1:52" x14ac:dyDescent="0.2">
      <c r="A44" t="s">
        <v>67</v>
      </c>
      <c r="B44">
        <f t="shared" si="0"/>
        <v>669.58306048827319</v>
      </c>
      <c r="C44">
        <f t="shared" si="1"/>
        <v>661.09449557452797</v>
      </c>
      <c r="D44">
        <f t="shared" si="2"/>
        <v>1853.801858485605</v>
      </c>
      <c r="E44">
        <f t="shared" si="3"/>
        <v>1748.370418079621</v>
      </c>
      <c r="F44">
        <f t="shared" si="4"/>
        <v>1398.5520236496727</v>
      </c>
      <c r="G44">
        <f t="shared" si="5"/>
        <v>871.09820898916144</v>
      </c>
      <c r="H44">
        <f t="shared" si="6"/>
        <v>1191.8196533223277</v>
      </c>
      <c r="I44">
        <f t="shared" si="7"/>
        <v>805.2821878039116</v>
      </c>
      <c r="J44">
        <f t="shared" si="8"/>
        <v>2350.1286270056412</v>
      </c>
      <c r="K44">
        <f t="shared" si="9"/>
        <v>963.96310397430739</v>
      </c>
      <c r="L44" t="str">
        <f t="shared" si="10"/>
        <v/>
      </c>
      <c r="M44" t="str">
        <f t="shared" si="11"/>
        <v/>
      </c>
      <c r="N44">
        <f>IFERROR(SUMPRODUCT(('Tenant Data'!$A$2:$A$4674="Tysons Corner")*('Tenant Data'!$D$2:$D$4674="Apparel")*('Tenant Data'!$F$2:$F$4674&gt;0)*('Tenant Data'!$E$2:$E$4674&lt;10000)*'Tenant Data'!$J$2:$J$4674*'Tenant Data'!$E$2:$E$4674)/SUMPRODUCT(('Tenant Data'!$A$2:$A$4674="Tysons Corner")*('Tenant Data'!$D$2:$D$4674="Apparel")*('Tenant Data'!$F$2:$F$4674&gt;0)*('Tenant Data'!$E$2:$E$4674&lt;10000)*'Tenant Data'!$E$2:$E$4674),"")</f>
        <v>0.29645800298656416</v>
      </c>
      <c r="O44">
        <f>IFERROR(SUMPRODUCT(('Tenant Data'!$A$2:$A$4674="Tysons Corner")*('Tenant Data'!$D$2:$D$4674="Shoes")*('Tenant Data'!$F$2:$F$4674&gt;0)*('Tenant Data'!$E$2:$E$4674&lt;10000)*'Tenant Data'!$J$2:$J$4674*'Tenant Data'!$E$2:$E$4674)/SUMPRODUCT(('Tenant Data'!$A$2:$A$4674="Tysons Corner")*('Tenant Data'!$D$2:$D$4674="Shoes")*('Tenant Data'!$F$2:$F$4674&gt;0)*('Tenant Data'!$E$2:$E$4674&lt;10000)*'Tenant Data'!$E$2:$E$4674),"")</f>
        <v>0.24995552218594244</v>
      </c>
      <c r="P44">
        <f>IFERROR(SUMPRODUCT(('Tenant Data'!$A$2:$A$4674="Tysons Corner")*('Tenant Data'!$D$2:$D$4674="Jewelry")*('Tenant Data'!$F$2:$F$4674&gt;0)*('Tenant Data'!$E$2:$E$4674&lt;10000)*'Tenant Data'!$J$2:$J$4674*'Tenant Data'!$E$2:$E$4674)/SUMPRODUCT(('Tenant Data'!$A$2:$A$4674="Tysons Corner")*('Tenant Data'!$D$2:$D$4674="Jewelry")*('Tenant Data'!$F$2:$F$4674&gt;0)*('Tenant Data'!$E$2:$E$4674&lt;10000)*'Tenant Data'!$E$2:$E$4674),"")</f>
        <v>0.22851700028818817</v>
      </c>
      <c r="Q44">
        <f>IFERROR(SUMPRODUCT(('Tenant Data'!$A$2:$A$4674="Tysons Corner")*('Tenant Data'!$D$2:$D$4674="Health &amp; Beauty")*('Tenant Data'!$F$2:$F$4674&gt;0)*('Tenant Data'!$E$2:$E$4674&lt;10000)*'Tenant Data'!$J$2:$J$4674*'Tenant Data'!$E$2:$E$4674)/SUMPRODUCT(('Tenant Data'!$A$2:$A$4674="Tysons Corner")*('Tenant Data'!$D$2:$D$4674="Health &amp; Beauty")*('Tenant Data'!$F$2:$F$4674&gt;0)*('Tenant Data'!$E$2:$E$4674&lt;10000)*'Tenant Data'!$E$2:$E$4674),"")</f>
        <v>0.17496426170705426</v>
      </c>
      <c r="R44">
        <f>IFERROR(SUMPRODUCT(('Tenant Data'!$A$2:$A$4674="Tysons Corner")*('Tenant Data'!$D$2:$D$4674="Food &amp; Beverage")*('Tenant Data'!$F$2:$F$4674&gt;0)*('Tenant Data'!$E$2:$E$4674&lt;10000)*'Tenant Data'!$J$2:$J$4674*'Tenant Data'!$E$2:$E$4674)/SUMPRODUCT(('Tenant Data'!$A$2:$A$4674="Tysons Corner")*('Tenant Data'!$D$2:$D$4674="Food &amp; Beverage")*('Tenant Data'!$F$2:$F$4674&gt;0)*('Tenant Data'!$E$2:$E$4674&lt;10000)*'Tenant Data'!$E$2:$E$4674),"")</f>
        <v>0.22372651189782972</v>
      </c>
      <c r="S44">
        <f>IFERROR(SUMPRODUCT(('Tenant Data'!$A$2:$A$4674="Tysons Corner")*('Tenant Data'!$D$2:$D$4674="Restaurant")*('Tenant Data'!$F$2:$F$4674&gt;0)*('Tenant Data'!$E$2:$E$4674&lt;10000)*'Tenant Data'!$J$2:$J$4674*'Tenant Data'!$E$2:$E$4674)/SUMPRODUCT(('Tenant Data'!$A$2:$A$4674="Tysons Corner")*('Tenant Data'!$D$2:$D$4674="Restaurant")*('Tenant Data'!$F$2:$F$4674&gt;0)*('Tenant Data'!$E$2:$E$4674&lt;10000)*'Tenant Data'!$E$2:$E$4674),"")</f>
        <v>0.18082489612628483</v>
      </c>
      <c r="T44">
        <f>IFERROR(SUMPRODUCT(('Tenant Data'!$A$2:$A$4674="Tysons Corner")*('Tenant Data'!$D$2:$D$4674="Hobby &amp; Novelty")*('Tenant Data'!$F$2:$F$4674&gt;0)*('Tenant Data'!$E$2:$E$4674&lt;10000)*'Tenant Data'!$J$2:$J$4674*'Tenant Data'!$E$2:$E$4674)/SUMPRODUCT(('Tenant Data'!$A$2:$A$4674="Tysons Corner")*('Tenant Data'!$D$2:$D$4674="Hobby &amp; Novelty")*('Tenant Data'!$F$2:$F$4674&gt;0)*('Tenant Data'!$E$2:$E$4674&lt;10000)*'Tenant Data'!$E$2:$E$4674),"")</f>
        <v>0.20577222962360658</v>
      </c>
      <c r="U44">
        <f>IFERROR(SUMPRODUCT(('Tenant Data'!$A$2:$A$4674="Tysons Corner")*('Tenant Data'!$D$2:$D$4674="Service")*('Tenant Data'!$F$2:$F$4674&gt;0)*('Tenant Data'!$E$2:$E$4674&lt;10000)*'Tenant Data'!$J$2:$J$4674*'Tenant Data'!$E$2:$E$4674)/SUMPRODUCT(('Tenant Data'!$A$2:$A$4674="Tysons Corner")*('Tenant Data'!$D$2:$D$4674="Service")*('Tenant Data'!$F$2:$F$4674&gt;0)*('Tenant Data'!$E$2:$E$4674&lt;10000)*'Tenant Data'!$E$2:$E$4674),"")</f>
        <v>0.28998087207894707</v>
      </c>
      <c r="V44">
        <f>IFERROR(SUMPRODUCT(('Tenant Data'!$A$2:$A$4674="Tysons Corner")*('Tenant Data'!$D$2:$D$4674="Tech")*('Tenant Data'!$F$2:$F$4674&gt;0)*('Tenant Data'!$E$2:$E$4674&lt;10000)*'Tenant Data'!$J$2:$J$4674*'Tenant Data'!$E$2:$E$4674)/SUMPRODUCT(('Tenant Data'!$A$2:$A$4674="Tysons Corner")*('Tenant Data'!$D$2:$D$4674="Tech")*('Tenant Data'!$F$2:$F$4674&gt;0)*('Tenant Data'!$E$2:$E$4674&lt;10000)*'Tenant Data'!$E$2:$E$4674),"")</f>
        <v>0.17676023443411021</v>
      </c>
      <c r="W44">
        <f>IFERROR(SUMPRODUCT(('Tenant Data'!$A$2:$A$4674="Tysons Corner")*('Tenant Data'!$D$2:$D$4674="Major")*('Tenant Data'!$F$2:$F$4674&gt;0)*('Tenant Data'!$E$2:$E$4674&lt;10000)*'Tenant Data'!$J$2:$J$4674*'Tenant Data'!$E$2:$E$4674)/SUMPRODUCT(('Tenant Data'!$A$2:$A$4674="Tysons Corner")*('Tenant Data'!$D$2:$D$4674="Major")*('Tenant Data'!$F$2:$F$4674&gt;0)*('Tenant Data'!$E$2:$E$4674&lt;10000)*'Tenant Data'!$E$2:$E$4674),"")</f>
        <v>0.19923678085104513</v>
      </c>
      <c r="X44" t="str">
        <f>IFERROR(SUMPRODUCT(('Tenant Data'!$A$2:$A$4674="Tysons Corner")*('Tenant Data'!$D$2:$D$4674="Anchor")*('Tenant Data'!$F$2:$F$4674&gt;0)*('Tenant Data'!$E$2:$E$4674&lt;10000)*'Tenant Data'!$J$2:$J$4674*'Tenant Data'!$E$2:$E$4674)/SUMPRODUCT(('Tenant Data'!$A$2:$A$4674="Tysons Corner")*('Tenant Data'!$D$2:$D$4674="Anchor")*('Tenant Data'!$F$2:$F$4674&gt;0)*('Tenant Data'!$E$2:$E$4674&lt;10000)*'Tenant Data'!$E$2:$E$4674),"")</f>
        <v/>
      </c>
      <c r="Y44" t="str">
        <f>IFERROR(SUMPRODUCT(('Tenant Data'!$A$2:$A$4674="Tysons Corner")*('Tenant Data'!$D$2:$D$4674="Apple")*('Tenant Data'!$F$2:$F$4674&gt;0)*('Tenant Data'!$E$2:$E$4674&lt;10000)*'Tenant Data'!$J$2:$J$4674*'Tenant Data'!$E$2:$E$4674)/SUMPRODUCT(('Tenant Data'!$A$2:$A$4674="Tysons Corner")*('Tenant Data'!$D$2:$D$4674="Apple")*('Tenant Data'!$F$2:$F$4674&gt;0)*('Tenant Data'!$E$2:$E$4674&lt;10000)*'Tenant Data'!$E$2:$E$4674),"")</f>
        <v/>
      </c>
      <c r="Z44">
        <f>SUMIFS('Tenant Data'!$F$2:$F$4674,'Tenant Data'!$A$2:$A$4674,"Tysons Corner",'Tenant Data'!$D$2:$D$4674,"Apparel",'Tenant Data'!$E$2:$E$4674,"&lt;10000")</f>
        <v>126957635.35000002</v>
      </c>
      <c r="AA44">
        <f>SUMIFS('Tenant Data'!$F$2:$F$4674,'Tenant Data'!$A$2:$A$4674,"Tysons Corner",'Tenant Data'!$D$2:$D$4674,"Shoes",'Tenant Data'!$E$2:$E$4674,"&lt;10000")</f>
        <v>16880386.849999998</v>
      </c>
      <c r="AB44">
        <f>SUMIFS('Tenant Data'!$F$2:$F$4674,'Tenant Data'!$A$2:$A$4674,"Tysons Corner",'Tenant Data'!$D$2:$D$4674,"Jewelry",'Tenant Data'!$E$2:$E$4674,"&lt;10000")</f>
        <v>56407482.949999988</v>
      </c>
      <c r="AC44">
        <f>SUMIFS('Tenant Data'!$F$2:$F$4674,'Tenant Data'!$A$2:$A$4674,"Tysons Corner",'Tenant Data'!$D$2:$D$4674,"Health &amp; Beauty",'Tenant Data'!$E$2:$E$4674,"&lt;10000")</f>
        <v>37637169.990000002</v>
      </c>
      <c r="AD44">
        <f>SUMIFS('Tenant Data'!$F$2:$F$4674,'Tenant Data'!$A$2:$A$4674,"Tysons Corner",'Tenant Data'!$D$2:$D$4674,"Food &amp; Beverage",'Tenant Data'!$E$2:$E$4674,"&lt;10000")</f>
        <v>32288370.569999997</v>
      </c>
      <c r="AE44">
        <f>SUMIFS('Tenant Data'!$F$2:$F$4674,'Tenant Data'!$A$2:$A$4674,"Tysons Corner",'Tenant Data'!$D$2:$D$4674,"Restaurant",'Tenant Data'!$E$2:$E$4674,"&lt;10000")</f>
        <v>34478938.210000001</v>
      </c>
      <c r="AF44">
        <f>SUMIFS('Tenant Data'!$F$2:$F$4674,'Tenant Data'!$A$2:$A$4674,"Tysons Corner",'Tenant Data'!$D$2:$D$4674,"Hobby &amp; Novelty",'Tenant Data'!$E$2:$E$4674,"&lt;10000")</f>
        <v>14438895.1</v>
      </c>
      <c r="AG44">
        <f>SUMIFS('Tenant Data'!$F$2:$F$4674,'Tenant Data'!$A$2:$A$4674,"Tysons Corner",'Tenant Data'!$D$2:$D$4674,"Service",'Tenant Data'!$E$2:$E$4674,"&lt;10000")</f>
        <v>22357049.379999999</v>
      </c>
      <c r="AH44">
        <f>SUMIFS('Tenant Data'!$F$2:$F$4674,'Tenant Data'!$A$2:$A$4674,"Tysons Corner",'Tenant Data'!$D$2:$D$4674,"Tech",'Tenant Data'!$E$2:$E$4674,"&lt;10000")</f>
        <v>32076905.629999999</v>
      </c>
      <c r="AI44">
        <f>SUMIFS('Tenant Data'!$F$2:$F$4674,'Tenant Data'!$A$2:$A$4674,"Tysons Corner",'Tenant Data'!$D$2:$D$4674,"Major",'Tenant Data'!$E$2:$E$4674,"&lt;10000")</f>
        <v>12006160.459999999</v>
      </c>
      <c r="AJ44">
        <f>SUMIFS('Tenant Data'!$F$2:$F$4674,'Tenant Data'!$A$2:$A$4674,"Tysons Corner",'Tenant Data'!$D$2:$D$4674,"Anchor",'Tenant Data'!$E$2:$E$4674,"&lt;10000")</f>
        <v>0</v>
      </c>
      <c r="AK44">
        <f>SUMIFS('Tenant Data'!$F$2:$F$4674,'Tenant Data'!$A$2:$A$4674,"Tysons Corner",'Tenant Data'!$D$2:$D$4674,"Apple",'Tenant Data'!$E$2:$E$4674,"&lt;10000")</f>
        <v>0</v>
      </c>
      <c r="AL44">
        <f>SUMIFS('Tenant Data'!$E$2:$E$4674,'Tenant Data'!$A$2:$A$4674,"Tysons Corner",'Tenant Data'!$D$2:$D$4674,"Apparel",'Tenant Data'!$F$2:$F$4674,"&gt;0",'Tenant Data'!$E$2:$E$4674,"&lt;10000")</f>
        <v>189607</v>
      </c>
      <c r="AM44">
        <f>SUMIFS('Tenant Data'!$E$2:$E$4674,'Tenant Data'!$A$2:$A$4674,"Tysons Corner",'Tenant Data'!$D$2:$D$4674,"Shoes",'Tenant Data'!$F$2:$F$4674,"&gt;0",'Tenant Data'!$E$2:$E$4674,"&lt;10000")</f>
        <v>25534</v>
      </c>
      <c r="AN44">
        <f>SUMIFS('Tenant Data'!$E$2:$E$4674,'Tenant Data'!$A$2:$A$4674,"Tysons Corner",'Tenant Data'!$D$2:$D$4674,"Jewelry",'Tenant Data'!$F$2:$F$4674,"&gt;0",'Tenant Data'!$E$2:$E$4674,"&lt;10000")</f>
        <v>30428</v>
      </c>
      <c r="AO44">
        <f>SUMIFS('Tenant Data'!$E$2:$E$4674,'Tenant Data'!$A$2:$A$4674,"Tysons Corner",'Tenant Data'!$D$2:$D$4674,"Health &amp; Beauty",'Tenant Data'!$F$2:$F$4674,"&gt;0",'Tenant Data'!$E$2:$E$4674,"&lt;10000")</f>
        <v>21527</v>
      </c>
      <c r="AP44">
        <f>SUMIFS('Tenant Data'!$E$2:$E$4674,'Tenant Data'!$A$2:$A$4674,"Tysons Corner",'Tenant Data'!$D$2:$D$4674,"Food &amp; Beverage",'Tenant Data'!$F$2:$F$4674,"&gt;0",'Tenant Data'!$E$2:$E$4674,"&lt;10000")</f>
        <v>23087</v>
      </c>
      <c r="AQ44">
        <f>SUMIFS('Tenant Data'!$E$2:$E$4674,'Tenant Data'!$A$2:$A$4674,"Tysons Corner",'Tenant Data'!$D$2:$D$4674,"Restaurant",'Tenant Data'!$F$2:$F$4674,"&gt;0",'Tenant Data'!$E$2:$E$4674,"&lt;10000")</f>
        <v>39581</v>
      </c>
      <c r="AR44">
        <f>SUMIFS('Tenant Data'!$E$2:$E$4674,'Tenant Data'!$A$2:$A$4674,"Tysons Corner",'Tenant Data'!$D$2:$D$4674,"Hobby &amp; Novelty",'Tenant Data'!$F$2:$F$4674,"&gt;0",'Tenant Data'!$E$2:$E$4674,"&lt;10000")</f>
        <v>12115</v>
      </c>
      <c r="AS44">
        <f>SUMIFS('Tenant Data'!$E$2:$E$4674,'Tenant Data'!$A$2:$A$4674,"Tysons Corner",'Tenant Data'!$D$2:$D$4674,"Service",'Tenant Data'!$F$2:$F$4674,"&gt;0",'Tenant Data'!$E$2:$E$4674,"&lt;10000")</f>
        <v>27763</v>
      </c>
      <c r="AT44">
        <f>SUMIFS('Tenant Data'!$E$2:$E$4674,'Tenant Data'!$A$2:$A$4674,"Tysons Corner",'Tenant Data'!$D$2:$D$4674,"Tech",'Tenant Data'!$F$2:$F$4674,"&gt;0",'Tenant Data'!$E$2:$E$4674,"&lt;10000")</f>
        <v>13649</v>
      </c>
      <c r="AU44">
        <f>SUMIFS('Tenant Data'!$E$2:$E$4674,'Tenant Data'!$A$2:$A$4674,"Tysons Corner",'Tenant Data'!$D$2:$D$4674,"Major",'Tenant Data'!$F$2:$F$4674,"&gt;0",'Tenant Data'!$E$2:$E$4674,"&lt;10000")</f>
        <v>12455</v>
      </c>
      <c r="AV44">
        <f>SUMIFS('Tenant Data'!$E$2:$E$4674,'Tenant Data'!$A$2:$A$4674,"Tysons Corner",'Tenant Data'!$D$2:$D$4674,"Anchor",'Tenant Data'!$F$2:$F$4674,"&gt;0",'Tenant Data'!$E$2:$E$4674,"&lt;10000")</f>
        <v>0</v>
      </c>
      <c r="AW44">
        <f>SUMIFS('Tenant Data'!$E$2:$E$4674,'Tenant Data'!$A$2:$A$4674,"Tysons Corner",'Tenant Data'!$D$2:$D$4674,"Apple",'Tenant Data'!$F$2:$F$4674,"&gt;0",'Tenant Data'!$E$2:$E$4674,"&lt;10000")</f>
        <v>0</v>
      </c>
      <c r="AX44">
        <v>1</v>
      </c>
      <c r="AY44" t="str">
        <f>'Property Summary'!B44</f>
        <v>Y</v>
      </c>
      <c r="AZ44">
        <f t="shared" si="12"/>
        <v>395746</v>
      </c>
    </row>
    <row r="45" spans="1:52" x14ac:dyDescent="0.2">
      <c r="A45" t="s">
        <v>57</v>
      </c>
      <c r="B45">
        <f t="shared" si="0"/>
        <v>388.28100087796309</v>
      </c>
      <c r="C45">
        <f t="shared" si="1"/>
        <v>612.43853147632308</v>
      </c>
      <c r="D45">
        <f t="shared" si="2"/>
        <v>833.77725206611569</v>
      </c>
      <c r="E45">
        <f t="shared" si="3"/>
        <v>777.98529844564644</v>
      </c>
      <c r="F45">
        <f t="shared" si="4"/>
        <v>687.24864386710328</v>
      </c>
      <c r="G45">
        <f t="shared" si="5"/>
        <v>522.79496656852768</v>
      </c>
      <c r="H45">
        <f t="shared" si="6"/>
        <v>665.07190491266954</v>
      </c>
      <c r="I45">
        <f t="shared" si="7"/>
        <v>429.88876642645192</v>
      </c>
      <c r="J45">
        <f t="shared" si="8"/>
        <v>898.72308823529409</v>
      </c>
      <c r="K45">
        <f t="shared" si="9"/>
        <v>390.06630467403994</v>
      </c>
      <c r="L45" t="str">
        <f t="shared" si="10"/>
        <v/>
      </c>
      <c r="M45">
        <f t="shared" si="11"/>
        <v>4751.1558782251968</v>
      </c>
      <c r="N45">
        <f>IFERROR(SUMPRODUCT(('Tenant Data'!$A$2:$A$4674="Walden Galleria")*('Tenant Data'!$D$2:$D$4674="Apparel")*('Tenant Data'!$F$2:$F$4674&gt;0)*('Tenant Data'!$E$2:$E$4674&lt;10000)*'Tenant Data'!$J$2:$J$4674*'Tenant Data'!$E$2:$E$4674)/SUMPRODUCT(('Tenant Data'!$A$2:$A$4674="Walden Galleria")*('Tenant Data'!$D$2:$D$4674="Apparel")*('Tenant Data'!$F$2:$F$4674&gt;0)*('Tenant Data'!$E$2:$E$4674&lt;10000)*'Tenant Data'!$E$2:$E$4674),"")</f>
        <v>0.16677290759453392</v>
      </c>
      <c r="O45">
        <f>IFERROR(SUMPRODUCT(('Tenant Data'!$A$2:$A$4674="Walden Galleria")*('Tenant Data'!$D$2:$D$4674="Shoes")*('Tenant Data'!$F$2:$F$4674&gt;0)*('Tenant Data'!$E$2:$E$4674&lt;10000)*'Tenant Data'!$J$2:$J$4674*'Tenant Data'!$E$2:$E$4674)/SUMPRODUCT(('Tenant Data'!$A$2:$A$4674="Walden Galleria")*('Tenant Data'!$D$2:$D$4674="Shoes")*('Tenant Data'!$F$2:$F$4674&gt;0)*('Tenant Data'!$E$2:$E$4674&lt;10000)*'Tenant Data'!$E$2:$E$4674),"")</f>
        <v>0.19847241416176256</v>
      </c>
      <c r="P45">
        <f>IFERROR(SUMPRODUCT(('Tenant Data'!$A$2:$A$4674="Walden Galleria")*('Tenant Data'!$D$2:$D$4674="Jewelry")*('Tenant Data'!$F$2:$F$4674&gt;0)*('Tenant Data'!$E$2:$E$4674&lt;10000)*'Tenant Data'!$J$2:$J$4674*'Tenant Data'!$E$2:$E$4674)/SUMPRODUCT(('Tenant Data'!$A$2:$A$4674="Walden Galleria")*('Tenant Data'!$D$2:$D$4674="Jewelry")*('Tenant Data'!$F$2:$F$4674&gt;0)*('Tenant Data'!$E$2:$E$4674&lt;10000)*'Tenant Data'!$E$2:$E$4674),"")</f>
        <v>0.24564229229525536</v>
      </c>
      <c r="Q45">
        <f>IFERROR(SUMPRODUCT(('Tenant Data'!$A$2:$A$4674="Walden Galleria")*('Tenant Data'!$D$2:$D$4674="Health &amp; Beauty")*('Tenant Data'!$F$2:$F$4674&gt;0)*('Tenant Data'!$E$2:$E$4674&lt;10000)*'Tenant Data'!$J$2:$J$4674*'Tenant Data'!$E$2:$E$4674)/SUMPRODUCT(('Tenant Data'!$A$2:$A$4674="Walden Galleria")*('Tenant Data'!$D$2:$D$4674="Health &amp; Beauty")*('Tenant Data'!$F$2:$F$4674&gt;0)*('Tenant Data'!$E$2:$E$4674&lt;10000)*'Tenant Data'!$E$2:$E$4674),"")</f>
        <v>0.13344170530210511</v>
      </c>
      <c r="R45">
        <f>IFERROR(SUMPRODUCT(('Tenant Data'!$A$2:$A$4674="Walden Galleria")*('Tenant Data'!$D$2:$D$4674="Food &amp; Beverage")*('Tenant Data'!$F$2:$F$4674&gt;0)*('Tenant Data'!$E$2:$E$4674&lt;10000)*'Tenant Data'!$J$2:$J$4674*'Tenant Data'!$E$2:$E$4674)/SUMPRODUCT(('Tenant Data'!$A$2:$A$4674="Walden Galleria")*('Tenant Data'!$D$2:$D$4674="Food &amp; Beverage")*('Tenant Data'!$F$2:$F$4674&gt;0)*('Tenant Data'!$E$2:$E$4674&lt;10000)*'Tenant Data'!$E$2:$E$4674),"")</f>
        <v>0.20579566683224965</v>
      </c>
      <c r="S45">
        <f>IFERROR(SUMPRODUCT(('Tenant Data'!$A$2:$A$4674="Walden Galleria")*('Tenant Data'!$D$2:$D$4674="Restaurant")*('Tenant Data'!$F$2:$F$4674&gt;0)*('Tenant Data'!$E$2:$E$4674&lt;10000)*'Tenant Data'!$J$2:$J$4674*'Tenant Data'!$E$2:$E$4674)/SUMPRODUCT(('Tenant Data'!$A$2:$A$4674="Walden Galleria")*('Tenant Data'!$D$2:$D$4674="Restaurant")*('Tenant Data'!$F$2:$F$4674&gt;0)*('Tenant Data'!$E$2:$E$4674&lt;10000)*'Tenant Data'!$E$2:$E$4674),"")</f>
        <v>0.12594829736289376</v>
      </c>
      <c r="T45">
        <f>IFERROR(SUMPRODUCT(('Tenant Data'!$A$2:$A$4674="Walden Galleria")*('Tenant Data'!$D$2:$D$4674="Hobby &amp; Novelty")*('Tenant Data'!$F$2:$F$4674&gt;0)*('Tenant Data'!$E$2:$E$4674&lt;10000)*'Tenant Data'!$J$2:$J$4674*'Tenant Data'!$E$2:$E$4674)/SUMPRODUCT(('Tenant Data'!$A$2:$A$4674="Walden Galleria")*('Tenant Data'!$D$2:$D$4674="Hobby &amp; Novelty")*('Tenant Data'!$F$2:$F$4674&gt;0)*('Tenant Data'!$E$2:$E$4674&lt;10000)*'Tenant Data'!$E$2:$E$4674),"")</f>
        <v>0.14246841948910377</v>
      </c>
      <c r="U45">
        <f>IFERROR(SUMPRODUCT(('Tenant Data'!$A$2:$A$4674="Walden Galleria")*('Tenant Data'!$D$2:$D$4674="Service")*('Tenant Data'!$F$2:$F$4674&gt;0)*('Tenant Data'!$E$2:$E$4674&lt;10000)*'Tenant Data'!$J$2:$J$4674*'Tenant Data'!$E$2:$E$4674)/SUMPRODUCT(('Tenant Data'!$A$2:$A$4674="Walden Galleria")*('Tenant Data'!$D$2:$D$4674="Service")*('Tenant Data'!$F$2:$F$4674&gt;0)*('Tenant Data'!$E$2:$E$4674&lt;10000)*'Tenant Data'!$E$2:$E$4674),"")</f>
        <v>0.18490411645753221</v>
      </c>
      <c r="V45">
        <f>IFERROR(SUMPRODUCT(('Tenant Data'!$A$2:$A$4674="Walden Galleria")*('Tenant Data'!$D$2:$D$4674="Tech")*('Tenant Data'!$F$2:$F$4674&gt;0)*('Tenant Data'!$E$2:$E$4674&lt;10000)*'Tenant Data'!$J$2:$J$4674*'Tenant Data'!$E$2:$E$4674)/SUMPRODUCT(('Tenant Data'!$A$2:$A$4674="Walden Galleria")*('Tenant Data'!$D$2:$D$4674="Tech")*('Tenant Data'!$F$2:$F$4674&gt;0)*('Tenant Data'!$E$2:$E$4674&lt;10000)*'Tenant Data'!$E$2:$E$4674),"")</f>
        <v>0.31975141773391286</v>
      </c>
      <c r="W45">
        <f>IFERROR(SUMPRODUCT(('Tenant Data'!$A$2:$A$4674="Walden Galleria")*('Tenant Data'!$D$2:$D$4674="Major")*('Tenant Data'!$F$2:$F$4674&gt;0)*('Tenant Data'!$E$2:$E$4674&lt;10000)*'Tenant Data'!$J$2:$J$4674*'Tenant Data'!$E$2:$E$4674)/SUMPRODUCT(('Tenant Data'!$A$2:$A$4674="Walden Galleria")*('Tenant Data'!$D$2:$D$4674="Major")*('Tenant Data'!$F$2:$F$4674&gt;0)*('Tenant Data'!$E$2:$E$4674&lt;10000)*'Tenant Data'!$E$2:$E$4674),"")</f>
        <v>0.13702219414722924</v>
      </c>
      <c r="X45" t="str">
        <f>IFERROR(SUMPRODUCT(('Tenant Data'!$A$2:$A$4674="Walden Galleria")*('Tenant Data'!$D$2:$D$4674="Anchor")*('Tenant Data'!$F$2:$F$4674&gt;0)*('Tenant Data'!$E$2:$E$4674&lt;10000)*'Tenant Data'!$J$2:$J$4674*'Tenant Data'!$E$2:$E$4674)/SUMPRODUCT(('Tenant Data'!$A$2:$A$4674="Walden Galleria")*('Tenant Data'!$D$2:$D$4674="Anchor")*('Tenant Data'!$F$2:$F$4674&gt;0)*('Tenant Data'!$E$2:$E$4674&lt;10000)*'Tenant Data'!$E$2:$E$4674),"")</f>
        <v/>
      </c>
      <c r="Y45">
        <f>IFERROR(SUMPRODUCT(('Tenant Data'!$A$2:$A$4674="Walden Galleria")*('Tenant Data'!$D$2:$D$4674="Apple")*('Tenant Data'!$F$2:$F$4674&gt;0)*('Tenant Data'!$E$2:$E$4674&lt;10000)*'Tenant Data'!$J$2:$J$4674*'Tenant Data'!$E$2:$E$4674)/SUMPRODUCT(('Tenant Data'!$A$2:$A$4674="Walden Galleria")*('Tenant Data'!$D$2:$D$4674="Apple")*('Tenant Data'!$F$2:$F$4674&gt;0)*('Tenant Data'!$E$2:$E$4674&lt;10000)*'Tenant Data'!$E$2:$E$4674),"")</f>
        <v>1.004238202287356E-2</v>
      </c>
      <c r="Z45">
        <f>SUMIFS('Tenant Data'!$F$2:$F$4674,'Tenant Data'!$A$2:$A$4674,"Walden Galleria",'Tenant Data'!$D$2:$D$4674,"Apparel",'Tenant Data'!$E$2:$E$4674,"&lt;10000")</f>
        <v>55281507.499999993</v>
      </c>
      <c r="AA45">
        <f>SUMIFS('Tenant Data'!$F$2:$F$4674,'Tenant Data'!$A$2:$A$4674,"Walden Galleria",'Tenant Data'!$D$2:$D$4674,"Shoes",'Tenant Data'!$E$2:$E$4674,"&lt;10000")</f>
        <v>16489907.459999999</v>
      </c>
      <c r="AB45">
        <f>SUMIFS('Tenant Data'!$F$2:$F$4674,'Tenant Data'!$A$2:$A$4674,"Walden Galleria",'Tenant Data'!$D$2:$D$4674,"Jewelry",'Tenant Data'!$E$2:$E$4674,"&lt;10000")</f>
        <v>12106445.699999999</v>
      </c>
      <c r="AC45">
        <f>SUMIFS('Tenant Data'!$F$2:$F$4674,'Tenant Data'!$A$2:$A$4674,"Walden Galleria",'Tenant Data'!$D$2:$D$4674,"Health &amp; Beauty",'Tenant Data'!$E$2:$E$4674,"&lt;10000")</f>
        <v>15966592.280000001</v>
      </c>
      <c r="AD45">
        <f>SUMIFS('Tenant Data'!$F$2:$F$4674,'Tenant Data'!$A$2:$A$4674,"Walden Galleria",'Tenant Data'!$D$2:$D$4674,"Food &amp; Beverage",'Tenant Data'!$E$2:$E$4674,"&lt;10000")</f>
        <v>9866828.7800000012</v>
      </c>
      <c r="AE45">
        <f>SUMIFS('Tenant Data'!$F$2:$F$4674,'Tenant Data'!$A$2:$A$4674,"Walden Galleria",'Tenant Data'!$D$2:$D$4674,"Restaurant",'Tenant Data'!$E$2:$E$4674,"&lt;10000")</f>
        <v>18999937.470000003</v>
      </c>
      <c r="AF45">
        <f>SUMIFS('Tenant Data'!$F$2:$F$4674,'Tenant Data'!$A$2:$A$4674,"Walden Galleria",'Tenant Data'!$D$2:$D$4674,"Hobby &amp; Novelty",'Tenant Data'!$E$2:$E$4674,"&lt;10000")</f>
        <v>12603777.67</v>
      </c>
      <c r="AG45">
        <f>SUMIFS('Tenant Data'!$F$2:$F$4674,'Tenant Data'!$A$2:$A$4674,"Walden Galleria",'Tenant Data'!$D$2:$D$4674,"Service",'Tenant Data'!$E$2:$E$4674,"&lt;10000")</f>
        <v>7098753.2000000002</v>
      </c>
      <c r="AH45">
        <f>SUMIFS('Tenant Data'!$F$2:$F$4674,'Tenant Data'!$A$2:$A$4674,"Walden Galleria",'Tenant Data'!$D$2:$D$4674,"Tech",'Tenant Data'!$E$2:$E$4674,"&lt;10000")</f>
        <v>427792.19</v>
      </c>
      <c r="AI45">
        <f>SUMIFS('Tenant Data'!$F$2:$F$4674,'Tenant Data'!$A$2:$A$4674,"Walden Galleria",'Tenant Data'!$D$2:$D$4674,"Major",'Tenant Data'!$E$2:$E$4674,"&lt;10000")</f>
        <v>7018463.0200000005</v>
      </c>
      <c r="AJ45">
        <f>SUMIFS('Tenant Data'!$F$2:$F$4674,'Tenant Data'!$A$2:$A$4674,"Walden Galleria",'Tenant Data'!$D$2:$D$4674,"Anchor",'Tenant Data'!$E$2:$E$4674,"&lt;10000")</f>
        <v>0</v>
      </c>
      <c r="AK45">
        <f>SUMIFS('Tenant Data'!$F$2:$F$4674,'Tenant Data'!$A$2:$A$4674,"Walden Galleria",'Tenant Data'!$D$2:$D$4674,"Apple",'Tenant Data'!$E$2:$E$4674,"&lt;10000")</f>
        <v>44009956.899999999</v>
      </c>
      <c r="AL45">
        <f>SUMIFS('Tenant Data'!$E$2:$E$4674,'Tenant Data'!$A$2:$A$4674,"Walden Galleria",'Tenant Data'!$D$2:$D$4674,"Apparel",'Tenant Data'!$F$2:$F$4674,"&gt;0",'Tenant Data'!$E$2:$E$4674,"&lt;10000")</f>
        <v>142375</v>
      </c>
      <c r="AM45">
        <f>SUMIFS('Tenant Data'!$E$2:$E$4674,'Tenant Data'!$A$2:$A$4674,"Walden Galleria",'Tenant Data'!$D$2:$D$4674,"Shoes",'Tenant Data'!$F$2:$F$4674,"&gt;0",'Tenant Data'!$E$2:$E$4674,"&lt;10000")</f>
        <v>26925</v>
      </c>
      <c r="AN45">
        <f>SUMIFS('Tenant Data'!$E$2:$E$4674,'Tenant Data'!$A$2:$A$4674,"Walden Galleria",'Tenant Data'!$D$2:$D$4674,"Jewelry",'Tenant Data'!$F$2:$F$4674,"&gt;0",'Tenant Data'!$E$2:$E$4674,"&lt;10000")</f>
        <v>14520</v>
      </c>
      <c r="AO45">
        <f>SUMIFS('Tenant Data'!$E$2:$E$4674,'Tenant Data'!$A$2:$A$4674,"Walden Galleria",'Tenant Data'!$D$2:$D$4674,"Health &amp; Beauty",'Tenant Data'!$F$2:$F$4674,"&gt;0",'Tenant Data'!$E$2:$E$4674,"&lt;10000")</f>
        <v>20523</v>
      </c>
      <c r="AP45">
        <f>SUMIFS('Tenant Data'!$E$2:$E$4674,'Tenant Data'!$A$2:$A$4674,"Walden Galleria",'Tenant Data'!$D$2:$D$4674,"Food &amp; Beverage",'Tenant Data'!$F$2:$F$4674,"&gt;0",'Tenant Data'!$E$2:$E$4674,"&lt;10000")</f>
        <v>14357</v>
      </c>
      <c r="AQ45">
        <f>SUMIFS('Tenant Data'!$E$2:$E$4674,'Tenant Data'!$A$2:$A$4674,"Walden Galleria",'Tenant Data'!$D$2:$D$4674,"Restaurant",'Tenant Data'!$F$2:$F$4674,"&gt;0",'Tenant Data'!$E$2:$E$4674,"&lt;10000")</f>
        <v>36343</v>
      </c>
      <c r="AR45">
        <f>SUMIFS('Tenant Data'!$E$2:$E$4674,'Tenant Data'!$A$2:$A$4674,"Walden Galleria",'Tenant Data'!$D$2:$D$4674,"Hobby &amp; Novelty",'Tenant Data'!$F$2:$F$4674,"&gt;0",'Tenant Data'!$E$2:$E$4674,"&lt;10000")</f>
        <v>18951</v>
      </c>
      <c r="AS45">
        <f>SUMIFS('Tenant Data'!$E$2:$E$4674,'Tenant Data'!$A$2:$A$4674,"Walden Galleria",'Tenant Data'!$D$2:$D$4674,"Service",'Tenant Data'!$F$2:$F$4674,"&gt;0",'Tenant Data'!$E$2:$E$4674,"&lt;10000")</f>
        <v>16513</v>
      </c>
      <c r="AT45">
        <f>SUMIFS('Tenant Data'!$E$2:$E$4674,'Tenant Data'!$A$2:$A$4674,"Walden Galleria",'Tenant Data'!$D$2:$D$4674,"Tech",'Tenant Data'!$F$2:$F$4674,"&gt;0",'Tenant Data'!$E$2:$E$4674,"&lt;10000")</f>
        <v>476</v>
      </c>
      <c r="AU45">
        <f>SUMIFS('Tenant Data'!$E$2:$E$4674,'Tenant Data'!$A$2:$A$4674,"Walden Galleria",'Tenant Data'!$D$2:$D$4674,"Major",'Tenant Data'!$F$2:$F$4674,"&gt;0",'Tenant Data'!$E$2:$E$4674,"&lt;10000")</f>
        <v>17993</v>
      </c>
      <c r="AV45">
        <f>SUMIFS('Tenant Data'!$E$2:$E$4674,'Tenant Data'!$A$2:$A$4674,"Walden Galleria",'Tenant Data'!$D$2:$D$4674,"Anchor",'Tenant Data'!$F$2:$F$4674,"&gt;0",'Tenant Data'!$E$2:$E$4674,"&lt;10000")</f>
        <v>0</v>
      </c>
      <c r="AW45">
        <f>SUMIFS('Tenant Data'!$E$2:$E$4674,'Tenant Data'!$A$2:$A$4674,"Walden Galleria",'Tenant Data'!$D$2:$D$4674,"Apple",'Tenant Data'!$F$2:$F$4674,"&gt;0",'Tenant Data'!$E$2:$E$4674,"&lt;10000")</f>
        <v>9263</v>
      </c>
      <c r="AX45">
        <v>1</v>
      </c>
      <c r="AY45" t="str">
        <f>'Property Summary'!B45</f>
        <v>Y</v>
      </c>
      <c r="AZ45">
        <f t="shared" si="12"/>
        <v>318239</v>
      </c>
    </row>
    <row r="46" spans="1:52" x14ac:dyDescent="0.2">
      <c r="A46" t="s">
        <v>38</v>
      </c>
      <c r="B46">
        <f t="shared" si="0"/>
        <v>548.09239569426597</v>
      </c>
      <c r="C46">
        <f t="shared" si="1"/>
        <v>633.13903033772181</v>
      </c>
      <c r="D46">
        <f t="shared" si="2"/>
        <v>1076.5048250517598</v>
      </c>
      <c r="E46">
        <f t="shared" si="3"/>
        <v>1146.4685991270853</v>
      </c>
      <c r="F46">
        <f t="shared" si="4"/>
        <v>1476.8346112412178</v>
      </c>
      <c r="G46">
        <f t="shared" si="5"/>
        <v>1034.9056721619827</v>
      </c>
      <c r="H46">
        <f t="shared" si="6"/>
        <v>550.38357109862193</v>
      </c>
      <c r="I46">
        <f t="shared" si="7"/>
        <v>696.66650167020953</v>
      </c>
      <c r="J46">
        <f t="shared" si="8"/>
        <v>226.03720577069097</v>
      </c>
      <c r="K46">
        <f t="shared" si="9"/>
        <v>1090.6273936170212</v>
      </c>
      <c r="L46" t="str">
        <f t="shared" si="10"/>
        <v/>
      </c>
      <c r="M46">
        <f t="shared" si="11"/>
        <v>5688.8300200400799</v>
      </c>
      <c r="N46">
        <f>IFERROR(SUMPRODUCT(('Tenant Data'!$A$2:$A$4674="West County Center")*('Tenant Data'!$D$2:$D$4674="Apparel")*('Tenant Data'!$F$2:$F$4674&gt;0)*('Tenant Data'!$E$2:$E$4674&lt;10000)*'Tenant Data'!$J$2:$J$4674*'Tenant Data'!$E$2:$E$4674)/SUMPRODUCT(('Tenant Data'!$A$2:$A$4674="West County Center")*('Tenant Data'!$D$2:$D$4674="Apparel")*('Tenant Data'!$F$2:$F$4674&gt;0)*('Tenant Data'!$E$2:$E$4674&lt;10000)*'Tenant Data'!$E$2:$E$4674),"")</f>
        <v>0.13328769744649996</v>
      </c>
      <c r="O46">
        <f>IFERROR(SUMPRODUCT(('Tenant Data'!$A$2:$A$4674="West County Center")*('Tenant Data'!$D$2:$D$4674="Shoes")*('Tenant Data'!$F$2:$F$4674&gt;0)*('Tenant Data'!$E$2:$E$4674&lt;10000)*'Tenant Data'!$J$2:$J$4674*'Tenant Data'!$E$2:$E$4674)/SUMPRODUCT(('Tenant Data'!$A$2:$A$4674="West County Center")*('Tenant Data'!$D$2:$D$4674="Shoes")*('Tenant Data'!$F$2:$F$4674&gt;0)*('Tenant Data'!$E$2:$E$4674&lt;10000)*'Tenant Data'!$E$2:$E$4674),"")</f>
        <v>0.15276758294641227</v>
      </c>
      <c r="P46">
        <f>IFERROR(SUMPRODUCT(('Tenant Data'!$A$2:$A$4674="West County Center")*('Tenant Data'!$D$2:$D$4674="Jewelry")*('Tenant Data'!$F$2:$F$4674&gt;0)*('Tenant Data'!$E$2:$E$4674&lt;10000)*'Tenant Data'!$J$2:$J$4674*'Tenant Data'!$E$2:$E$4674)/SUMPRODUCT(('Tenant Data'!$A$2:$A$4674="West County Center")*('Tenant Data'!$D$2:$D$4674="Jewelry")*('Tenant Data'!$F$2:$F$4674&gt;0)*('Tenant Data'!$E$2:$E$4674&lt;10000)*'Tenant Data'!$E$2:$E$4674),"")</f>
        <v>0.16063752284097663</v>
      </c>
      <c r="Q46">
        <f>IFERROR(SUMPRODUCT(('Tenant Data'!$A$2:$A$4674="West County Center")*('Tenant Data'!$D$2:$D$4674="Health &amp; Beauty")*('Tenant Data'!$F$2:$F$4674&gt;0)*('Tenant Data'!$E$2:$E$4674&lt;10000)*'Tenant Data'!$J$2:$J$4674*'Tenant Data'!$E$2:$E$4674)/SUMPRODUCT(('Tenant Data'!$A$2:$A$4674="West County Center")*('Tenant Data'!$D$2:$D$4674="Health &amp; Beauty")*('Tenant Data'!$F$2:$F$4674&gt;0)*('Tenant Data'!$E$2:$E$4674&lt;10000)*'Tenant Data'!$E$2:$E$4674),"")</f>
        <v>0.13731311338026159</v>
      </c>
      <c r="R46">
        <f>IFERROR(SUMPRODUCT(('Tenant Data'!$A$2:$A$4674="West County Center")*('Tenant Data'!$D$2:$D$4674="Food &amp; Beverage")*('Tenant Data'!$F$2:$F$4674&gt;0)*('Tenant Data'!$E$2:$E$4674&lt;10000)*'Tenant Data'!$J$2:$J$4674*'Tenant Data'!$E$2:$E$4674)/SUMPRODUCT(('Tenant Data'!$A$2:$A$4674="West County Center")*('Tenant Data'!$D$2:$D$4674="Food &amp; Beverage")*('Tenant Data'!$F$2:$F$4674&gt;0)*('Tenant Data'!$E$2:$E$4674&lt;10000)*'Tenant Data'!$E$2:$E$4674),"")</f>
        <v>0.11411934463802403</v>
      </c>
      <c r="S46">
        <f>IFERROR(SUMPRODUCT(('Tenant Data'!$A$2:$A$4674="West County Center")*('Tenant Data'!$D$2:$D$4674="Restaurant")*('Tenant Data'!$F$2:$F$4674&gt;0)*('Tenant Data'!$E$2:$E$4674&lt;10000)*'Tenant Data'!$J$2:$J$4674*'Tenant Data'!$E$2:$E$4674)/SUMPRODUCT(('Tenant Data'!$A$2:$A$4674="West County Center")*('Tenant Data'!$D$2:$D$4674="Restaurant")*('Tenant Data'!$F$2:$F$4674&gt;0)*('Tenant Data'!$E$2:$E$4674&lt;10000)*'Tenant Data'!$E$2:$E$4674),"")</f>
        <v>0.10798990134735069</v>
      </c>
      <c r="T46">
        <f>IFERROR(SUMPRODUCT(('Tenant Data'!$A$2:$A$4674="West County Center")*('Tenant Data'!$D$2:$D$4674="Hobby &amp; Novelty")*('Tenant Data'!$F$2:$F$4674&gt;0)*('Tenant Data'!$E$2:$E$4674&lt;10000)*'Tenant Data'!$J$2:$J$4674*'Tenant Data'!$E$2:$E$4674)/SUMPRODUCT(('Tenant Data'!$A$2:$A$4674="West County Center")*('Tenant Data'!$D$2:$D$4674="Hobby &amp; Novelty")*('Tenant Data'!$F$2:$F$4674&gt;0)*('Tenant Data'!$E$2:$E$4674&lt;10000)*'Tenant Data'!$E$2:$E$4674),"")</f>
        <v>0.13232629997405965</v>
      </c>
      <c r="U46">
        <f>IFERROR(SUMPRODUCT(('Tenant Data'!$A$2:$A$4674="West County Center")*('Tenant Data'!$D$2:$D$4674="Service")*('Tenant Data'!$F$2:$F$4674&gt;0)*('Tenant Data'!$E$2:$E$4674&lt;10000)*'Tenant Data'!$J$2:$J$4674*'Tenant Data'!$E$2:$E$4674)/SUMPRODUCT(('Tenant Data'!$A$2:$A$4674="West County Center")*('Tenant Data'!$D$2:$D$4674="Service")*('Tenant Data'!$F$2:$F$4674&gt;0)*('Tenant Data'!$E$2:$E$4674&lt;10000)*'Tenant Data'!$E$2:$E$4674),"")</f>
        <v>0.13898561994248115</v>
      </c>
      <c r="V46">
        <f>IFERROR(SUMPRODUCT(('Tenant Data'!$A$2:$A$4674="West County Center")*('Tenant Data'!$D$2:$D$4674="Tech")*('Tenant Data'!$F$2:$F$4674&gt;0)*('Tenant Data'!$E$2:$E$4674&lt;10000)*'Tenant Data'!$J$2:$J$4674*'Tenant Data'!$E$2:$E$4674)/SUMPRODUCT(('Tenant Data'!$A$2:$A$4674="West County Center")*('Tenant Data'!$D$2:$D$4674="Tech")*('Tenant Data'!$F$2:$F$4674&gt;0)*('Tenant Data'!$E$2:$E$4674&lt;10000)*'Tenant Data'!$E$2:$E$4674),"")</f>
        <v>0.32073861823165628</v>
      </c>
      <c r="W46">
        <f>IFERROR(SUMPRODUCT(('Tenant Data'!$A$2:$A$4674="West County Center")*('Tenant Data'!$D$2:$D$4674="Major")*('Tenant Data'!$F$2:$F$4674&gt;0)*('Tenant Data'!$E$2:$E$4674&lt;10000)*'Tenant Data'!$J$2:$J$4674*'Tenant Data'!$E$2:$E$4674)/SUMPRODUCT(('Tenant Data'!$A$2:$A$4674="West County Center")*('Tenant Data'!$D$2:$D$4674="Major")*('Tenant Data'!$F$2:$F$4674&gt;0)*('Tenant Data'!$E$2:$E$4674&lt;10000)*'Tenant Data'!$E$2:$E$4674),"")</f>
        <v>8.1086892776028388E-2</v>
      </c>
      <c r="X46" t="str">
        <f>IFERROR(SUMPRODUCT(('Tenant Data'!$A$2:$A$4674="West County Center")*('Tenant Data'!$D$2:$D$4674="Anchor")*('Tenant Data'!$F$2:$F$4674&gt;0)*('Tenant Data'!$E$2:$E$4674&lt;10000)*'Tenant Data'!$J$2:$J$4674*'Tenant Data'!$E$2:$E$4674)/SUMPRODUCT(('Tenant Data'!$A$2:$A$4674="West County Center")*('Tenant Data'!$D$2:$D$4674="Anchor")*('Tenant Data'!$F$2:$F$4674&gt;0)*('Tenant Data'!$E$2:$E$4674&lt;10000)*'Tenant Data'!$E$2:$E$4674),"")</f>
        <v/>
      </c>
      <c r="Y46">
        <f>IFERROR(SUMPRODUCT(('Tenant Data'!$A$2:$A$4674="West County Center")*('Tenant Data'!$D$2:$D$4674="Apple")*('Tenant Data'!$F$2:$F$4674&gt;0)*('Tenant Data'!$E$2:$E$4674&lt;10000)*'Tenant Data'!$J$2:$J$4674*'Tenant Data'!$E$2:$E$4674)/SUMPRODUCT(('Tenant Data'!$A$2:$A$4674="West County Center")*('Tenant Data'!$D$2:$D$4674="Apple")*('Tenant Data'!$F$2:$F$4674&gt;0)*('Tenant Data'!$E$2:$E$4674&lt;10000)*'Tenant Data'!$E$2:$E$4674),"")</f>
        <v>9.4534665474498153E-3</v>
      </c>
      <c r="Z46">
        <f>SUMIFS('Tenant Data'!$F$2:$F$4674,'Tenant Data'!$A$2:$A$4674,"West County Center",'Tenant Data'!$D$2:$D$4674,"Apparel",'Tenant Data'!$E$2:$E$4674,"&lt;10000")</f>
        <v>65276160.049999997</v>
      </c>
      <c r="AA46">
        <f>SUMIFS('Tenant Data'!$F$2:$F$4674,'Tenant Data'!$A$2:$A$4674,"West County Center",'Tenant Data'!$D$2:$D$4674,"Shoes",'Tenant Data'!$E$2:$E$4674,"&lt;10000")</f>
        <v>16591408.290000001</v>
      </c>
      <c r="AB46">
        <f>SUMIFS('Tenant Data'!$F$2:$F$4674,'Tenant Data'!$A$2:$A$4674,"West County Center",'Tenant Data'!$D$2:$D$4674,"Jewelry",'Tenant Data'!$E$2:$E$4674,"&lt;10000")</f>
        <v>10399036.609999999</v>
      </c>
      <c r="AC46">
        <f>SUMIFS('Tenant Data'!$F$2:$F$4674,'Tenant Data'!$A$2:$A$4674,"West County Center",'Tenant Data'!$D$2:$D$4674,"Health &amp; Beauty",'Tenant Data'!$E$2:$E$4674,"&lt;10000")</f>
        <v>17814677.480000004</v>
      </c>
      <c r="AD46">
        <f>SUMIFS('Tenant Data'!$F$2:$F$4674,'Tenant Data'!$A$2:$A$4674,"West County Center",'Tenant Data'!$D$2:$D$4674,"Food &amp; Beverage",'Tenant Data'!$E$2:$E$4674,"&lt;10000")</f>
        <v>6306083.79</v>
      </c>
      <c r="AE46">
        <f>SUMIFS('Tenant Data'!$F$2:$F$4674,'Tenant Data'!$A$2:$A$4674,"West County Center",'Tenant Data'!$D$2:$D$4674,"Restaurant",'Tenant Data'!$E$2:$E$4674,"&lt;10000")</f>
        <v>18706954.93</v>
      </c>
      <c r="AF46">
        <f>SUMIFS('Tenant Data'!$F$2:$F$4674,'Tenant Data'!$A$2:$A$4674,"West County Center",'Tenant Data'!$D$2:$D$4674,"Hobby &amp; Novelty",'Tenant Data'!$E$2:$E$4674,"&lt;10000")</f>
        <v>14297864.41</v>
      </c>
      <c r="AG46">
        <f>SUMIFS('Tenant Data'!$F$2:$F$4674,'Tenant Data'!$A$2:$A$4674,"West County Center",'Tenant Data'!$D$2:$D$4674,"Service",'Tenant Data'!$E$2:$E$4674,"&lt;10000")</f>
        <v>6882368.3700000001</v>
      </c>
      <c r="AH46">
        <f>SUMIFS('Tenant Data'!$F$2:$F$4674,'Tenant Data'!$A$2:$A$4674,"West County Center",'Tenant Data'!$D$2:$D$4674,"Tech",'Tenant Data'!$E$2:$E$4674,"&lt;10000")</f>
        <v>297691</v>
      </c>
      <c r="AI46">
        <f>SUMIFS('Tenant Data'!$F$2:$F$4674,'Tenant Data'!$A$2:$A$4674,"West County Center",'Tenant Data'!$D$2:$D$4674,"Major",'Tenant Data'!$E$2:$E$4674,"&lt;10000")</f>
        <v>1845341.55</v>
      </c>
      <c r="AJ46">
        <f>SUMIFS('Tenant Data'!$F$2:$F$4674,'Tenant Data'!$A$2:$A$4674,"West County Center",'Tenant Data'!$D$2:$D$4674,"Anchor",'Tenant Data'!$E$2:$E$4674,"&lt;10000")</f>
        <v>0</v>
      </c>
      <c r="AK46">
        <f>SUMIFS('Tenant Data'!$F$2:$F$4674,'Tenant Data'!$A$2:$A$4674,"West County Center",'Tenant Data'!$D$2:$D$4674,"Apple",'Tenant Data'!$E$2:$E$4674,"&lt;10000")</f>
        <v>56774523.600000001</v>
      </c>
      <c r="AL46">
        <f>SUMIFS('Tenant Data'!$E$2:$E$4674,'Tenant Data'!$A$2:$A$4674,"West County Center",'Tenant Data'!$D$2:$D$4674,"Apparel",'Tenant Data'!$F$2:$F$4674,"&gt;0",'Tenant Data'!$E$2:$E$4674,"&lt;10000")</f>
        <v>119097</v>
      </c>
      <c r="AM46">
        <f>SUMIFS('Tenant Data'!$E$2:$E$4674,'Tenant Data'!$A$2:$A$4674,"West County Center",'Tenant Data'!$D$2:$D$4674,"Shoes",'Tenant Data'!$F$2:$F$4674,"&gt;0",'Tenant Data'!$E$2:$E$4674,"&lt;10000")</f>
        <v>26205</v>
      </c>
      <c r="AN46">
        <f>SUMIFS('Tenant Data'!$E$2:$E$4674,'Tenant Data'!$A$2:$A$4674,"West County Center",'Tenant Data'!$D$2:$D$4674,"Jewelry",'Tenant Data'!$F$2:$F$4674,"&gt;0",'Tenant Data'!$E$2:$E$4674,"&lt;10000")</f>
        <v>9660</v>
      </c>
      <c r="AO46">
        <f>SUMIFS('Tenant Data'!$E$2:$E$4674,'Tenant Data'!$A$2:$A$4674,"West County Center",'Tenant Data'!$D$2:$D$4674,"Health &amp; Beauty",'Tenant Data'!$F$2:$F$4674,"&gt;0",'Tenant Data'!$E$2:$E$4674,"&lt;10000")</f>
        <v>15538.74</v>
      </c>
      <c r="AP46">
        <f>SUMIFS('Tenant Data'!$E$2:$E$4674,'Tenant Data'!$A$2:$A$4674,"West County Center",'Tenant Data'!$D$2:$D$4674,"Food &amp; Beverage",'Tenant Data'!$F$2:$F$4674,"&gt;0",'Tenant Data'!$E$2:$E$4674,"&lt;10000")</f>
        <v>4270</v>
      </c>
      <c r="AQ46">
        <f>SUMIFS('Tenant Data'!$E$2:$E$4674,'Tenant Data'!$A$2:$A$4674,"West County Center",'Tenant Data'!$D$2:$D$4674,"Restaurant",'Tenant Data'!$F$2:$F$4674,"&gt;0",'Tenant Data'!$E$2:$E$4674,"&lt;10000")</f>
        <v>18076</v>
      </c>
      <c r="AR46">
        <f>SUMIFS('Tenant Data'!$E$2:$E$4674,'Tenant Data'!$A$2:$A$4674,"West County Center",'Tenant Data'!$D$2:$D$4674,"Hobby &amp; Novelty",'Tenant Data'!$F$2:$F$4674,"&gt;0",'Tenant Data'!$E$2:$E$4674,"&lt;10000")</f>
        <v>25978</v>
      </c>
      <c r="AS46">
        <f>SUMIFS('Tenant Data'!$E$2:$E$4674,'Tenant Data'!$A$2:$A$4674,"West County Center",'Tenant Data'!$D$2:$D$4674,"Service",'Tenant Data'!$F$2:$F$4674,"&gt;0",'Tenant Data'!$E$2:$E$4674,"&lt;10000")</f>
        <v>9879</v>
      </c>
      <c r="AT46">
        <f>SUMIFS('Tenant Data'!$E$2:$E$4674,'Tenant Data'!$A$2:$A$4674,"West County Center",'Tenant Data'!$D$2:$D$4674,"Tech",'Tenant Data'!$F$2:$F$4674,"&gt;0",'Tenant Data'!$E$2:$E$4674,"&lt;10000")</f>
        <v>1317</v>
      </c>
      <c r="AU46">
        <f>SUMIFS('Tenant Data'!$E$2:$E$4674,'Tenant Data'!$A$2:$A$4674,"West County Center",'Tenant Data'!$D$2:$D$4674,"Major",'Tenant Data'!$F$2:$F$4674,"&gt;0",'Tenant Data'!$E$2:$E$4674,"&lt;10000")</f>
        <v>1692</v>
      </c>
      <c r="AV46">
        <f>SUMIFS('Tenant Data'!$E$2:$E$4674,'Tenant Data'!$A$2:$A$4674,"West County Center",'Tenant Data'!$D$2:$D$4674,"Anchor",'Tenant Data'!$F$2:$F$4674,"&gt;0",'Tenant Data'!$E$2:$E$4674,"&lt;10000")</f>
        <v>0</v>
      </c>
      <c r="AW46">
        <f>SUMIFS('Tenant Data'!$E$2:$E$4674,'Tenant Data'!$A$2:$A$4674,"West County Center",'Tenant Data'!$D$2:$D$4674,"Apple",'Tenant Data'!$F$2:$F$4674,"&gt;0",'Tenant Data'!$E$2:$E$4674,"&lt;10000")</f>
        <v>9980</v>
      </c>
      <c r="AX46">
        <v>1</v>
      </c>
      <c r="AY46" t="str">
        <f>'Property Summary'!B46</f>
        <v>Y</v>
      </c>
      <c r="AZ46">
        <f t="shared" si="12"/>
        <v>241692.74</v>
      </c>
    </row>
    <row r="47" spans="1:52" x14ac:dyDescent="0.2">
      <c r="A47" t="s">
        <v>31</v>
      </c>
      <c r="B47">
        <f t="shared" si="0"/>
        <v>266.93394601931612</v>
      </c>
      <c r="C47">
        <f t="shared" si="1"/>
        <v>453.66723938328374</v>
      </c>
      <c r="D47">
        <f t="shared" si="2"/>
        <v>710.75553757905584</v>
      </c>
      <c r="E47">
        <f t="shared" si="3"/>
        <v>827.02367476807478</v>
      </c>
      <c r="F47">
        <f t="shared" si="4"/>
        <v>1074.4088782562467</v>
      </c>
      <c r="G47">
        <f t="shared" si="5"/>
        <v>661.42892060225313</v>
      </c>
      <c r="H47">
        <f t="shared" si="6"/>
        <v>263.29756227083067</v>
      </c>
      <c r="I47">
        <f t="shared" si="7"/>
        <v>158.86124401913875</v>
      </c>
      <c r="J47">
        <f t="shared" si="8"/>
        <v>181.87041564792176</v>
      </c>
      <c r="K47" t="str">
        <f t="shared" si="9"/>
        <v/>
      </c>
      <c r="L47" t="str">
        <f t="shared" si="10"/>
        <v/>
      </c>
      <c r="M47" t="str">
        <f t="shared" si="11"/>
        <v/>
      </c>
      <c r="N47">
        <f>IFERROR(SUMPRODUCT(('Tenant Data'!$A$2:$A$4674="West Towne Mall")*('Tenant Data'!$D$2:$D$4674="Apparel")*('Tenant Data'!$F$2:$F$4674&gt;0)*('Tenant Data'!$E$2:$E$4674&lt;10000)*'Tenant Data'!$J$2:$J$4674*'Tenant Data'!$E$2:$E$4674)/SUMPRODUCT(('Tenant Data'!$A$2:$A$4674="West Towne Mall")*('Tenant Data'!$D$2:$D$4674="Apparel")*('Tenant Data'!$F$2:$F$4674&gt;0)*('Tenant Data'!$E$2:$E$4674&lt;10000)*'Tenant Data'!$E$2:$E$4674),"")</f>
        <v>0.11311062944635603</v>
      </c>
      <c r="O47">
        <f>IFERROR(SUMPRODUCT(('Tenant Data'!$A$2:$A$4674="West Towne Mall")*('Tenant Data'!$D$2:$D$4674="Shoes")*('Tenant Data'!$F$2:$F$4674&gt;0)*('Tenant Data'!$E$2:$E$4674&lt;10000)*'Tenant Data'!$J$2:$J$4674*'Tenant Data'!$E$2:$E$4674)/SUMPRODUCT(('Tenant Data'!$A$2:$A$4674="West Towne Mall")*('Tenant Data'!$D$2:$D$4674="Shoes")*('Tenant Data'!$F$2:$F$4674&gt;0)*('Tenant Data'!$E$2:$E$4674&lt;10000)*'Tenant Data'!$E$2:$E$4674),"")</f>
        <v>0.13300138896569913</v>
      </c>
      <c r="P47">
        <f>IFERROR(SUMPRODUCT(('Tenant Data'!$A$2:$A$4674="West Towne Mall")*('Tenant Data'!$D$2:$D$4674="Jewelry")*('Tenant Data'!$F$2:$F$4674&gt;0)*('Tenant Data'!$E$2:$E$4674&lt;10000)*'Tenant Data'!$J$2:$J$4674*'Tenant Data'!$E$2:$E$4674)/SUMPRODUCT(('Tenant Data'!$A$2:$A$4674="West Towne Mall")*('Tenant Data'!$D$2:$D$4674="Jewelry")*('Tenant Data'!$F$2:$F$4674&gt;0)*('Tenant Data'!$E$2:$E$4674&lt;10000)*'Tenant Data'!$E$2:$E$4674),"")</f>
        <v>0.1175614155649372</v>
      </c>
      <c r="Q47">
        <f>IFERROR(SUMPRODUCT(('Tenant Data'!$A$2:$A$4674="West Towne Mall")*('Tenant Data'!$D$2:$D$4674="Health &amp; Beauty")*('Tenant Data'!$F$2:$F$4674&gt;0)*('Tenant Data'!$E$2:$E$4674&lt;10000)*'Tenant Data'!$J$2:$J$4674*'Tenant Data'!$E$2:$E$4674)/SUMPRODUCT(('Tenant Data'!$A$2:$A$4674="West Towne Mall")*('Tenant Data'!$D$2:$D$4674="Health &amp; Beauty")*('Tenant Data'!$F$2:$F$4674&gt;0)*('Tenant Data'!$E$2:$E$4674&lt;10000)*'Tenant Data'!$E$2:$E$4674),"")</f>
        <v>9.5658054757559036E-2</v>
      </c>
      <c r="R47">
        <f>IFERROR(SUMPRODUCT(('Tenant Data'!$A$2:$A$4674="West Towne Mall")*('Tenant Data'!$D$2:$D$4674="Food &amp; Beverage")*('Tenant Data'!$F$2:$F$4674&gt;0)*('Tenant Data'!$E$2:$E$4674&lt;10000)*'Tenant Data'!$J$2:$J$4674*'Tenant Data'!$E$2:$E$4674)/SUMPRODUCT(('Tenant Data'!$A$2:$A$4674="West Towne Mall")*('Tenant Data'!$D$2:$D$4674="Food &amp; Beverage")*('Tenant Data'!$F$2:$F$4674&gt;0)*('Tenant Data'!$E$2:$E$4674&lt;10000)*'Tenant Data'!$E$2:$E$4674),"")</f>
        <v>0.16103885330441872</v>
      </c>
      <c r="S47">
        <f>IFERROR(SUMPRODUCT(('Tenant Data'!$A$2:$A$4674="West Towne Mall")*('Tenant Data'!$D$2:$D$4674="Restaurant")*('Tenant Data'!$F$2:$F$4674&gt;0)*('Tenant Data'!$E$2:$E$4674&lt;10000)*'Tenant Data'!$J$2:$J$4674*'Tenant Data'!$E$2:$E$4674)/SUMPRODUCT(('Tenant Data'!$A$2:$A$4674="West Towne Mall")*('Tenant Data'!$D$2:$D$4674="Restaurant")*('Tenant Data'!$F$2:$F$4674&gt;0)*('Tenant Data'!$E$2:$E$4674&lt;10000)*'Tenant Data'!$E$2:$E$4674),"")</f>
        <v>9.433932896895833E-2</v>
      </c>
      <c r="T47">
        <f>IFERROR(SUMPRODUCT(('Tenant Data'!$A$2:$A$4674="West Towne Mall")*('Tenant Data'!$D$2:$D$4674="Hobby &amp; Novelty")*('Tenant Data'!$F$2:$F$4674&gt;0)*('Tenant Data'!$E$2:$E$4674&lt;10000)*'Tenant Data'!$J$2:$J$4674*'Tenant Data'!$E$2:$E$4674)/SUMPRODUCT(('Tenant Data'!$A$2:$A$4674="West Towne Mall")*('Tenant Data'!$D$2:$D$4674="Hobby &amp; Novelty")*('Tenant Data'!$F$2:$F$4674&gt;0)*('Tenant Data'!$E$2:$E$4674&lt;10000)*'Tenant Data'!$E$2:$E$4674),"")</f>
        <v>0.12436448264720733</v>
      </c>
      <c r="U47">
        <f>IFERROR(SUMPRODUCT(('Tenant Data'!$A$2:$A$4674="West Towne Mall")*('Tenant Data'!$D$2:$D$4674="Service")*('Tenant Data'!$F$2:$F$4674&gt;0)*('Tenant Data'!$E$2:$E$4674&lt;10000)*'Tenant Data'!$J$2:$J$4674*'Tenant Data'!$E$2:$E$4674)/SUMPRODUCT(('Tenant Data'!$A$2:$A$4674="West Towne Mall")*('Tenant Data'!$D$2:$D$4674="Service")*('Tenant Data'!$F$2:$F$4674&gt;0)*('Tenant Data'!$E$2:$E$4674&lt;10000)*'Tenant Data'!$E$2:$E$4674),"")</f>
        <v>0.33866844848547778</v>
      </c>
      <c r="V47">
        <f>IFERROR(SUMPRODUCT(('Tenant Data'!$A$2:$A$4674="West Towne Mall")*('Tenant Data'!$D$2:$D$4674="Tech")*('Tenant Data'!$F$2:$F$4674&gt;0)*('Tenant Data'!$E$2:$E$4674&lt;10000)*'Tenant Data'!$J$2:$J$4674*'Tenant Data'!$E$2:$E$4674)/SUMPRODUCT(('Tenant Data'!$A$2:$A$4674="West Towne Mall")*('Tenant Data'!$D$2:$D$4674="Tech")*('Tenant Data'!$F$2:$F$4674&gt;0)*('Tenant Data'!$E$2:$E$4674&lt;10000)*'Tenant Data'!$E$2:$E$4674),"")</f>
        <v>0.5118421547522648</v>
      </c>
      <c r="W47" t="str">
        <f>IFERROR(SUMPRODUCT(('Tenant Data'!$A$2:$A$4674="West Towne Mall")*('Tenant Data'!$D$2:$D$4674="Major")*('Tenant Data'!$F$2:$F$4674&gt;0)*('Tenant Data'!$E$2:$E$4674&lt;10000)*'Tenant Data'!$J$2:$J$4674*'Tenant Data'!$E$2:$E$4674)/SUMPRODUCT(('Tenant Data'!$A$2:$A$4674="West Towne Mall")*('Tenant Data'!$D$2:$D$4674="Major")*('Tenant Data'!$F$2:$F$4674&gt;0)*('Tenant Data'!$E$2:$E$4674&lt;10000)*'Tenant Data'!$E$2:$E$4674),"")</f>
        <v/>
      </c>
      <c r="X47" t="str">
        <f>IFERROR(SUMPRODUCT(('Tenant Data'!$A$2:$A$4674="West Towne Mall")*('Tenant Data'!$D$2:$D$4674="Anchor")*('Tenant Data'!$F$2:$F$4674&gt;0)*('Tenant Data'!$E$2:$E$4674&lt;10000)*'Tenant Data'!$J$2:$J$4674*'Tenant Data'!$E$2:$E$4674)/SUMPRODUCT(('Tenant Data'!$A$2:$A$4674="West Towne Mall")*('Tenant Data'!$D$2:$D$4674="Anchor")*('Tenant Data'!$F$2:$F$4674&gt;0)*('Tenant Data'!$E$2:$E$4674&lt;10000)*'Tenant Data'!$E$2:$E$4674),"")</f>
        <v/>
      </c>
      <c r="Y47" t="str">
        <f>IFERROR(SUMPRODUCT(('Tenant Data'!$A$2:$A$4674="West Towne Mall")*('Tenant Data'!$D$2:$D$4674="Apple")*('Tenant Data'!$F$2:$F$4674&gt;0)*('Tenant Data'!$E$2:$E$4674&lt;10000)*'Tenant Data'!$J$2:$J$4674*'Tenant Data'!$E$2:$E$4674)/SUMPRODUCT(('Tenant Data'!$A$2:$A$4674="West Towne Mall")*('Tenant Data'!$D$2:$D$4674="Apple")*('Tenant Data'!$F$2:$F$4674&gt;0)*('Tenant Data'!$E$2:$E$4674&lt;10000)*'Tenant Data'!$E$2:$E$4674),"")</f>
        <v/>
      </c>
      <c r="Z47">
        <f>SUMIFS('Tenant Data'!$F$2:$F$4674,'Tenant Data'!$A$2:$A$4674,"West Towne Mall",'Tenant Data'!$D$2:$D$4674,"Apparel",'Tenant Data'!$E$2:$E$4674,"&lt;10000")</f>
        <v>25565598.680000003</v>
      </c>
      <c r="AA47">
        <f>SUMIFS('Tenant Data'!$F$2:$F$4674,'Tenant Data'!$A$2:$A$4674,"West Towne Mall",'Tenant Data'!$D$2:$D$4674,"Shoes",'Tenant Data'!$E$2:$E$4674,"&lt;10000")</f>
        <v>8386038.9199999999</v>
      </c>
      <c r="AB47">
        <f>SUMIFS('Tenant Data'!$F$2:$F$4674,'Tenant Data'!$A$2:$A$4674,"West Towne Mall",'Tenant Data'!$D$2:$D$4674,"Jewelry",'Tenant Data'!$E$2:$E$4674,"&lt;10000")</f>
        <v>4832426.9000000004</v>
      </c>
      <c r="AC47">
        <f>SUMIFS('Tenant Data'!$F$2:$F$4674,'Tenant Data'!$A$2:$A$4674,"West Towne Mall",'Tenant Data'!$D$2:$D$4674,"Health &amp; Beauty",'Tenant Data'!$E$2:$E$4674,"&lt;10000")</f>
        <v>10786869.789999999</v>
      </c>
      <c r="AD47">
        <f>SUMIFS('Tenant Data'!$F$2:$F$4674,'Tenant Data'!$A$2:$A$4674,"West Towne Mall",'Tenant Data'!$D$2:$D$4674,"Food &amp; Beverage",'Tenant Data'!$E$2:$E$4674,"&lt;10000")</f>
        <v>4041926.2</v>
      </c>
      <c r="AE47">
        <f>SUMIFS('Tenant Data'!$F$2:$F$4674,'Tenant Data'!$A$2:$A$4674,"West Towne Mall",'Tenant Data'!$D$2:$D$4674,"Restaurant",'Tenant Data'!$E$2:$E$4674,"&lt;10000")</f>
        <v>12212623.590000002</v>
      </c>
      <c r="AF47">
        <f>SUMIFS('Tenant Data'!$F$2:$F$4674,'Tenant Data'!$A$2:$A$4674,"West Towne Mall",'Tenant Data'!$D$2:$D$4674,"Hobby &amp; Novelty",'Tenant Data'!$E$2:$E$4674,"&lt;10000")</f>
        <v>2082420.42</v>
      </c>
      <c r="AG47">
        <f>SUMIFS('Tenant Data'!$F$2:$F$4674,'Tenant Data'!$A$2:$A$4674,"West Towne Mall",'Tenant Data'!$D$2:$D$4674,"Service",'Tenant Data'!$E$2:$E$4674,"&lt;10000")</f>
        <v>730444</v>
      </c>
      <c r="AH47">
        <f>SUMIFS('Tenant Data'!$F$2:$F$4674,'Tenant Data'!$A$2:$A$4674,"West Towne Mall",'Tenant Data'!$D$2:$D$4674,"Tech",'Tenant Data'!$E$2:$E$4674,"&lt;10000")</f>
        <v>223155</v>
      </c>
      <c r="AI47">
        <f>SUMIFS('Tenant Data'!$F$2:$F$4674,'Tenant Data'!$A$2:$A$4674,"West Towne Mall",'Tenant Data'!$D$2:$D$4674,"Major",'Tenant Data'!$E$2:$E$4674,"&lt;10000")</f>
        <v>0</v>
      </c>
      <c r="AJ47">
        <f>SUMIFS('Tenant Data'!$F$2:$F$4674,'Tenant Data'!$A$2:$A$4674,"West Towne Mall",'Tenant Data'!$D$2:$D$4674,"Anchor",'Tenant Data'!$E$2:$E$4674,"&lt;10000")</f>
        <v>0</v>
      </c>
      <c r="AK47">
        <f>SUMIFS('Tenant Data'!$F$2:$F$4674,'Tenant Data'!$A$2:$A$4674,"West Towne Mall",'Tenant Data'!$D$2:$D$4674,"Apple",'Tenant Data'!$E$2:$E$4674,"&lt;10000")</f>
        <v>0</v>
      </c>
      <c r="AL47">
        <f>SUMIFS('Tenant Data'!$E$2:$E$4674,'Tenant Data'!$A$2:$A$4674,"West Towne Mall",'Tenant Data'!$D$2:$D$4674,"Apparel",'Tenant Data'!$F$2:$F$4674,"&gt;0",'Tenant Data'!$E$2:$E$4674,"&lt;10000")</f>
        <v>95775</v>
      </c>
      <c r="AM47">
        <f>SUMIFS('Tenant Data'!$E$2:$E$4674,'Tenant Data'!$A$2:$A$4674,"West Towne Mall",'Tenant Data'!$D$2:$D$4674,"Shoes",'Tenant Data'!$F$2:$F$4674,"&gt;0",'Tenant Data'!$E$2:$E$4674,"&lt;10000")</f>
        <v>18485</v>
      </c>
      <c r="AN47">
        <f>SUMIFS('Tenant Data'!$E$2:$E$4674,'Tenant Data'!$A$2:$A$4674,"West Towne Mall",'Tenant Data'!$D$2:$D$4674,"Jewelry",'Tenant Data'!$F$2:$F$4674,"&gt;0",'Tenant Data'!$E$2:$E$4674,"&lt;10000")</f>
        <v>6799</v>
      </c>
      <c r="AO47">
        <f>SUMIFS('Tenant Data'!$E$2:$E$4674,'Tenant Data'!$A$2:$A$4674,"West Towne Mall",'Tenant Data'!$D$2:$D$4674,"Health &amp; Beauty",'Tenant Data'!$F$2:$F$4674,"&gt;0",'Tenant Data'!$E$2:$E$4674,"&lt;10000")</f>
        <v>13043</v>
      </c>
      <c r="AP47">
        <f>SUMIFS('Tenant Data'!$E$2:$E$4674,'Tenant Data'!$A$2:$A$4674,"West Towne Mall",'Tenant Data'!$D$2:$D$4674,"Food &amp; Beverage",'Tenant Data'!$F$2:$F$4674,"&gt;0",'Tenant Data'!$E$2:$E$4674,"&lt;10000")</f>
        <v>3762</v>
      </c>
      <c r="AQ47">
        <f>SUMIFS('Tenant Data'!$E$2:$E$4674,'Tenant Data'!$A$2:$A$4674,"West Towne Mall",'Tenant Data'!$D$2:$D$4674,"Restaurant",'Tenant Data'!$F$2:$F$4674,"&gt;0",'Tenant Data'!$E$2:$E$4674,"&lt;10000")</f>
        <v>18464</v>
      </c>
      <c r="AR47">
        <f>SUMIFS('Tenant Data'!$E$2:$E$4674,'Tenant Data'!$A$2:$A$4674,"West Towne Mall",'Tenant Data'!$D$2:$D$4674,"Hobby &amp; Novelty",'Tenant Data'!$F$2:$F$4674,"&gt;0",'Tenant Data'!$E$2:$E$4674,"&lt;10000")</f>
        <v>7909</v>
      </c>
      <c r="AS47">
        <f>SUMIFS('Tenant Data'!$E$2:$E$4674,'Tenant Data'!$A$2:$A$4674,"West Towne Mall",'Tenant Data'!$D$2:$D$4674,"Service",'Tenant Data'!$F$2:$F$4674,"&gt;0",'Tenant Data'!$E$2:$E$4674,"&lt;10000")</f>
        <v>4598</v>
      </c>
      <c r="AT47">
        <f>SUMIFS('Tenant Data'!$E$2:$E$4674,'Tenant Data'!$A$2:$A$4674,"West Towne Mall",'Tenant Data'!$D$2:$D$4674,"Tech",'Tenant Data'!$F$2:$F$4674,"&gt;0",'Tenant Data'!$E$2:$E$4674,"&lt;10000")</f>
        <v>1227</v>
      </c>
      <c r="AU47">
        <f>SUMIFS('Tenant Data'!$E$2:$E$4674,'Tenant Data'!$A$2:$A$4674,"West Towne Mall",'Tenant Data'!$D$2:$D$4674,"Major",'Tenant Data'!$F$2:$F$4674,"&gt;0",'Tenant Data'!$E$2:$E$4674,"&lt;10000")</f>
        <v>0</v>
      </c>
      <c r="AV47">
        <f>SUMIFS('Tenant Data'!$E$2:$E$4674,'Tenant Data'!$A$2:$A$4674,"West Towne Mall",'Tenant Data'!$D$2:$D$4674,"Anchor",'Tenant Data'!$F$2:$F$4674,"&gt;0",'Tenant Data'!$E$2:$E$4674,"&lt;10000")</f>
        <v>0</v>
      </c>
      <c r="AW47">
        <f>SUMIFS('Tenant Data'!$E$2:$E$4674,'Tenant Data'!$A$2:$A$4674,"West Towne Mall",'Tenant Data'!$D$2:$D$4674,"Apple",'Tenant Data'!$F$2:$F$4674,"&gt;0",'Tenant Data'!$E$2:$E$4674,"&lt;10000")</f>
        <v>0</v>
      </c>
      <c r="AX47">
        <v>1</v>
      </c>
      <c r="AY47" t="str">
        <f>'Property Summary'!B47</f>
        <v>Y</v>
      </c>
      <c r="AZ47">
        <f t="shared" si="12"/>
        <v>170062</v>
      </c>
    </row>
    <row r="48" spans="1:52" x14ac:dyDescent="0.2">
      <c r="A48" t="s">
        <v>64</v>
      </c>
      <c r="B48">
        <f t="shared" si="0"/>
        <v>635.24549191453059</v>
      </c>
      <c r="C48">
        <f t="shared" si="1"/>
        <v>690.71591254835482</v>
      </c>
      <c r="D48">
        <f t="shared" si="2"/>
        <v>1358.0259310986964</v>
      </c>
      <c r="E48">
        <f t="shared" si="3"/>
        <v>1090.6009327115257</v>
      </c>
      <c r="F48">
        <f t="shared" si="4"/>
        <v>767.33229275060705</v>
      </c>
      <c r="G48">
        <f t="shared" si="5"/>
        <v>455.25632829052523</v>
      </c>
      <c r="H48">
        <f t="shared" si="6"/>
        <v>701.4546763808878</v>
      </c>
      <c r="I48">
        <f t="shared" si="7"/>
        <v>487.16629569174455</v>
      </c>
      <c r="J48">
        <f t="shared" si="8"/>
        <v>1791.3081947743467</v>
      </c>
      <c r="K48">
        <f t="shared" si="9"/>
        <v>2478.5500000000002</v>
      </c>
      <c r="L48" t="str">
        <f t="shared" si="10"/>
        <v/>
      </c>
      <c r="M48" t="str">
        <f t="shared" si="11"/>
        <v/>
      </c>
      <c r="N48">
        <f>IFERROR(SUMPRODUCT(('Tenant Data'!$A$2:$A$4674="Westfarms Mall")*('Tenant Data'!$D$2:$D$4674="Apparel")*('Tenant Data'!$F$2:$F$4674&gt;0)*('Tenant Data'!$E$2:$E$4674&lt;10000)*'Tenant Data'!$J$2:$J$4674*'Tenant Data'!$E$2:$E$4674)/SUMPRODUCT(('Tenant Data'!$A$2:$A$4674="Westfarms Mall")*('Tenant Data'!$D$2:$D$4674="Apparel")*('Tenant Data'!$F$2:$F$4674&gt;0)*('Tenant Data'!$E$2:$E$4674&lt;10000)*'Tenant Data'!$E$2:$E$4674),"")</f>
        <v>0.23458639168074577</v>
      </c>
      <c r="O48">
        <f>IFERROR(SUMPRODUCT(('Tenant Data'!$A$2:$A$4674="Westfarms Mall")*('Tenant Data'!$D$2:$D$4674="Shoes")*('Tenant Data'!$F$2:$F$4674&gt;0)*('Tenant Data'!$E$2:$E$4674&lt;10000)*'Tenant Data'!$J$2:$J$4674*'Tenant Data'!$E$2:$E$4674)/SUMPRODUCT(('Tenant Data'!$A$2:$A$4674="Westfarms Mall")*('Tenant Data'!$D$2:$D$4674="Shoes")*('Tenant Data'!$F$2:$F$4674&gt;0)*('Tenant Data'!$E$2:$E$4674&lt;10000)*'Tenant Data'!$E$2:$E$4674),"")</f>
        <v>0.20739631873291842</v>
      </c>
      <c r="P48">
        <f>IFERROR(SUMPRODUCT(('Tenant Data'!$A$2:$A$4674="Westfarms Mall")*('Tenant Data'!$D$2:$D$4674="Jewelry")*('Tenant Data'!$F$2:$F$4674&gt;0)*('Tenant Data'!$E$2:$E$4674&lt;10000)*'Tenant Data'!$J$2:$J$4674*'Tenant Data'!$E$2:$E$4674)/SUMPRODUCT(('Tenant Data'!$A$2:$A$4674="Westfarms Mall")*('Tenant Data'!$D$2:$D$4674="Jewelry")*('Tenant Data'!$F$2:$F$4674&gt;0)*('Tenant Data'!$E$2:$E$4674&lt;10000)*'Tenant Data'!$E$2:$E$4674),"")</f>
        <v>0.14614545474659171</v>
      </c>
      <c r="Q48">
        <f>IFERROR(SUMPRODUCT(('Tenant Data'!$A$2:$A$4674="Westfarms Mall")*('Tenant Data'!$D$2:$D$4674="Health &amp; Beauty")*('Tenant Data'!$F$2:$F$4674&gt;0)*('Tenant Data'!$E$2:$E$4674&lt;10000)*'Tenant Data'!$J$2:$J$4674*'Tenant Data'!$E$2:$E$4674)/SUMPRODUCT(('Tenant Data'!$A$2:$A$4674="Westfarms Mall")*('Tenant Data'!$D$2:$D$4674="Health &amp; Beauty")*('Tenant Data'!$F$2:$F$4674&gt;0)*('Tenant Data'!$E$2:$E$4674&lt;10000)*'Tenant Data'!$E$2:$E$4674),"")</f>
        <v>0.15645972678493442</v>
      </c>
      <c r="R48">
        <f>IFERROR(SUMPRODUCT(('Tenant Data'!$A$2:$A$4674="Westfarms Mall")*('Tenant Data'!$D$2:$D$4674="Food &amp; Beverage")*('Tenant Data'!$F$2:$F$4674&gt;0)*('Tenant Data'!$E$2:$E$4674&lt;10000)*'Tenant Data'!$J$2:$J$4674*'Tenant Data'!$E$2:$E$4674)/SUMPRODUCT(('Tenant Data'!$A$2:$A$4674="Westfarms Mall")*('Tenant Data'!$D$2:$D$4674="Food &amp; Beverage")*('Tenant Data'!$F$2:$F$4674&gt;0)*('Tenant Data'!$E$2:$E$4674&lt;10000)*'Tenant Data'!$E$2:$E$4674),"")</f>
        <v>0.26122404665200655</v>
      </c>
      <c r="S48">
        <f>IFERROR(SUMPRODUCT(('Tenant Data'!$A$2:$A$4674="Westfarms Mall")*('Tenant Data'!$D$2:$D$4674="Restaurant")*('Tenant Data'!$F$2:$F$4674&gt;0)*('Tenant Data'!$E$2:$E$4674&lt;10000)*'Tenant Data'!$J$2:$J$4674*'Tenant Data'!$E$2:$E$4674)/SUMPRODUCT(('Tenant Data'!$A$2:$A$4674="Westfarms Mall")*('Tenant Data'!$D$2:$D$4674="Restaurant")*('Tenant Data'!$F$2:$F$4674&gt;0)*('Tenant Data'!$E$2:$E$4674&lt;10000)*'Tenant Data'!$E$2:$E$4674),"")</f>
        <v>0.13349129612609267</v>
      </c>
      <c r="T48">
        <f>IFERROR(SUMPRODUCT(('Tenant Data'!$A$2:$A$4674="Westfarms Mall")*('Tenant Data'!$D$2:$D$4674="Hobby &amp; Novelty")*('Tenant Data'!$F$2:$F$4674&gt;0)*('Tenant Data'!$E$2:$E$4674&lt;10000)*'Tenant Data'!$J$2:$J$4674*'Tenant Data'!$E$2:$E$4674)/SUMPRODUCT(('Tenant Data'!$A$2:$A$4674="Westfarms Mall")*('Tenant Data'!$D$2:$D$4674="Hobby &amp; Novelty")*('Tenant Data'!$F$2:$F$4674&gt;0)*('Tenant Data'!$E$2:$E$4674&lt;10000)*'Tenant Data'!$E$2:$E$4674),"")</f>
        <v>0.18833168809169556</v>
      </c>
      <c r="U48">
        <f>IFERROR(SUMPRODUCT(('Tenant Data'!$A$2:$A$4674="Westfarms Mall")*('Tenant Data'!$D$2:$D$4674="Service")*('Tenant Data'!$F$2:$F$4674&gt;0)*('Tenant Data'!$E$2:$E$4674&lt;10000)*'Tenant Data'!$J$2:$J$4674*'Tenant Data'!$E$2:$E$4674)/SUMPRODUCT(('Tenant Data'!$A$2:$A$4674="Westfarms Mall")*('Tenant Data'!$D$2:$D$4674="Service")*('Tenant Data'!$F$2:$F$4674&gt;0)*('Tenant Data'!$E$2:$E$4674&lt;10000)*'Tenant Data'!$E$2:$E$4674),"")</f>
        <v>0.18524638904646831</v>
      </c>
      <c r="V48">
        <f>IFERROR(SUMPRODUCT(('Tenant Data'!$A$2:$A$4674="Westfarms Mall")*('Tenant Data'!$D$2:$D$4674="Tech")*('Tenant Data'!$F$2:$F$4674&gt;0)*('Tenant Data'!$E$2:$E$4674&lt;10000)*'Tenant Data'!$J$2:$J$4674*'Tenant Data'!$E$2:$E$4674)/SUMPRODUCT(('Tenant Data'!$A$2:$A$4674="Westfarms Mall")*('Tenant Data'!$D$2:$D$4674="Tech")*('Tenant Data'!$F$2:$F$4674&gt;0)*('Tenant Data'!$E$2:$E$4674&lt;10000)*'Tenant Data'!$E$2:$E$4674),"")</f>
        <v>0.20311240351831381</v>
      </c>
      <c r="W48">
        <f>IFERROR(SUMPRODUCT(('Tenant Data'!$A$2:$A$4674="Westfarms Mall")*('Tenant Data'!$D$2:$D$4674="Major")*('Tenant Data'!$F$2:$F$4674&gt;0)*('Tenant Data'!$E$2:$E$4674&lt;10000)*'Tenant Data'!$J$2:$J$4674*'Tenant Data'!$E$2:$E$4674)/SUMPRODUCT(('Tenant Data'!$A$2:$A$4674="Westfarms Mall")*('Tenant Data'!$D$2:$D$4674="Major")*('Tenant Data'!$F$2:$F$4674&gt;0)*('Tenant Data'!$E$2:$E$4674&lt;10000)*'Tenant Data'!$E$2:$E$4674),"")</f>
        <v>2.1073583662121601E-2</v>
      </c>
      <c r="X48" t="str">
        <f>IFERROR(SUMPRODUCT(('Tenant Data'!$A$2:$A$4674="Westfarms Mall")*('Tenant Data'!$D$2:$D$4674="Anchor")*('Tenant Data'!$F$2:$F$4674&gt;0)*('Tenant Data'!$E$2:$E$4674&lt;10000)*'Tenant Data'!$J$2:$J$4674*'Tenant Data'!$E$2:$E$4674)/SUMPRODUCT(('Tenant Data'!$A$2:$A$4674="Westfarms Mall")*('Tenant Data'!$D$2:$D$4674="Anchor")*('Tenant Data'!$F$2:$F$4674&gt;0)*('Tenant Data'!$E$2:$E$4674&lt;10000)*'Tenant Data'!$E$2:$E$4674),"")</f>
        <v/>
      </c>
      <c r="Y48" t="str">
        <f>IFERROR(SUMPRODUCT(('Tenant Data'!$A$2:$A$4674="Westfarms Mall")*('Tenant Data'!$D$2:$D$4674="Apple")*('Tenant Data'!$F$2:$F$4674&gt;0)*('Tenant Data'!$E$2:$E$4674&lt;10000)*'Tenant Data'!$J$2:$J$4674*'Tenant Data'!$E$2:$E$4674)/SUMPRODUCT(('Tenant Data'!$A$2:$A$4674="Westfarms Mall")*('Tenant Data'!$D$2:$D$4674="Apple")*('Tenant Data'!$F$2:$F$4674&gt;0)*('Tenant Data'!$E$2:$E$4674&lt;10000)*'Tenant Data'!$E$2:$E$4674),"")</f>
        <v/>
      </c>
      <c r="Z48">
        <f>SUMIFS('Tenant Data'!$F$2:$F$4674,'Tenant Data'!$A$2:$A$4674,"Westfarms Mall",'Tenant Data'!$D$2:$D$4674,"Apparel",'Tenant Data'!$E$2:$E$4674,"&lt;10000")</f>
        <v>98286453</v>
      </c>
      <c r="AA48">
        <f>SUMIFS('Tenant Data'!$F$2:$F$4674,'Tenant Data'!$A$2:$A$4674,"Westfarms Mall",'Tenant Data'!$D$2:$D$4674,"Shoes",'Tenant Data'!$E$2:$E$4674,"&lt;10000")</f>
        <v>15891301</v>
      </c>
      <c r="AB48">
        <f>SUMIFS('Tenant Data'!$F$2:$F$4674,'Tenant Data'!$A$2:$A$4674,"Westfarms Mall",'Tenant Data'!$D$2:$D$4674,"Jewelry",'Tenant Data'!$E$2:$E$4674,"&lt;10000")</f>
        <v>29170397</v>
      </c>
      <c r="AC48">
        <f>SUMIFS('Tenant Data'!$F$2:$F$4674,'Tenant Data'!$A$2:$A$4674,"Westfarms Mall",'Tenant Data'!$D$2:$D$4674,"Health &amp; Beauty",'Tenant Data'!$E$2:$E$4674,"&lt;10000")</f>
        <v>18006912</v>
      </c>
      <c r="AD48">
        <f>SUMIFS('Tenant Data'!$F$2:$F$4674,'Tenant Data'!$A$2:$A$4674,"Westfarms Mall",'Tenant Data'!$D$2:$D$4674,"Food &amp; Beverage",'Tenant Data'!$E$2:$E$4674,"&lt;10000")</f>
        <v>8848876</v>
      </c>
      <c r="AE48">
        <f>SUMIFS('Tenant Data'!$F$2:$F$4674,'Tenant Data'!$A$2:$A$4674,"Westfarms Mall",'Tenant Data'!$D$2:$D$4674,"Restaurant",'Tenant Data'!$E$2:$E$4674,"&lt;10000")</f>
        <v>12247761</v>
      </c>
      <c r="AF48">
        <f>SUMIFS('Tenant Data'!$F$2:$F$4674,'Tenant Data'!$A$2:$A$4674,"Westfarms Mall",'Tenant Data'!$D$2:$D$4674,"Hobby &amp; Novelty",'Tenant Data'!$E$2:$E$4674,"&lt;10000")</f>
        <v>8279971</v>
      </c>
      <c r="AG48">
        <f>SUMIFS('Tenant Data'!$F$2:$F$4674,'Tenant Data'!$A$2:$A$4674,"Westfarms Mall",'Tenant Data'!$D$2:$D$4674,"Service",'Tenant Data'!$E$2:$E$4674,"&lt;10000")</f>
        <v>9849041</v>
      </c>
      <c r="AH48">
        <f>SUMIFS('Tenant Data'!$F$2:$F$4674,'Tenant Data'!$A$2:$A$4674,"Westfarms Mall",'Tenant Data'!$D$2:$D$4674,"Tech",'Tenant Data'!$E$2:$E$4674,"&lt;10000")</f>
        <v>3016563</v>
      </c>
      <c r="AI48">
        <f>SUMIFS('Tenant Data'!$F$2:$F$4674,'Tenant Data'!$A$2:$A$4674,"Westfarms Mall",'Tenant Data'!$D$2:$D$4674,"Major",'Tenant Data'!$E$2:$E$4674,"&lt;10000")</f>
        <v>3469970</v>
      </c>
      <c r="AJ48">
        <f>SUMIFS('Tenant Data'!$F$2:$F$4674,'Tenant Data'!$A$2:$A$4674,"Westfarms Mall",'Tenant Data'!$D$2:$D$4674,"Anchor",'Tenant Data'!$E$2:$E$4674,"&lt;10000")</f>
        <v>0</v>
      </c>
      <c r="AK48">
        <f>SUMIFS('Tenant Data'!$F$2:$F$4674,'Tenant Data'!$A$2:$A$4674,"Westfarms Mall",'Tenant Data'!$D$2:$D$4674,"Apple",'Tenant Data'!$E$2:$E$4674,"&lt;10000")</f>
        <v>0</v>
      </c>
      <c r="AL48">
        <f>SUMIFS('Tenant Data'!$E$2:$E$4674,'Tenant Data'!$A$2:$A$4674,"Westfarms Mall",'Tenant Data'!$D$2:$D$4674,"Apparel",'Tenant Data'!$F$2:$F$4674,"&gt;0",'Tenant Data'!$E$2:$E$4674,"&lt;10000")</f>
        <v>154722</v>
      </c>
      <c r="AM48">
        <f>SUMIFS('Tenant Data'!$E$2:$E$4674,'Tenant Data'!$A$2:$A$4674,"Westfarms Mall",'Tenant Data'!$D$2:$D$4674,"Shoes",'Tenant Data'!$F$2:$F$4674,"&gt;0",'Tenant Data'!$E$2:$E$4674,"&lt;10000")</f>
        <v>23007</v>
      </c>
      <c r="AN48">
        <f>SUMIFS('Tenant Data'!$E$2:$E$4674,'Tenant Data'!$A$2:$A$4674,"Westfarms Mall",'Tenant Data'!$D$2:$D$4674,"Jewelry",'Tenant Data'!$F$2:$F$4674,"&gt;0",'Tenant Data'!$E$2:$E$4674,"&lt;10000")</f>
        <v>21480</v>
      </c>
      <c r="AO48">
        <f>SUMIFS('Tenant Data'!$E$2:$E$4674,'Tenant Data'!$A$2:$A$4674,"Westfarms Mall",'Tenant Data'!$D$2:$D$4674,"Health &amp; Beauty",'Tenant Data'!$F$2:$F$4674,"&gt;0",'Tenant Data'!$E$2:$E$4674,"&lt;10000")</f>
        <v>16511</v>
      </c>
      <c r="AP48">
        <f>SUMIFS('Tenant Data'!$E$2:$E$4674,'Tenant Data'!$A$2:$A$4674,"Westfarms Mall",'Tenant Data'!$D$2:$D$4674,"Food &amp; Beverage",'Tenant Data'!$F$2:$F$4674,"&gt;0",'Tenant Data'!$E$2:$E$4674,"&lt;10000")</f>
        <v>11532</v>
      </c>
      <c r="AQ48">
        <f>SUMIFS('Tenant Data'!$E$2:$E$4674,'Tenant Data'!$A$2:$A$4674,"Westfarms Mall",'Tenant Data'!$D$2:$D$4674,"Restaurant",'Tenant Data'!$F$2:$F$4674,"&gt;0",'Tenant Data'!$E$2:$E$4674,"&lt;10000")</f>
        <v>26903</v>
      </c>
      <c r="AR48">
        <f>SUMIFS('Tenant Data'!$E$2:$E$4674,'Tenant Data'!$A$2:$A$4674,"Westfarms Mall",'Tenant Data'!$D$2:$D$4674,"Hobby &amp; Novelty",'Tenant Data'!$F$2:$F$4674,"&gt;0",'Tenant Data'!$E$2:$E$4674,"&lt;10000")</f>
        <v>11804</v>
      </c>
      <c r="AS48">
        <f>SUMIFS('Tenant Data'!$E$2:$E$4674,'Tenant Data'!$A$2:$A$4674,"Westfarms Mall",'Tenant Data'!$D$2:$D$4674,"Service",'Tenant Data'!$F$2:$F$4674,"&gt;0",'Tenant Data'!$E$2:$E$4674,"&lt;10000")</f>
        <v>20217</v>
      </c>
      <c r="AT48">
        <f>SUMIFS('Tenant Data'!$E$2:$E$4674,'Tenant Data'!$A$2:$A$4674,"Westfarms Mall",'Tenant Data'!$D$2:$D$4674,"Tech",'Tenant Data'!$F$2:$F$4674,"&gt;0",'Tenant Data'!$E$2:$E$4674,"&lt;10000")</f>
        <v>1684</v>
      </c>
      <c r="AU48">
        <f>SUMIFS('Tenant Data'!$E$2:$E$4674,'Tenant Data'!$A$2:$A$4674,"Westfarms Mall",'Tenant Data'!$D$2:$D$4674,"Major",'Tenant Data'!$F$2:$F$4674,"&gt;0",'Tenant Data'!$E$2:$E$4674,"&lt;10000")</f>
        <v>1400</v>
      </c>
      <c r="AV48">
        <f>SUMIFS('Tenant Data'!$E$2:$E$4674,'Tenant Data'!$A$2:$A$4674,"Westfarms Mall",'Tenant Data'!$D$2:$D$4674,"Anchor",'Tenant Data'!$F$2:$F$4674,"&gt;0",'Tenant Data'!$E$2:$E$4674,"&lt;10000")</f>
        <v>0</v>
      </c>
      <c r="AW48">
        <f>SUMIFS('Tenant Data'!$E$2:$E$4674,'Tenant Data'!$A$2:$A$4674,"Westfarms Mall",'Tenant Data'!$D$2:$D$4674,"Apple",'Tenant Data'!$F$2:$F$4674,"&gt;0",'Tenant Data'!$E$2:$E$4674,"&lt;10000")</f>
        <v>0</v>
      </c>
      <c r="AX48">
        <v>1</v>
      </c>
      <c r="AY48" t="str">
        <f>'Property Summary'!B48</f>
        <v>Y</v>
      </c>
      <c r="AZ48">
        <f t="shared" si="12"/>
        <v>289260</v>
      </c>
    </row>
    <row r="49" spans="1:52" x14ac:dyDescent="0.2">
      <c r="A49" t="s">
        <v>29</v>
      </c>
      <c r="B49">
        <f t="shared" si="0"/>
        <v>408.85200050169323</v>
      </c>
      <c r="C49">
        <f t="shared" si="1"/>
        <v>568.62815530008595</v>
      </c>
      <c r="D49">
        <f t="shared" si="2"/>
        <v>1009.8115425250925</v>
      </c>
      <c r="E49">
        <f t="shared" si="3"/>
        <v>917.95285880980168</v>
      </c>
      <c r="F49">
        <f t="shared" si="4"/>
        <v>2913.5495327102803</v>
      </c>
      <c r="G49">
        <f t="shared" si="5"/>
        <v>775.27530220431379</v>
      </c>
      <c r="H49">
        <f t="shared" si="6"/>
        <v>286.23038887026485</v>
      </c>
      <c r="I49" t="str">
        <f t="shared" si="7"/>
        <v/>
      </c>
      <c r="J49" t="str">
        <f t="shared" si="8"/>
        <v/>
      </c>
      <c r="K49" t="str">
        <f t="shared" si="9"/>
        <v/>
      </c>
      <c r="L49" t="str">
        <f t="shared" si="10"/>
        <v/>
      </c>
      <c r="M49">
        <f t="shared" si="11"/>
        <v>5040.6558495988502</v>
      </c>
      <c r="N49">
        <f>IFERROR(SUMPRODUCT(('Tenant Data'!$A$2:$A$4674="Willow Grove Park")*('Tenant Data'!$D$2:$D$4674="Apparel")*('Tenant Data'!$F$2:$F$4674&gt;0)*('Tenant Data'!$E$2:$E$4674&lt;10000)*'Tenant Data'!$J$2:$J$4674*'Tenant Data'!$E$2:$E$4674)/SUMPRODUCT(('Tenant Data'!$A$2:$A$4674="Willow Grove Park")*('Tenant Data'!$D$2:$D$4674="Apparel")*('Tenant Data'!$F$2:$F$4674&gt;0)*('Tenant Data'!$E$2:$E$4674&lt;10000)*'Tenant Data'!$E$2:$E$4674),"")</f>
        <v>0.13614033613445381</v>
      </c>
      <c r="O49">
        <f>IFERROR(SUMPRODUCT(('Tenant Data'!$A$2:$A$4674="Willow Grove Park")*('Tenant Data'!$D$2:$D$4674="Shoes")*('Tenant Data'!$F$2:$F$4674&gt;0)*('Tenant Data'!$E$2:$E$4674&lt;10000)*'Tenant Data'!$J$2:$J$4674*'Tenant Data'!$E$2:$E$4674)/SUMPRODUCT(('Tenant Data'!$A$2:$A$4674="Willow Grove Park")*('Tenant Data'!$D$2:$D$4674="Shoes")*('Tenant Data'!$F$2:$F$4674&gt;0)*('Tenant Data'!$E$2:$E$4674&lt;10000)*'Tenant Data'!$E$2:$E$4674),"")</f>
        <v>0.14562018164709734</v>
      </c>
      <c r="P49">
        <f>IFERROR(SUMPRODUCT(('Tenant Data'!$A$2:$A$4674="Willow Grove Park")*('Tenant Data'!$D$2:$D$4674="Jewelry")*('Tenant Data'!$F$2:$F$4674&gt;0)*('Tenant Data'!$E$2:$E$4674&lt;10000)*'Tenant Data'!$J$2:$J$4674*'Tenant Data'!$E$2:$E$4674)/SUMPRODUCT(('Tenant Data'!$A$2:$A$4674="Willow Grove Park")*('Tenant Data'!$D$2:$D$4674="Jewelry")*('Tenant Data'!$F$2:$F$4674&gt;0)*('Tenant Data'!$E$2:$E$4674&lt;10000)*'Tenant Data'!$E$2:$E$4674),"")</f>
        <v>0.13285522979397782</v>
      </c>
      <c r="Q49">
        <f>IFERROR(SUMPRODUCT(('Tenant Data'!$A$2:$A$4674="Willow Grove Park")*('Tenant Data'!$D$2:$D$4674="Health &amp; Beauty")*('Tenant Data'!$F$2:$F$4674&gt;0)*('Tenant Data'!$E$2:$E$4674&lt;10000)*'Tenant Data'!$J$2:$J$4674*'Tenant Data'!$E$2:$E$4674)/SUMPRODUCT(('Tenant Data'!$A$2:$A$4674="Willow Grove Park")*('Tenant Data'!$D$2:$D$4674="Health &amp; Beauty")*('Tenant Data'!$F$2:$F$4674&gt;0)*('Tenant Data'!$E$2:$E$4674&lt;10000)*'Tenant Data'!$E$2:$E$4674),"")</f>
        <v>8.5479766627771292E-2</v>
      </c>
      <c r="R49">
        <f>IFERROR(SUMPRODUCT(('Tenant Data'!$A$2:$A$4674="Willow Grove Park")*('Tenant Data'!$D$2:$D$4674="Food &amp; Beverage")*('Tenant Data'!$F$2:$F$4674&gt;0)*('Tenant Data'!$E$2:$E$4674&lt;10000)*'Tenant Data'!$J$2:$J$4674*'Tenant Data'!$E$2:$E$4674)/SUMPRODUCT(('Tenant Data'!$A$2:$A$4674="Willow Grove Park")*('Tenant Data'!$D$2:$D$4674="Food &amp; Beverage")*('Tenant Data'!$F$2:$F$4674&gt;0)*('Tenant Data'!$E$2:$E$4674&lt;10000)*'Tenant Data'!$E$2:$E$4674),"")</f>
        <v>8.0100000000000005E-2</v>
      </c>
      <c r="S49">
        <f>IFERROR(SUMPRODUCT(('Tenant Data'!$A$2:$A$4674="Willow Grove Park")*('Tenant Data'!$D$2:$D$4674="Restaurant")*('Tenant Data'!$F$2:$F$4674&gt;0)*('Tenant Data'!$E$2:$E$4674&lt;10000)*'Tenant Data'!$J$2:$J$4674*'Tenant Data'!$E$2:$E$4674)/SUMPRODUCT(('Tenant Data'!$A$2:$A$4674="Willow Grove Park")*('Tenant Data'!$D$2:$D$4674="Restaurant")*('Tenant Data'!$F$2:$F$4674&gt;0)*('Tenant Data'!$E$2:$E$4674&lt;10000)*'Tenant Data'!$E$2:$E$4674),"")</f>
        <v>0.03</v>
      </c>
      <c r="T49">
        <f>IFERROR(SUMPRODUCT(('Tenant Data'!$A$2:$A$4674="Willow Grove Park")*('Tenant Data'!$D$2:$D$4674="Hobby &amp; Novelty")*('Tenant Data'!$F$2:$F$4674&gt;0)*('Tenant Data'!$E$2:$E$4674&lt;10000)*'Tenant Data'!$J$2:$J$4674*'Tenant Data'!$E$2:$E$4674)/SUMPRODUCT(('Tenant Data'!$A$2:$A$4674="Willow Grove Park")*('Tenant Data'!$D$2:$D$4674="Hobby &amp; Novelty")*('Tenant Data'!$F$2:$F$4674&gt;0)*('Tenant Data'!$E$2:$E$4674&lt;10000)*'Tenant Data'!$E$2:$E$4674),"")</f>
        <v>0.17409218907140464</v>
      </c>
      <c r="U49" t="str">
        <f>IFERROR(SUMPRODUCT(('Tenant Data'!$A$2:$A$4674="Willow Grove Park")*('Tenant Data'!$D$2:$D$4674="Service")*('Tenant Data'!$F$2:$F$4674&gt;0)*('Tenant Data'!$E$2:$E$4674&lt;10000)*'Tenant Data'!$J$2:$J$4674*'Tenant Data'!$E$2:$E$4674)/SUMPRODUCT(('Tenant Data'!$A$2:$A$4674="Willow Grove Park")*('Tenant Data'!$D$2:$D$4674="Service")*('Tenant Data'!$F$2:$F$4674&gt;0)*('Tenant Data'!$E$2:$E$4674&lt;10000)*'Tenant Data'!$E$2:$E$4674),"")</f>
        <v/>
      </c>
      <c r="V49" t="str">
        <f>IFERROR(SUMPRODUCT(('Tenant Data'!$A$2:$A$4674="Willow Grove Park")*('Tenant Data'!$D$2:$D$4674="Tech")*('Tenant Data'!$F$2:$F$4674&gt;0)*('Tenant Data'!$E$2:$E$4674&lt;10000)*'Tenant Data'!$J$2:$J$4674*'Tenant Data'!$E$2:$E$4674)/SUMPRODUCT(('Tenant Data'!$A$2:$A$4674="Willow Grove Park")*('Tenant Data'!$D$2:$D$4674="Tech")*('Tenant Data'!$F$2:$F$4674&gt;0)*('Tenant Data'!$E$2:$E$4674&lt;10000)*'Tenant Data'!$E$2:$E$4674),"")</f>
        <v/>
      </c>
      <c r="W49" t="str">
        <f>IFERROR(SUMPRODUCT(('Tenant Data'!$A$2:$A$4674="Willow Grove Park")*('Tenant Data'!$D$2:$D$4674="Major")*('Tenant Data'!$F$2:$F$4674&gt;0)*('Tenant Data'!$E$2:$E$4674&lt;10000)*'Tenant Data'!$J$2:$J$4674*'Tenant Data'!$E$2:$E$4674)/SUMPRODUCT(('Tenant Data'!$A$2:$A$4674="Willow Grove Park")*('Tenant Data'!$D$2:$D$4674="Major")*('Tenant Data'!$F$2:$F$4674&gt;0)*('Tenant Data'!$E$2:$E$4674&lt;10000)*'Tenant Data'!$E$2:$E$4674),"")</f>
        <v/>
      </c>
      <c r="X49" t="str">
        <f>IFERROR(SUMPRODUCT(('Tenant Data'!$A$2:$A$4674="Willow Grove Park")*('Tenant Data'!$D$2:$D$4674="Anchor")*('Tenant Data'!$F$2:$F$4674&gt;0)*('Tenant Data'!$E$2:$E$4674&lt;10000)*'Tenant Data'!$J$2:$J$4674*'Tenant Data'!$E$2:$E$4674)/SUMPRODUCT(('Tenant Data'!$A$2:$A$4674="Willow Grove Park")*('Tenant Data'!$D$2:$D$4674="Anchor")*('Tenant Data'!$F$2:$F$4674&gt;0)*('Tenant Data'!$E$2:$E$4674&lt;10000)*'Tenant Data'!$E$2:$E$4674),"")</f>
        <v/>
      </c>
      <c r="Y49">
        <f>IFERROR(SUMPRODUCT(('Tenant Data'!$A$2:$A$4674="Willow Grove Park")*('Tenant Data'!$D$2:$D$4674="Apple")*('Tenant Data'!$F$2:$F$4674&gt;0)*('Tenant Data'!$E$2:$E$4674&lt;10000)*'Tenant Data'!$J$2:$J$4674*'Tenant Data'!$E$2:$E$4674)/SUMPRODUCT(('Tenant Data'!$A$2:$A$4674="Willow Grove Park")*('Tenant Data'!$D$2:$D$4674="Apple")*('Tenant Data'!$F$2:$F$4674&gt;0)*('Tenant Data'!$E$2:$E$4674&lt;10000)*'Tenant Data'!$E$2:$E$4674),"")</f>
        <v>1.17E-2</v>
      </c>
      <c r="Z49">
        <f>SUMIFS('Tenant Data'!$F$2:$F$4674,'Tenant Data'!$A$2:$A$4674,"Willow Grove Park",'Tenant Data'!$D$2:$D$4674,"Apparel",'Tenant Data'!$E$2:$E$4674,"&lt;10000")</f>
        <v>26078216</v>
      </c>
      <c r="AA49">
        <f>SUMIFS('Tenant Data'!$F$2:$F$4674,'Tenant Data'!$A$2:$A$4674,"Willow Grove Park",'Tenant Data'!$D$2:$D$4674,"Shoes",'Tenant Data'!$E$2:$E$4674,"&lt;10000")</f>
        <v>13898978</v>
      </c>
      <c r="AB49">
        <f>SUMIFS('Tenant Data'!$F$2:$F$4674,'Tenant Data'!$A$2:$A$4674,"Willow Grove Park",'Tenant Data'!$D$2:$D$4674,"Jewelry",'Tenant Data'!$E$2:$E$4674,"&lt;10000")</f>
        <v>7646293</v>
      </c>
      <c r="AC49">
        <f>SUMIFS('Tenant Data'!$F$2:$F$4674,'Tenant Data'!$A$2:$A$4674,"Willow Grove Park",'Tenant Data'!$D$2:$D$4674,"Health &amp; Beauty",'Tenant Data'!$E$2:$E$4674,"&lt;10000")</f>
        <v>11800284</v>
      </c>
      <c r="AD49">
        <f>SUMIFS('Tenant Data'!$F$2:$F$4674,'Tenant Data'!$A$2:$A$4674,"Willow Grove Park",'Tenant Data'!$D$2:$D$4674,"Food &amp; Beverage",'Tenant Data'!$E$2:$E$4674,"&lt;10000")</f>
        <v>3117498</v>
      </c>
      <c r="AE49">
        <f>SUMIFS('Tenant Data'!$F$2:$F$4674,'Tenant Data'!$A$2:$A$4674,"Willow Grove Park",'Tenant Data'!$D$2:$D$4674,"Restaurant",'Tenant Data'!$E$2:$E$4674,"&lt;10000")</f>
        <v>6541773</v>
      </c>
      <c r="AF49">
        <f>SUMIFS('Tenant Data'!$F$2:$F$4674,'Tenant Data'!$A$2:$A$4674,"Willow Grove Park",'Tenant Data'!$D$2:$D$4674,"Hobby &amp; Novelty",'Tenant Data'!$E$2:$E$4674,"&lt;10000")</f>
        <v>3415301</v>
      </c>
      <c r="AG49">
        <f>SUMIFS('Tenant Data'!$F$2:$F$4674,'Tenant Data'!$A$2:$A$4674,"Willow Grove Park",'Tenant Data'!$D$2:$D$4674,"Service",'Tenant Data'!$E$2:$E$4674,"&lt;10000")</f>
        <v>0</v>
      </c>
      <c r="AH49">
        <f>SUMIFS('Tenant Data'!$F$2:$F$4674,'Tenant Data'!$A$2:$A$4674,"Willow Grove Park",'Tenant Data'!$D$2:$D$4674,"Tech",'Tenant Data'!$E$2:$E$4674,"&lt;10000")</f>
        <v>0</v>
      </c>
      <c r="AI49">
        <f>SUMIFS('Tenant Data'!$F$2:$F$4674,'Tenant Data'!$A$2:$A$4674,"Willow Grove Park",'Tenant Data'!$D$2:$D$4674,"Major",'Tenant Data'!$E$2:$E$4674,"&lt;10000")</f>
        <v>0</v>
      </c>
      <c r="AJ49">
        <f>SUMIFS('Tenant Data'!$F$2:$F$4674,'Tenant Data'!$A$2:$A$4674,"Willow Grove Park",'Tenant Data'!$D$2:$D$4674,"Anchor",'Tenant Data'!$E$2:$E$4674,"&lt;10000")</f>
        <v>0</v>
      </c>
      <c r="AK49">
        <f>SUMIFS('Tenant Data'!$F$2:$F$4674,'Tenant Data'!$A$2:$A$4674,"Willow Grove Park",'Tenant Data'!$D$2:$D$4674,"Apple",'Tenant Data'!$E$2:$E$4674,"&lt;10000")</f>
        <v>42094517</v>
      </c>
      <c r="AL49">
        <f>SUMIFS('Tenant Data'!$E$2:$E$4674,'Tenant Data'!$A$2:$A$4674,"Willow Grove Park",'Tenant Data'!$D$2:$D$4674,"Apparel",'Tenant Data'!$F$2:$F$4674,"&gt;0",'Tenant Data'!$E$2:$E$4674,"&lt;10000")</f>
        <v>63784</v>
      </c>
      <c r="AM49">
        <f>SUMIFS('Tenant Data'!$E$2:$E$4674,'Tenant Data'!$A$2:$A$4674,"Willow Grove Park",'Tenant Data'!$D$2:$D$4674,"Shoes",'Tenant Data'!$F$2:$F$4674,"&gt;0",'Tenant Data'!$E$2:$E$4674,"&lt;10000")</f>
        <v>24443</v>
      </c>
      <c r="AN49">
        <f>SUMIFS('Tenant Data'!$E$2:$E$4674,'Tenant Data'!$A$2:$A$4674,"Willow Grove Park",'Tenant Data'!$D$2:$D$4674,"Jewelry",'Tenant Data'!$F$2:$F$4674,"&gt;0",'Tenant Data'!$E$2:$E$4674,"&lt;10000")</f>
        <v>7572</v>
      </c>
      <c r="AO49">
        <f>SUMIFS('Tenant Data'!$E$2:$E$4674,'Tenant Data'!$A$2:$A$4674,"Willow Grove Park",'Tenant Data'!$D$2:$D$4674,"Health &amp; Beauty",'Tenant Data'!$F$2:$F$4674,"&gt;0",'Tenant Data'!$E$2:$E$4674,"&lt;10000")</f>
        <v>12855</v>
      </c>
      <c r="AP49">
        <f>SUMIFS('Tenant Data'!$E$2:$E$4674,'Tenant Data'!$A$2:$A$4674,"Willow Grove Park",'Tenant Data'!$D$2:$D$4674,"Food &amp; Beverage",'Tenant Data'!$F$2:$F$4674,"&gt;0",'Tenant Data'!$E$2:$E$4674,"&lt;10000")</f>
        <v>1070</v>
      </c>
      <c r="AQ49">
        <f>SUMIFS('Tenant Data'!$E$2:$E$4674,'Tenant Data'!$A$2:$A$4674,"Willow Grove Park",'Tenant Data'!$D$2:$D$4674,"Restaurant",'Tenant Data'!$F$2:$F$4674,"&gt;0",'Tenant Data'!$E$2:$E$4674,"&lt;10000")</f>
        <v>8438</v>
      </c>
      <c r="AR49">
        <f>SUMIFS('Tenant Data'!$E$2:$E$4674,'Tenant Data'!$A$2:$A$4674,"Willow Grove Park",'Tenant Data'!$D$2:$D$4674,"Hobby &amp; Novelty",'Tenant Data'!$F$2:$F$4674,"&gt;0",'Tenant Data'!$E$2:$E$4674,"&lt;10000")</f>
        <v>11932</v>
      </c>
      <c r="AS49">
        <f>SUMIFS('Tenant Data'!$E$2:$E$4674,'Tenant Data'!$A$2:$A$4674,"Willow Grove Park",'Tenant Data'!$D$2:$D$4674,"Service",'Tenant Data'!$F$2:$F$4674,"&gt;0",'Tenant Data'!$E$2:$E$4674,"&lt;10000")</f>
        <v>0</v>
      </c>
      <c r="AT49">
        <f>SUMIFS('Tenant Data'!$E$2:$E$4674,'Tenant Data'!$A$2:$A$4674,"Willow Grove Park",'Tenant Data'!$D$2:$D$4674,"Tech",'Tenant Data'!$F$2:$F$4674,"&gt;0",'Tenant Data'!$E$2:$E$4674,"&lt;10000")</f>
        <v>0</v>
      </c>
      <c r="AU49">
        <f>SUMIFS('Tenant Data'!$E$2:$E$4674,'Tenant Data'!$A$2:$A$4674,"Willow Grove Park",'Tenant Data'!$D$2:$D$4674,"Major",'Tenant Data'!$F$2:$F$4674,"&gt;0",'Tenant Data'!$E$2:$E$4674,"&lt;10000")</f>
        <v>0</v>
      </c>
      <c r="AV49">
        <f>SUMIFS('Tenant Data'!$E$2:$E$4674,'Tenant Data'!$A$2:$A$4674,"Willow Grove Park",'Tenant Data'!$D$2:$D$4674,"Anchor",'Tenant Data'!$F$2:$F$4674,"&gt;0",'Tenant Data'!$E$2:$E$4674,"&lt;10000")</f>
        <v>0</v>
      </c>
      <c r="AW49">
        <f>SUMIFS('Tenant Data'!$E$2:$E$4674,'Tenant Data'!$A$2:$A$4674,"Willow Grove Park",'Tenant Data'!$D$2:$D$4674,"Apple",'Tenant Data'!$F$2:$F$4674,"&gt;0",'Tenant Data'!$E$2:$E$4674,"&lt;10000")</f>
        <v>8351</v>
      </c>
      <c r="AX49">
        <v>1</v>
      </c>
      <c r="AY49" t="str">
        <f>'Property Summary'!B49</f>
        <v>Y</v>
      </c>
      <c r="AZ49">
        <f t="shared" si="12"/>
        <v>138445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Analysis Summary</vt:lpstr>
      <vt:lpstr>Property Summary</vt:lpstr>
      <vt:lpstr>Tenant Lookup</vt:lpstr>
      <vt:lpstr>Category Lookup</vt:lpstr>
      <vt:lpstr>Tenant Data</vt:lpstr>
      <vt:lpstr>Cross Comparison</vt:lpstr>
      <vt:lpstr>Category Matrix</vt:lpstr>
      <vt:lpstr>Clackamas Ranking</vt:lpstr>
      <vt:lpstr>_TenantList</vt:lpstr>
      <vt:lpstr>_CatList</vt:lpstr>
      <vt:lpstr>_CategoryCalc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Vallecillo</cp:lastModifiedBy>
  <dcterms:created xsi:type="dcterms:W3CDTF">2026-04-15T15:19:51Z</dcterms:created>
  <dcterms:modified xsi:type="dcterms:W3CDTF">2026-04-16T20:31:28Z</dcterms:modified>
</cp:coreProperties>
</file>